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fraunhofer.sharepoint.com/sites/MADerikRoby/Freigegebene Dokumente/General/Literature/"/>
    </mc:Choice>
  </mc:AlternateContent>
  <xr:revisionPtr revIDLastSave="96" documentId="13_ncr:1_{302C9FE6-9C3D-4D99-9669-8CC56A548751}" xr6:coauthVersionLast="47" xr6:coauthVersionMax="47" xr10:uidLastSave="{4FBC27C5-CB8E-471C-9E4F-EA3DE90AC137}"/>
  <bookViews>
    <workbookView xWindow="67080" yWindow="-120" windowWidth="29040" windowHeight="17640" firstSheet="1" activeTab="2" xr2:uid="{636820EE-53AB-4FBC-8A12-9E3CFD0DE29E}"/>
  </bookViews>
  <sheets>
    <sheet name="SE_Kompetenzen_SE4OWL" sheetId="6" r:id="rId1"/>
    <sheet name="Rollen-Prozess-Matrix" sheetId="8" r:id="rId2"/>
    <sheet name="Kompetenz-Prozess-Matrix" sheetId="12" r:id="rId3"/>
    <sheet name="Rollen-Kompetenzen-Matrix" sheetId="9" r:id="rId4"/>
    <sheet name="Lernziele" sheetId="13" r:id="rId5"/>
    <sheet name="gQP - Kundenvertreter" sheetId="15" r:id="rId6"/>
    <sheet name="Tabelle1" sheetId="16" r:id="rId7"/>
    <sheet name="Modulübersicht" sheetId="18" r:id="rId8"/>
    <sheet name="Tabelle2" sheetId="19" r:id="rId9"/>
    <sheet name="Input INCOSE Kompetenzen" sheetId="1" state="hidden" r:id="rId10"/>
    <sheet name="Prozess&amp;Aufg-Kompetenzen-Matrix" sheetId="7" state="hidden" r:id="rId11"/>
    <sheet name="Rollen-Prozess&amp;Aufg-Matrix" sheetId="11" state="hidden" r:id="rId12"/>
    <sheet name="Nicht mehr nutzen!" sheetId="10"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26" i="12" l="1"/>
  <c r="AN27" i="12"/>
  <c r="AN28" i="12"/>
  <c r="AN29" i="12"/>
  <c r="AN30" i="12"/>
  <c r="AN31" i="12"/>
  <c r="AN32" i="12"/>
  <c r="AN33" i="12"/>
  <c r="AN34" i="12"/>
  <c r="AN35" i="12"/>
  <c r="AN36" i="12"/>
  <c r="AN37" i="12"/>
  <c r="AN38" i="12"/>
  <c r="AN7" i="12"/>
  <c r="AN8" i="12"/>
  <c r="AN9" i="12"/>
  <c r="AN10" i="12"/>
  <c r="AN11" i="12"/>
  <c r="AN12" i="12"/>
  <c r="AN13" i="12"/>
  <c r="AN14" i="12"/>
  <c r="AN15" i="12"/>
  <c r="AN16" i="12"/>
  <c r="AN17" i="12"/>
  <c r="AN18" i="12"/>
  <c r="AN19" i="12"/>
  <c r="AN20" i="12"/>
  <c r="AN21" i="12"/>
  <c r="AN22" i="12"/>
  <c r="AN23" i="12"/>
  <c r="AN24" i="12"/>
  <c r="AN25" i="12"/>
  <c r="AN6" i="12"/>
  <c r="X33" i="12"/>
  <c r="Y33" i="12"/>
  <c r="Z33" i="12"/>
  <c r="AA33" i="12"/>
  <c r="AB33" i="12"/>
  <c r="AC33" i="12"/>
  <c r="AD33" i="12"/>
  <c r="AE33" i="12"/>
  <c r="AF33" i="12"/>
  <c r="AG33" i="12"/>
  <c r="AH33" i="12"/>
  <c r="AI33" i="12"/>
  <c r="AJ33" i="12"/>
  <c r="AK33" i="12"/>
  <c r="AL33" i="12"/>
  <c r="AM33" i="12"/>
  <c r="X34" i="12"/>
  <c r="Y34" i="12"/>
  <c r="Z34" i="12"/>
  <c r="AA34" i="12"/>
  <c r="AB34" i="12"/>
  <c r="AC34" i="12"/>
  <c r="AD34" i="12"/>
  <c r="AE34" i="12"/>
  <c r="AF34" i="12"/>
  <c r="AG34" i="12"/>
  <c r="AH34" i="12"/>
  <c r="AI34" i="12"/>
  <c r="AJ34" i="12"/>
  <c r="AK34" i="12"/>
  <c r="AL34" i="12"/>
  <c r="AM34" i="12"/>
  <c r="X35" i="12"/>
  <c r="Y35" i="12"/>
  <c r="Z35" i="12"/>
  <c r="AA35" i="12"/>
  <c r="AB35" i="12"/>
  <c r="AC35" i="12"/>
  <c r="AD35" i="12"/>
  <c r="AE35" i="12"/>
  <c r="AF35" i="12"/>
  <c r="AG35" i="12"/>
  <c r="AH35" i="12"/>
  <c r="AI35" i="12"/>
  <c r="AJ35" i="12"/>
  <c r="AK35" i="12"/>
  <c r="AL35" i="12"/>
  <c r="AM35" i="12"/>
  <c r="X36" i="12"/>
  <c r="Y36" i="12"/>
  <c r="Z36" i="12"/>
  <c r="AA36" i="12"/>
  <c r="AB36" i="12"/>
  <c r="AC36" i="12"/>
  <c r="AD36" i="12"/>
  <c r="AE36" i="12"/>
  <c r="AF36" i="12"/>
  <c r="AG36" i="12"/>
  <c r="AH36" i="12"/>
  <c r="AI36" i="12"/>
  <c r="AJ36" i="12"/>
  <c r="AK36" i="12"/>
  <c r="AL36" i="12"/>
  <c r="AM36" i="12"/>
  <c r="X37" i="12"/>
  <c r="Y37" i="12"/>
  <c r="Z37" i="12"/>
  <c r="AA37" i="12"/>
  <c r="AB37" i="12"/>
  <c r="AC37" i="12"/>
  <c r="AD37" i="12"/>
  <c r="AE37" i="12"/>
  <c r="AF37" i="12"/>
  <c r="AG37" i="12"/>
  <c r="AH37" i="12"/>
  <c r="AI37" i="12"/>
  <c r="AJ37" i="12"/>
  <c r="AK37" i="12"/>
  <c r="AL37" i="12"/>
  <c r="AM37" i="12"/>
  <c r="X38" i="12"/>
  <c r="Y38" i="12"/>
  <c r="Z38" i="12"/>
  <c r="AA38" i="12"/>
  <c r="AB38" i="12"/>
  <c r="AC38" i="12"/>
  <c r="AD38" i="12"/>
  <c r="AE38" i="12"/>
  <c r="AF38" i="12"/>
  <c r="AG38" i="12"/>
  <c r="AH38" i="12"/>
  <c r="AI38" i="12"/>
  <c r="AJ38" i="12"/>
  <c r="AK38" i="12"/>
  <c r="AL38" i="12"/>
  <c r="AM38" i="12"/>
  <c r="X7" i="12"/>
  <c r="Y7" i="12"/>
  <c r="Z7" i="12"/>
  <c r="AA7" i="12"/>
  <c r="AB7" i="12"/>
  <c r="AC7" i="12"/>
  <c r="AD7" i="12"/>
  <c r="AE7" i="12"/>
  <c r="AF7" i="12"/>
  <c r="AG7" i="12"/>
  <c r="AH7" i="12"/>
  <c r="AI7" i="12"/>
  <c r="AJ7" i="12"/>
  <c r="AK7" i="12"/>
  <c r="AL7" i="12"/>
  <c r="AM7" i="12"/>
  <c r="X8" i="12"/>
  <c r="Y8" i="12"/>
  <c r="Z8" i="12"/>
  <c r="AA8" i="12"/>
  <c r="AB8" i="12"/>
  <c r="AC8" i="12"/>
  <c r="AD8" i="12"/>
  <c r="AE8" i="12"/>
  <c r="AF8" i="12"/>
  <c r="AG8" i="12"/>
  <c r="AH8" i="12"/>
  <c r="AI8" i="12"/>
  <c r="AJ8" i="12"/>
  <c r="AK8" i="12"/>
  <c r="AL8" i="12"/>
  <c r="AM8" i="12"/>
  <c r="X9" i="12"/>
  <c r="Y9" i="12"/>
  <c r="Z9" i="12"/>
  <c r="AA9" i="12"/>
  <c r="AB9" i="12"/>
  <c r="AC9" i="12"/>
  <c r="AD9" i="12"/>
  <c r="AE9" i="12"/>
  <c r="AF9" i="12"/>
  <c r="AG9" i="12"/>
  <c r="AH9" i="12"/>
  <c r="AI9" i="12"/>
  <c r="AJ9" i="12"/>
  <c r="AK9" i="12"/>
  <c r="AL9" i="12"/>
  <c r="AM9" i="12"/>
  <c r="X10" i="12"/>
  <c r="Y10" i="12"/>
  <c r="Z10" i="12"/>
  <c r="AA10" i="12"/>
  <c r="AB10" i="12"/>
  <c r="AC10" i="12"/>
  <c r="AD10" i="12"/>
  <c r="AE10" i="12"/>
  <c r="AF10" i="12"/>
  <c r="AG10" i="12"/>
  <c r="AH10" i="12"/>
  <c r="AI10" i="12"/>
  <c r="AJ10" i="12"/>
  <c r="AK10" i="12"/>
  <c r="AL10" i="12"/>
  <c r="AM10" i="12"/>
  <c r="X11" i="12"/>
  <c r="Y11" i="12"/>
  <c r="Z11" i="12"/>
  <c r="AA11" i="12"/>
  <c r="AB11" i="12"/>
  <c r="AC11" i="12"/>
  <c r="AD11" i="12"/>
  <c r="AE11" i="12"/>
  <c r="AF11" i="12"/>
  <c r="AG11" i="12"/>
  <c r="AH11" i="12"/>
  <c r="AI11" i="12"/>
  <c r="AJ11" i="12"/>
  <c r="AK11" i="12"/>
  <c r="AL11" i="12"/>
  <c r="AM11" i="12"/>
  <c r="X12" i="12"/>
  <c r="Y12" i="12"/>
  <c r="Z12" i="12"/>
  <c r="AA12" i="12"/>
  <c r="AB12" i="12"/>
  <c r="AC12" i="12"/>
  <c r="AD12" i="12"/>
  <c r="AE12" i="12"/>
  <c r="AF12" i="12"/>
  <c r="AG12" i="12"/>
  <c r="AH12" i="12"/>
  <c r="AI12" i="12"/>
  <c r="AJ12" i="12"/>
  <c r="AK12" i="12"/>
  <c r="AL12" i="12"/>
  <c r="AM12" i="12"/>
  <c r="X13" i="12"/>
  <c r="Y13" i="12"/>
  <c r="Z13" i="12"/>
  <c r="AA13" i="12"/>
  <c r="AB13" i="12"/>
  <c r="AC13" i="12"/>
  <c r="AD13" i="12"/>
  <c r="AE13" i="12"/>
  <c r="AF13" i="12"/>
  <c r="AG13" i="12"/>
  <c r="AH13" i="12"/>
  <c r="AI13" i="12"/>
  <c r="AJ13" i="12"/>
  <c r="AK13" i="12"/>
  <c r="AL13" i="12"/>
  <c r="AM13" i="12"/>
  <c r="X14" i="12"/>
  <c r="Y14" i="12"/>
  <c r="Z14" i="12"/>
  <c r="AA14" i="12"/>
  <c r="AB14" i="12"/>
  <c r="AC14" i="12"/>
  <c r="AD14" i="12"/>
  <c r="AE14" i="12"/>
  <c r="AF14" i="12"/>
  <c r="AG14" i="12"/>
  <c r="AH14" i="12"/>
  <c r="AI14" i="12"/>
  <c r="AJ14" i="12"/>
  <c r="AK14" i="12"/>
  <c r="AL14" i="12"/>
  <c r="AM14" i="12"/>
  <c r="X15" i="12"/>
  <c r="Y15" i="12"/>
  <c r="Z15" i="12"/>
  <c r="AA15" i="12"/>
  <c r="AB15" i="12"/>
  <c r="AC15" i="12"/>
  <c r="AD15" i="12"/>
  <c r="AE15" i="12"/>
  <c r="AF15" i="12"/>
  <c r="AG15" i="12"/>
  <c r="AH15" i="12"/>
  <c r="AI15" i="12"/>
  <c r="AJ15" i="12"/>
  <c r="AK15" i="12"/>
  <c r="AL15" i="12"/>
  <c r="AM15" i="12"/>
  <c r="X16" i="12"/>
  <c r="Y16" i="12"/>
  <c r="Z16" i="12"/>
  <c r="AA16" i="12"/>
  <c r="AB16" i="12"/>
  <c r="AC16" i="12"/>
  <c r="AD16" i="12"/>
  <c r="AE16" i="12"/>
  <c r="AF16" i="12"/>
  <c r="AG16" i="12"/>
  <c r="AH16" i="12"/>
  <c r="AI16" i="12"/>
  <c r="AJ16" i="12"/>
  <c r="AK16" i="12"/>
  <c r="AL16" i="12"/>
  <c r="AM16" i="12"/>
  <c r="X17" i="12"/>
  <c r="Y17" i="12"/>
  <c r="Z17" i="12"/>
  <c r="AA17" i="12"/>
  <c r="AB17" i="12"/>
  <c r="AC17" i="12"/>
  <c r="AD17" i="12"/>
  <c r="AE17" i="12"/>
  <c r="AF17" i="12"/>
  <c r="AG17" i="12"/>
  <c r="AH17" i="12"/>
  <c r="AI17" i="12"/>
  <c r="AJ17" i="12"/>
  <c r="AK17" i="12"/>
  <c r="AL17" i="12"/>
  <c r="AM17" i="12"/>
  <c r="X18" i="12"/>
  <c r="Y18" i="12"/>
  <c r="Z18" i="12"/>
  <c r="AA18" i="12"/>
  <c r="AB18" i="12"/>
  <c r="AC18" i="12"/>
  <c r="AD18" i="12"/>
  <c r="AE18" i="12"/>
  <c r="AF18" i="12"/>
  <c r="AG18" i="12"/>
  <c r="AH18" i="12"/>
  <c r="AI18" i="12"/>
  <c r="AJ18" i="12"/>
  <c r="AK18" i="12"/>
  <c r="AL18" i="12"/>
  <c r="AM18" i="12"/>
  <c r="X19" i="12"/>
  <c r="Y19" i="12"/>
  <c r="Z19" i="12"/>
  <c r="AA19" i="12"/>
  <c r="AB19" i="12"/>
  <c r="AC19" i="12"/>
  <c r="AD19" i="12"/>
  <c r="AE19" i="12"/>
  <c r="AF19" i="12"/>
  <c r="AG19" i="12"/>
  <c r="AH19" i="12"/>
  <c r="AI19" i="12"/>
  <c r="AJ19" i="12"/>
  <c r="AK19" i="12"/>
  <c r="AL19" i="12"/>
  <c r="AM19" i="12"/>
  <c r="X20" i="12"/>
  <c r="Y20" i="12"/>
  <c r="Z20" i="12"/>
  <c r="AA20" i="12"/>
  <c r="AB20" i="12"/>
  <c r="AC20" i="12"/>
  <c r="AD20" i="12"/>
  <c r="AE20" i="12"/>
  <c r="AF20" i="12"/>
  <c r="AG20" i="12"/>
  <c r="AH20" i="12"/>
  <c r="AI20" i="12"/>
  <c r="AJ20" i="12"/>
  <c r="AK20" i="12"/>
  <c r="AL20" i="12"/>
  <c r="AM20" i="12"/>
  <c r="X21" i="12"/>
  <c r="Y21" i="12"/>
  <c r="Z21" i="12"/>
  <c r="AA21" i="12"/>
  <c r="AB21" i="12"/>
  <c r="AC21" i="12"/>
  <c r="AD21" i="12"/>
  <c r="AE21" i="12"/>
  <c r="AF21" i="12"/>
  <c r="AG21" i="12"/>
  <c r="AH21" i="12"/>
  <c r="AI21" i="12"/>
  <c r="AJ21" i="12"/>
  <c r="AK21" i="12"/>
  <c r="AL21" i="12"/>
  <c r="AM21" i="12"/>
  <c r="X22" i="12"/>
  <c r="Y22" i="12"/>
  <c r="Z22" i="12"/>
  <c r="AA22" i="12"/>
  <c r="AB22" i="12"/>
  <c r="AC22" i="12"/>
  <c r="AD22" i="12"/>
  <c r="AE22" i="12"/>
  <c r="AF22" i="12"/>
  <c r="AG22" i="12"/>
  <c r="AH22" i="12"/>
  <c r="AI22" i="12"/>
  <c r="AJ22" i="12"/>
  <c r="AK22" i="12"/>
  <c r="AL22" i="12"/>
  <c r="AM22" i="12"/>
  <c r="X23" i="12"/>
  <c r="Y23" i="12"/>
  <c r="Z23" i="12"/>
  <c r="AA23" i="12"/>
  <c r="AB23" i="12"/>
  <c r="AC23" i="12"/>
  <c r="AD23" i="12"/>
  <c r="AE23" i="12"/>
  <c r="AF23" i="12"/>
  <c r="AG23" i="12"/>
  <c r="AH23" i="12"/>
  <c r="AI23" i="12"/>
  <c r="AJ23" i="12"/>
  <c r="AK23" i="12"/>
  <c r="AL23" i="12"/>
  <c r="AM23" i="12"/>
  <c r="X24" i="12"/>
  <c r="Y24" i="12"/>
  <c r="Z24" i="12"/>
  <c r="AA24" i="12"/>
  <c r="AB24" i="12"/>
  <c r="AC24" i="12"/>
  <c r="AD24" i="12"/>
  <c r="AE24" i="12"/>
  <c r="AF24" i="12"/>
  <c r="AG24" i="12"/>
  <c r="AH24" i="12"/>
  <c r="AI24" i="12"/>
  <c r="AJ24" i="12"/>
  <c r="AK24" i="12"/>
  <c r="AL24" i="12"/>
  <c r="AM24" i="12"/>
  <c r="X25" i="12"/>
  <c r="Y25" i="12"/>
  <c r="Z25" i="12"/>
  <c r="AA25" i="12"/>
  <c r="AB25" i="12"/>
  <c r="AC25" i="12"/>
  <c r="AD25" i="12"/>
  <c r="AE25" i="12"/>
  <c r="AF25" i="12"/>
  <c r="AG25" i="12"/>
  <c r="AH25" i="12"/>
  <c r="AI25" i="12"/>
  <c r="AJ25" i="12"/>
  <c r="AK25" i="12"/>
  <c r="AL25" i="12"/>
  <c r="AM25" i="12"/>
  <c r="X26" i="12"/>
  <c r="Y26" i="12"/>
  <c r="Z26" i="12"/>
  <c r="AA26" i="12"/>
  <c r="AB26" i="12"/>
  <c r="AC26" i="12"/>
  <c r="AD26" i="12"/>
  <c r="AE26" i="12"/>
  <c r="AF26" i="12"/>
  <c r="AG26" i="12"/>
  <c r="AH26" i="12"/>
  <c r="AI26" i="12"/>
  <c r="AJ26" i="12"/>
  <c r="AK26" i="12"/>
  <c r="AL26" i="12"/>
  <c r="AM26" i="12"/>
  <c r="X27" i="12"/>
  <c r="Y27" i="12"/>
  <c r="Z27" i="12"/>
  <c r="AA27" i="12"/>
  <c r="AB27" i="12"/>
  <c r="AC27" i="12"/>
  <c r="AD27" i="12"/>
  <c r="AE27" i="12"/>
  <c r="AF27" i="12"/>
  <c r="AG27" i="12"/>
  <c r="AH27" i="12"/>
  <c r="AI27" i="12"/>
  <c r="AJ27" i="12"/>
  <c r="AK27" i="12"/>
  <c r="AL27" i="12"/>
  <c r="AM27" i="12"/>
  <c r="X28" i="12"/>
  <c r="Y28" i="12"/>
  <c r="Z28" i="12"/>
  <c r="AA28" i="12"/>
  <c r="AB28" i="12"/>
  <c r="AC28" i="12"/>
  <c r="AD28" i="12"/>
  <c r="AE28" i="12"/>
  <c r="AF28" i="12"/>
  <c r="AG28" i="12"/>
  <c r="AH28" i="12"/>
  <c r="AI28" i="12"/>
  <c r="AJ28" i="12"/>
  <c r="AK28" i="12"/>
  <c r="AL28" i="12"/>
  <c r="AM28" i="12"/>
  <c r="X29" i="12"/>
  <c r="Y29" i="12"/>
  <c r="Z29" i="12"/>
  <c r="AA29" i="12"/>
  <c r="AB29" i="12"/>
  <c r="AC29" i="12"/>
  <c r="AD29" i="12"/>
  <c r="AE29" i="12"/>
  <c r="AF29" i="12"/>
  <c r="AG29" i="12"/>
  <c r="AH29" i="12"/>
  <c r="AI29" i="12"/>
  <c r="AJ29" i="12"/>
  <c r="AK29" i="12"/>
  <c r="AL29" i="12"/>
  <c r="AM29" i="12"/>
  <c r="X30" i="12"/>
  <c r="Y30" i="12"/>
  <c r="Z30" i="12"/>
  <c r="AA30" i="12"/>
  <c r="AB30" i="12"/>
  <c r="AC30" i="12"/>
  <c r="AD30" i="12"/>
  <c r="AE30" i="12"/>
  <c r="AF30" i="12"/>
  <c r="AG30" i="12"/>
  <c r="AH30" i="12"/>
  <c r="AI30" i="12"/>
  <c r="AJ30" i="12"/>
  <c r="AK30" i="12"/>
  <c r="AL30" i="12"/>
  <c r="AM30" i="12"/>
  <c r="X31" i="12"/>
  <c r="Y31" i="12"/>
  <c r="Z31" i="12"/>
  <c r="AA31" i="12"/>
  <c r="AB31" i="12"/>
  <c r="AC31" i="12"/>
  <c r="AD31" i="12"/>
  <c r="AE31" i="12"/>
  <c r="AF31" i="12"/>
  <c r="AG31" i="12"/>
  <c r="AH31" i="12"/>
  <c r="AI31" i="12"/>
  <c r="AJ31" i="12"/>
  <c r="AK31" i="12"/>
  <c r="AL31" i="12"/>
  <c r="AM31" i="12"/>
  <c r="X32" i="12"/>
  <c r="Y32" i="12"/>
  <c r="Z32" i="12"/>
  <c r="AA32" i="12"/>
  <c r="AB32" i="12"/>
  <c r="AC32" i="12"/>
  <c r="AD32" i="12"/>
  <c r="AE32" i="12"/>
  <c r="AF32" i="12"/>
  <c r="AG32" i="12"/>
  <c r="AH32" i="12"/>
  <c r="AI32" i="12"/>
  <c r="AJ32" i="12"/>
  <c r="AK32" i="12"/>
  <c r="AL32" i="12"/>
  <c r="AM32" i="12"/>
  <c r="Y6" i="12"/>
  <c r="Z6" i="12"/>
  <c r="AA6" i="12"/>
  <c r="AB6" i="12"/>
  <c r="AC6" i="12"/>
  <c r="AD6" i="12"/>
  <c r="AE6" i="12"/>
  <c r="AF6" i="12"/>
  <c r="AG6" i="12"/>
  <c r="AH6" i="12"/>
  <c r="AI6" i="12"/>
  <c r="AJ6" i="12"/>
  <c r="AK6" i="12"/>
  <c r="AL6" i="12"/>
  <c r="AM6" i="12"/>
  <c r="X6" i="12"/>
  <c r="Q104" i="9"/>
  <c r="Q102" i="9"/>
  <c r="Q103" i="9"/>
  <c r="Q97" i="9"/>
  <c r="Q98" i="9"/>
  <c r="Q99" i="9"/>
  <c r="Q100" i="9"/>
  <c r="Q101" i="9"/>
  <c r="Q93" i="9"/>
  <c r="Q94" i="9"/>
  <c r="Q95" i="9"/>
  <c r="Q96" i="9"/>
  <c r="Q90" i="9"/>
  <c r="Q91" i="9"/>
  <c r="Q92" i="9"/>
  <c r="Q85" i="9"/>
  <c r="Q86" i="9"/>
  <c r="Q87" i="9"/>
  <c r="Q88" i="9"/>
  <c r="Q89" i="9"/>
  <c r="Q74" i="9"/>
  <c r="Q75" i="9"/>
  <c r="Q76" i="9"/>
  <c r="Q77" i="9"/>
  <c r="Q78" i="9"/>
  <c r="Q79" i="9"/>
  <c r="Q80" i="9"/>
  <c r="Q81" i="9"/>
  <c r="Q82" i="9"/>
  <c r="Q83" i="9"/>
  <c r="Q84" i="9"/>
  <c r="Q73" i="9"/>
  <c r="Q7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380" i="9"/>
  <c r="P381" i="9"/>
  <c r="P382" i="9"/>
  <c r="P379" i="9"/>
  <c r="P378" i="9"/>
  <c r="D97" i="9"/>
  <c r="G9" i="15"/>
  <c r="G10" i="15"/>
  <c r="G6" i="15"/>
  <c r="G7" i="15"/>
  <c r="G8" i="15"/>
  <c r="G5" i="15"/>
  <c r="F6" i="15"/>
  <c r="F7" i="15"/>
  <c r="F8" i="15"/>
  <c r="F9" i="15"/>
  <c r="F10" i="15"/>
  <c r="F11" i="15"/>
  <c r="F12" i="15"/>
  <c r="F13" i="15"/>
  <c r="F14" i="15"/>
  <c r="F15" i="15"/>
  <c r="F16" i="15"/>
  <c r="F17" i="15"/>
  <c r="F18" i="15"/>
  <c r="F19" i="15"/>
  <c r="F20" i="15"/>
  <c r="F5" i="15"/>
  <c r="D515" i="9" l="1"/>
  <c r="E515" i="9"/>
  <c r="F515" i="9"/>
  <c r="G515" i="9"/>
  <c r="H515" i="9"/>
  <c r="I515" i="9"/>
  <c r="J515" i="9"/>
  <c r="K515" i="9"/>
  <c r="L515" i="9"/>
  <c r="M515" i="9"/>
  <c r="N515" i="9"/>
  <c r="O515" i="9"/>
  <c r="P515" i="9"/>
  <c r="Q515" i="9"/>
  <c r="D516" i="9"/>
  <c r="E516" i="9"/>
  <c r="F516" i="9"/>
  <c r="G516" i="9"/>
  <c r="H516" i="9"/>
  <c r="I516" i="9"/>
  <c r="J516" i="9"/>
  <c r="K516" i="9"/>
  <c r="L516" i="9"/>
  <c r="M516" i="9"/>
  <c r="N516" i="9"/>
  <c r="O516" i="9"/>
  <c r="P516" i="9"/>
  <c r="Q516" i="9"/>
  <c r="D517" i="9"/>
  <c r="E517" i="9"/>
  <c r="F517" i="9"/>
  <c r="G517" i="9"/>
  <c r="H517" i="9"/>
  <c r="I517" i="9"/>
  <c r="J517" i="9"/>
  <c r="K517" i="9"/>
  <c r="L517" i="9"/>
  <c r="M517" i="9"/>
  <c r="N517" i="9"/>
  <c r="O517" i="9"/>
  <c r="P517" i="9"/>
  <c r="Q517" i="9"/>
  <c r="D518" i="9"/>
  <c r="E518" i="9"/>
  <c r="F518" i="9"/>
  <c r="G518" i="9"/>
  <c r="H518" i="9"/>
  <c r="I518" i="9"/>
  <c r="J518" i="9"/>
  <c r="K518" i="9"/>
  <c r="L518" i="9"/>
  <c r="M518" i="9"/>
  <c r="N518" i="9"/>
  <c r="O518" i="9"/>
  <c r="P518" i="9"/>
  <c r="Q518" i="9"/>
  <c r="D519" i="9"/>
  <c r="E519" i="9"/>
  <c r="F519" i="9"/>
  <c r="G519" i="9"/>
  <c r="H519" i="9"/>
  <c r="I519" i="9"/>
  <c r="J519" i="9"/>
  <c r="K519" i="9"/>
  <c r="L519" i="9"/>
  <c r="M519" i="9"/>
  <c r="N519" i="9"/>
  <c r="O519" i="9"/>
  <c r="P519" i="9"/>
  <c r="Q519" i="9"/>
  <c r="D520" i="9"/>
  <c r="E520" i="9"/>
  <c r="F520" i="9"/>
  <c r="G520" i="9"/>
  <c r="H520" i="9"/>
  <c r="I520" i="9"/>
  <c r="J520" i="9"/>
  <c r="K520" i="9"/>
  <c r="L520" i="9"/>
  <c r="M520" i="9"/>
  <c r="N520" i="9"/>
  <c r="O520" i="9"/>
  <c r="P520" i="9"/>
  <c r="Q520" i="9"/>
  <c r="D521" i="9"/>
  <c r="E521" i="9"/>
  <c r="F521" i="9"/>
  <c r="G521" i="9"/>
  <c r="H521" i="9"/>
  <c r="I521" i="9"/>
  <c r="J521" i="9"/>
  <c r="K521" i="9"/>
  <c r="L521" i="9"/>
  <c r="M521" i="9"/>
  <c r="N521" i="9"/>
  <c r="O521" i="9"/>
  <c r="P521" i="9"/>
  <c r="Q521" i="9"/>
  <c r="D522" i="9"/>
  <c r="E522" i="9"/>
  <c r="F522" i="9"/>
  <c r="G522" i="9"/>
  <c r="H522" i="9"/>
  <c r="I522" i="9"/>
  <c r="J522" i="9"/>
  <c r="K522" i="9"/>
  <c r="L522" i="9"/>
  <c r="M522" i="9"/>
  <c r="N522" i="9"/>
  <c r="O522" i="9"/>
  <c r="P522" i="9"/>
  <c r="Q522" i="9"/>
  <c r="D523" i="9"/>
  <c r="E523" i="9"/>
  <c r="F523" i="9"/>
  <c r="G523" i="9"/>
  <c r="H523" i="9"/>
  <c r="I523" i="9"/>
  <c r="J523" i="9"/>
  <c r="K523" i="9"/>
  <c r="L523" i="9"/>
  <c r="M523" i="9"/>
  <c r="N523" i="9"/>
  <c r="O523" i="9"/>
  <c r="P523" i="9"/>
  <c r="Q523" i="9"/>
  <c r="D524" i="9"/>
  <c r="E524" i="9"/>
  <c r="F524" i="9"/>
  <c r="G524" i="9"/>
  <c r="H524" i="9"/>
  <c r="I524" i="9"/>
  <c r="J524" i="9"/>
  <c r="K524" i="9"/>
  <c r="L524" i="9"/>
  <c r="M524" i="9"/>
  <c r="N524" i="9"/>
  <c r="O524" i="9"/>
  <c r="P524" i="9"/>
  <c r="Q524" i="9"/>
  <c r="D525" i="9"/>
  <c r="E525" i="9"/>
  <c r="F525" i="9"/>
  <c r="G525" i="9"/>
  <c r="H525" i="9"/>
  <c r="I525" i="9"/>
  <c r="J525" i="9"/>
  <c r="K525" i="9"/>
  <c r="L525" i="9"/>
  <c r="M525" i="9"/>
  <c r="N525" i="9"/>
  <c r="O525" i="9"/>
  <c r="P525" i="9"/>
  <c r="Q525" i="9"/>
  <c r="D526" i="9"/>
  <c r="E526" i="9"/>
  <c r="F526" i="9"/>
  <c r="G526" i="9"/>
  <c r="H526" i="9"/>
  <c r="I526" i="9"/>
  <c r="J526" i="9"/>
  <c r="K526" i="9"/>
  <c r="L526" i="9"/>
  <c r="M526" i="9"/>
  <c r="N526" i="9"/>
  <c r="O526" i="9"/>
  <c r="P526" i="9"/>
  <c r="Q526" i="9"/>
  <c r="D527" i="9"/>
  <c r="E527" i="9"/>
  <c r="F527" i="9"/>
  <c r="G527" i="9"/>
  <c r="H527" i="9"/>
  <c r="I527" i="9"/>
  <c r="J527" i="9"/>
  <c r="K527" i="9"/>
  <c r="L527" i="9"/>
  <c r="M527" i="9"/>
  <c r="N527" i="9"/>
  <c r="O527" i="9"/>
  <c r="P527" i="9"/>
  <c r="Q527" i="9"/>
  <c r="D528" i="9"/>
  <c r="E528" i="9"/>
  <c r="F528" i="9"/>
  <c r="G528" i="9"/>
  <c r="H528" i="9"/>
  <c r="I528" i="9"/>
  <c r="J528" i="9"/>
  <c r="K528" i="9"/>
  <c r="L528" i="9"/>
  <c r="M528" i="9"/>
  <c r="N528" i="9"/>
  <c r="O528" i="9"/>
  <c r="P528" i="9"/>
  <c r="Q528" i="9"/>
  <c r="D529" i="9"/>
  <c r="E529" i="9"/>
  <c r="F529" i="9"/>
  <c r="G529" i="9"/>
  <c r="H529" i="9"/>
  <c r="I529" i="9"/>
  <c r="J529" i="9"/>
  <c r="K529" i="9"/>
  <c r="L529" i="9"/>
  <c r="M529" i="9"/>
  <c r="N529" i="9"/>
  <c r="O529" i="9"/>
  <c r="P529" i="9"/>
  <c r="Q529" i="9"/>
  <c r="D530" i="9"/>
  <c r="E530" i="9"/>
  <c r="F530" i="9"/>
  <c r="G530" i="9"/>
  <c r="H530" i="9"/>
  <c r="I530" i="9"/>
  <c r="J530" i="9"/>
  <c r="K530" i="9"/>
  <c r="L530" i="9"/>
  <c r="M530" i="9"/>
  <c r="N530" i="9"/>
  <c r="O530" i="9"/>
  <c r="P530" i="9"/>
  <c r="Q530" i="9"/>
  <c r="D531" i="9"/>
  <c r="E531" i="9"/>
  <c r="F531" i="9"/>
  <c r="G531" i="9"/>
  <c r="H531" i="9"/>
  <c r="I531" i="9"/>
  <c r="J531" i="9"/>
  <c r="K531" i="9"/>
  <c r="L531" i="9"/>
  <c r="M531" i="9"/>
  <c r="N531" i="9"/>
  <c r="O531" i="9"/>
  <c r="P531" i="9"/>
  <c r="Q531" i="9"/>
  <c r="D532" i="9"/>
  <c r="E532" i="9"/>
  <c r="F532" i="9"/>
  <c r="G532" i="9"/>
  <c r="H532" i="9"/>
  <c r="I532" i="9"/>
  <c r="J532" i="9"/>
  <c r="K532" i="9"/>
  <c r="L532" i="9"/>
  <c r="M532" i="9"/>
  <c r="N532" i="9"/>
  <c r="O532" i="9"/>
  <c r="P532" i="9"/>
  <c r="Q532" i="9"/>
  <c r="D533" i="9"/>
  <c r="E533" i="9"/>
  <c r="F533" i="9"/>
  <c r="G533" i="9"/>
  <c r="H533" i="9"/>
  <c r="I533" i="9"/>
  <c r="J533" i="9"/>
  <c r="K533" i="9"/>
  <c r="L533" i="9"/>
  <c r="M533" i="9"/>
  <c r="N533" i="9"/>
  <c r="O533" i="9"/>
  <c r="P533" i="9"/>
  <c r="Q533" i="9"/>
  <c r="D534" i="9"/>
  <c r="E534" i="9"/>
  <c r="F534" i="9"/>
  <c r="G534" i="9"/>
  <c r="H534" i="9"/>
  <c r="I534" i="9"/>
  <c r="J534" i="9"/>
  <c r="K534" i="9"/>
  <c r="L534" i="9"/>
  <c r="M534" i="9"/>
  <c r="N534" i="9"/>
  <c r="O534" i="9"/>
  <c r="P534" i="9"/>
  <c r="Q534" i="9"/>
  <c r="D535" i="9"/>
  <c r="E535" i="9"/>
  <c r="F535" i="9"/>
  <c r="G535" i="9"/>
  <c r="H535" i="9"/>
  <c r="I535" i="9"/>
  <c r="J535" i="9"/>
  <c r="K535" i="9"/>
  <c r="L535" i="9"/>
  <c r="M535" i="9"/>
  <c r="N535" i="9"/>
  <c r="O535" i="9"/>
  <c r="P535" i="9"/>
  <c r="Q535" i="9"/>
  <c r="D536" i="9"/>
  <c r="E536" i="9"/>
  <c r="F536" i="9"/>
  <c r="G536" i="9"/>
  <c r="H536" i="9"/>
  <c r="I536" i="9"/>
  <c r="J536" i="9"/>
  <c r="K536" i="9"/>
  <c r="L536" i="9"/>
  <c r="M536" i="9"/>
  <c r="N536" i="9"/>
  <c r="O536" i="9"/>
  <c r="P536" i="9"/>
  <c r="Q536" i="9"/>
  <c r="D537" i="9"/>
  <c r="E537" i="9"/>
  <c r="F537" i="9"/>
  <c r="G537" i="9"/>
  <c r="H537" i="9"/>
  <c r="I537" i="9"/>
  <c r="J537" i="9"/>
  <c r="K537" i="9"/>
  <c r="L537" i="9"/>
  <c r="M537" i="9"/>
  <c r="N537" i="9"/>
  <c r="O537" i="9"/>
  <c r="P537" i="9"/>
  <c r="Q537" i="9"/>
  <c r="D538" i="9"/>
  <c r="E538" i="9"/>
  <c r="F538" i="9"/>
  <c r="G538" i="9"/>
  <c r="H538" i="9"/>
  <c r="I538" i="9"/>
  <c r="J538" i="9"/>
  <c r="K538" i="9"/>
  <c r="L538" i="9"/>
  <c r="M538" i="9"/>
  <c r="N538" i="9"/>
  <c r="O538" i="9"/>
  <c r="P538" i="9"/>
  <c r="Q538" i="9"/>
  <c r="D539" i="9"/>
  <c r="E539" i="9"/>
  <c r="F539" i="9"/>
  <c r="G539" i="9"/>
  <c r="H539" i="9"/>
  <c r="I539" i="9"/>
  <c r="J539" i="9"/>
  <c r="K539" i="9"/>
  <c r="L539" i="9"/>
  <c r="M539" i="9"/>
  <c r="N539" i="9"/>
  <c r="O539" i="9"/>
  <c r="P539" i="9"/>
  <c r="Q539" i="9"/>
  <c r="D540" i="9"/>
  <c r="E540" i="9"/>
  <c r="F540" i="9"/>
  <c r="G540" i="9"/>
  <c r="H540" i="9"/>
  <c r="I540" i="9"/>
  <c r="J540" i="9"/>
  <c r="K540" i="9"/>
  <c r="L540" i="9"/>
  <c r="M540" i="9"/>
  <c r="N540" i="9"/>
  <c r="O540" i="9"/>
  <c r="P540" i="9"/>
  <c r="Q540" i="9"/>
  <c r="D541" i="9"/>
  <c r="E541" i="9"/>
  <c r="F541" i="9"/>
  <c r="G541" i="9"/>
  <c r="H541" i="9"/>
  <c r="I541" i="9"/>
  <c r="J541" i="9"/>
  <c r="K541" i="9"/>
  <c r="L541" i="9"/>
  <c r="M541" i="9"/>
  <c r="N541" i="9"/>
  <c r="O541" i="9"/>
  <c r="P541" i="9"/>
  <c r="Q541" i="9"/>
  <c r="D542" i="9"/>
  <c r="E542" i="9"/>
  <c r="F542" i="9"/>
  <c r="G542" i="9"/>
  <c r="H542" i="9"/>
  <c r="I542" i="9"/>
  <c r="J542" i="9"/>
  <c r="K542" i="9"/>
  <c r="L542" i="9"/>
  <c r="M542" i="9"/>
  <c r="N542" i="9"/>
  <c r="O542" i="9"/>
  <c r="P542" i="9"/>
  <c r="Q542" i="9"/>
  <c r="D543" i="9"/>
  <c r="E543" i="9"/>
  <c r="F543" i="9"/>
  <c r="G543" i="9"/>
  <c r="H543" i="9"/>
  <c r="I543" i="9"/>
  <c r="J543" i="9"/>
  <c r="K543" i="9"/>
  <c r="L543" i="9"/>
  <c r="M543" i="9"/>
  <c r="N543" i="9"/>
  <c r="O543" i="9"/>
  <c r="P543" i="9"/>
  <c r="Q543" i="9"/>
  <c r="D544" i="9"/>
  <c r="E544" i="9"/>
  <c r="F544" i="9"/>
  <c r="G544" i="9"/>
  <c r="H544" i="9"/>
  <c r="I544" i="9"/>
  <c r="J544" i="9"/>
  <c r="K544" i="9"/>
  <c r="L544" i="9"/>
  <c r="M544" i="9"/>
  <c r="N544" i="9"/>
  <c r="O544" i="9"/>
  <c r="P544" i="9"/>
  <c r="Q544" i="9"/>
  <c r="D545" i="9"/>
  <c r="E545" i="9"/>
  <c r="F545" i="9"/>
  <c r="G545" i="9"/>
  <c r="H545" i="9"/>
  <c r="I545" i="9"/>
  <c r="J545" i="9"/>
  <c r="K545" i="9"/>
  <c r="L545" i="9"/>
  <c r="M545" i="9"/>
  <c r="N545" i="9"/>
  <c r="O545" i="9"/>
  <c r="P545" i="9"/>
  <c r="Q545" i="9"/>
  <c r="D546" i="9"/>
  <c r="E546" i="9"/>
  <c r="F546" i="9"/>
  <c r="G546" i="9"/>
  <c r="H546" i="9"/>
  <c r="I546" i="9"/>
  <c r="J546" i="9"/>
  <c r="K546" i="9"/>
  <c r="L546" i="9"/>
  <c r="M546" i="9"/>
  <c r="N546" i="9"/>
  <c r="O546" i="9"/>
  <c r="P546" i="9"/>
  <c r="Q546" i="9"/>
  <c r="Q514" i="9"/>
  <c r="P514" i="9"/>
  <c r="O514" i="9"/>
  <c r="N514" i="9"/>
  <c r="M514" i="9"/>
  <c r="L514" i="9"/>
  <c r="K514" i="9"/>
  <c r="J514" i="9"/>
  <c r="I514" i="9"/>
  <c r="H514" i="9"/>
  <c r="G514" i="9"/>
  <c r="F514" i="9"/>
  <c r="E514" i="9"/>
  <c r="D514" i="9"/>
  <c r="D481" i="9"/>
  <c r="E481" i="9"/>
  <c r="F481" i="9"/>
  <c r="G481" i="9"/>
  <c r="H481" i="9"/>
  <c r="I481" i="9"/>
  <c r="J481" i="9"/>
  <c r="K481" i="9"/>
  <c r="L481" i="9"/>
  <c r="M481" i="9"/>
  <c r="N481" i="9"/>
  <c r="O481" i="9"/>
  <c r="P481" i="9"/>
  <c r="Q481" i="9"/>
  <c r="D482" i="9"/>
  <c r="E482" i="9"/>
  <c r="F482" i="9"/>
  <c r="G482" i="9"/>
  <c r="H482" i="9"/>
  <c r="I482" i="9"/>
  <c r="J482" i="9"/>
  <c r="K482" i="9"/>
  <c r="L482" i="9"/>
  <c r="M482" i="9"/>
  <c r="N482" i="9"/>
  <c r="O482" i="9"/>
  <c r="P482" i="9"/>
  <c r="Q482" i="9"/>
  <c r="D483" i="9"/>
  <c r="E483" i="9"/>
  <c r="F483" i="9"/>
  <c r="G483" i="9"/>
  <c r="H483" i="9"/>
  <c r="I483" i="9"/>
  <c r="J483" i="9"/>
  <c r="K483" i="9"/>
  <c r="L483" i="9"/>
  <c r="M483" i="9"/>
  <c r="N483" i="9"/>
  <c r="O483" i="9"/>
  <c r="P483" i="9"/>
  <c r="Q483" i="9"/>
  <c r="D484" i="9"/>
  <c r="E484" i="9"/>
  <c r="F484" i="9"/>
  <c r="G484" i="9"/>
  <c r="H484" i="9"/>
  <c r="I484" i="9"/>
  <c r="J484" i="9"/>
  <c r="K484" i="9"/>
  <c r="L484" i="9"/>
  <c r="M484" i="9"/>
  <c r="N484" i="9"/>
  <c r="O484" i="9"/>
  <c r="P484" i="9"/>
  <c r="Q484" i="9"/>
  <c r="D485" i="9"/>
  <c r="E485" i="9"/>
  <c r="F485" i="9"/>
  <c r="G485" i="9"/>
  <c r="H485" i="9"/>
  <c r="I485" i="9"/>
  <c r="J485" i="9"/>
  <c r="K485" i="9"/>
  <c r="L485" i="9"/>
  <c r="M485" i="9"/>
  <c r="N485" i="9"/>
  <c r="O485" i="9"/>
  <c r="P485" i="9"/>
  <c r="Q485" i="9"/>
  <c r="D486" i="9"/>
  <c r="E486" i="9"/>
  <c r="F486" i="9"/>
  <c r="G486" i="9"/>
  <c r="H486" i="9"/>
  <c r="I486" i="9"/>
  <c r="J486" i="9"/>
  <c r="K486" i="9"/>
  <c r="L486" i="9"/>
  <c r="M486" i="9"/>
  <c r="N486" i="9"/>
  <c r="O486" i="9"/>
  <c r="P486" i="9"/>
  <c r="Q486" i="9"/>
  <c r="D487" i="9"/>
  <c r="E487" i="9"/>
  <c r="F487" i="9"/>
  <c r="G487" i="9"/>
  <c r="H487" i="9"/>
  <c r="I487" i="9"/>
  <c r="J487" i="9"/>
  <c r="K487" i="9"/>
  <c r="L487" i="9"/>
  <c r="M487" i="9"/>
  <c r="N487" i="9"/>
  <c r="O487" i="9"/>
  <c r="P487" i="9"/>
  <c r="Q487" i="9"/>
  <c r="D488" i="9"/>
  <c r="E488" i="9"/>
  <c r="F488" i="9"/>
  <c r="G488" i="9"/>
  <c r="H488" i="9"/>
  <c r="I488" i="9"/>
  <c r="J488" i="9"/>
  <c r="K488" i="9"/>
  <c r="L488" i="9"/>
  <c r="M488" i="9"/>
  <c r="N488" i="9"/>
  <c r="O488" i="9"/>
  <c r="P488" i="9"/>
  <c r="Q488" i="9"/>
  <c r="D489" i="9"/>
  <c r="E489" i="9"/>
  <c r="F489" i="9"/>
  <c r="G489" i="9"/>
  <c r="H489" i="9"/>
  <c r="I489" i="9"/>
  <c r="J489" i="9"/>
  <c r="K489" i="9"/>
  <c r="L489" i="9"/>
  <c r="M489" i="9"/>
  <c r="N489" i="9"/>
  <c r="O489" i="9"/>
  <c r="P489" i="9"/>
  <c r="Q489" i="9"/>
  <c r="D490" i="9"/>
  <c r="E490" i="9"/>
  <c r="F490" i="9"/>
  <c r="G490" i="9"/>
  <c r="H490" i="9"/>
  <c r="I490" i="9"/>
  <c r="J490" i="9"/>
  <c r="K490" i="9"/>
  <c r="L490" i="9"/>
  <c r="M490" i="9"/>
  <c r="N490" i="9"/>
  <c r="O490" i="9"/>
  <c r="P490" i="9"/>
  <c r="Q490" i="9"/>
  <c r="D491" i="9"/>
  <c r="E491" i="9"/>
  <c r="F491" i="9"/>
  <c r="G491" i="9"/>
  <c r="H491" i="9"/>
  <c r="I491" i="9"/>
  <c r="J491" i="9"/>
  <c r="K491" i="9"/>
  <c r="L491" i="9"/>
  <c r="M491" i="9"/>
  <c r="N491" i="9"/>
  <c r="O491" i="9"/>
  <c r="P491" i="9"/>
  <c r="Q491" i="9"/>
  <c r="D492" i="9"/>
  <c r="E492" i="9"/>
  <c r="F492" i="9"/>
  <c r="G492" i="9"/>
  <c r="H492" i="9"/>
  <c r="I492" i="9"/>
  <c r="J492" i="9"/>
  <c r="K492" i="9"/>
  <c r="L492" i="9"/>
  <c r="M492" i="9"/>
  <c r="N492" i="9"/>
  <c r="O492" i="9"/>
  <c r="P492" i="9"/>
  <c r="Q492" i="9"/>
  <c r="D493" i="9"/>
  <c r="E493" i="9"/>
  <c r="F493" i="9"/>
  <c r="G493" i="9"/>
  <c r="H493" i="9"/>
  <c r="I493" i="9"/>
  <c r="J493" i="9"/>
  <c r="K493" i="9"/>
  <c r="L493" i="9"/>
  <c r="M493" i="9"/>
  <c r="N493" i="9"/>
  <c r="O493" i="9"/>
  <c r="P493" i="9"/>
  <c r="Q493" i="9"/>
  <c r="D494" i="9"/>
  <c r="E494" i="9"/>
  <c r="F494" i="9"/>
  <c r="G494" i="9"/>
  <c r="H494" i="9"/>
  <c r="I494" i="9"/>
  <c r="J494" i="9"/>
  <c r="K494" i="9"/>
  <c r="L494" i="9"/>
  <c r="M494" i="9"/>
  <c r="N494" i="9"/>
  <c r="O494" i="9"/>
  <c r="P494" i="9"/>
  <c r="Q494" i="9"/>
  <c r="D495" i="9"/>
  <c r="E495" i="9"/>
  <c r="F495" i="9"/>
  <c r="G495" i="9"/>
  <c r="H495" i="9"/>
  <c r="I495" i="9"/>
  <c r="J495" i="9"/>
  <c r="K495" i="9"/>
  <c r="L495" i="9"/>
  <c r="M495" i="9"/>
  <c r="N495" i="9"/>
  <c r="O495" i="9"/>
  <c r="P495" i="9"/>
  <c r="Q495" i="9"/>
  <c r="D496" i="9"/>
  <c r="E496" i="9"/>
  <c r="F496" i="9"/>
  <c r="G496" i="9"/>
  <c r="H496" i="9"/>
  <c r="I496" i="9"/>
  <c r="J496" i="9"/>
  <c r="K496" i="9"/>
  <c r="L496" i="9"/>
  <c r="M496" i="9"/>
  <c r="N496" i="9"/>
  <c r="O496" i="9"/>
  <c r="P496" i="9"/>
  <c r="Q496" i="9"/>
  <c r="D497" i="9"/>
  <c r="E497" i="9"/>
  <c r="F497" i="9"/>
  <c r="G497" i="9"/>
  <c r="H497" i="9"/>
  <c r="I497" i="9"/>
  <c r="J497" i="9"/>
  <c r="K497" i="9"/>
  <c r="L497" i="9"/>
  <c r="M497" i="9"/>
  <c r="N497" i="9"/>
  <c r="O497" i="9"/>
  <c r="P497" i="9"/>
  <c r="Q497" i="9"/>
  <c r="D498" i="9"/>
  <c r="E498" i="9"/>
  <c r="F498" i="9"/>
  <c r="G498" i="9"/>
  <c r="H498" i="9"/>
  <c r="I498" i="9"/>
  <c r="J498" i="9"/>
  <c r="K498" i="9"/>
  <c r="L498" i="9"/>
  <c r="M498" i="9"/>
  <c r="N498" i="9"/>
  <c r="O498" i="9"/>
  <c r="P498" i="9"/>
  <c r="Q498" i="9"/>
  <c r="D499" i="9"/>
  <c r="E499" i="9"/>
  <c r="F499" i="9"/>
  <c r="G499" i="9"/>
  <c r="H499" i="9"/>
  <c r="I499" i="9"/>
  <c r="J499" i="9"/>
  <c r="K499" i="9"/>
  <c r="L499" i="9"/>
  <c r="M499" i="9"/>
  <c r="N499" i="9"/>
  <c r="O499" i="9"/>
  <c r="P499" i="9"/>
  <c r="Q499" i="9"/>
  <c r="D500" i="9"/>
  <c r="E500" i="9"/>
  <c r="F500" i="9"/>
  <c r="G500" i="9"/>
  <c r="H500" i="9"/>
  <c r="I500" i="9"/>
  <c r="J500" i="9"/>
  <c r="K500" i="9"/>
  <c r="L500" i="9"/>
  <c r="M500" i="9"/>
  <c r="N500" i="9"/>
  <c r="O500" i="9"/>
  <c r="P500" i="9"/>
  <c r="Q500" i="9"/>
  <c r="D501" i="9"/>
  <c r="E501" i="9"/>
  <c r="F501" i="9"/>
  <c r="G501" i="9"/>
  <c r="H501" i="9"/>
  <c r="I501" i="9"/>
  <c r="J501" i="9"/>
  <c r="K501" i="9"/>
  <c r="L501" i="9"/>
  <c r="M501" i="9"/>
  <c r="N501" i="9"/>
  <c r="O501" i="9"/>
  <c r="P501" i="9"/>
  <c r="Q501" i="9"/>
  <c r="D502" i="9"/>
  <c r="E502" i="9"/>
  <c r="F502" i="9"/>
  <c r="G502" i="9"/>
  <c r="H502" i="9"/>
  <c r="I502" i="9"/>
  <c r="J502" i="9"/>
  <c r="K502" i="9"/>
  <c r="L502" i="9"/>
  <c r="M502" i="9"/>
  <c r="N502" i="9"/>
  <c r="O502" i="9"/>
  <c r="P502" i="9"/>
  <c r="Q502" i="9"/>
  <c r="D503" i="9"/>
  <c r="E503" i="9"/>
  <c r="F503" i="9"/>
  <c r="G503" i="9"/>
  <c r="H503" i="9"/>
  <c r="I503" i="9"/>
  <c r="J503" i="9"/>
  <c r="K503" i="9"/>
  <c r="L503" i="9"/>
  <c r="M503" i="9"/>
  <c r="N503" i="9"/>
  <c r="O503" i="9"/>
  <c r="P503" i="9"/>
  <c r="Q503" i="9"/>
  <c r="D504" i="9"/>
  <c r="E504" i="9"/>
  <c r="F504" i="9"/>
  <c r="G504" i="9"/>
  <c r="H504" i="9"/>
  <c r="I504" i="9"/>
  <c r="J504" i="9"/>
  <c r="K504" i="9"/>
  <c r="L504" i="9"/>
  <c r="M504" i="9"/>
  <c r="N504" i="9"/>
  <c r="O504" i="9"/>
  <c r="P504" i="9"/>
  <c r="Q504" i="9"/>
  <c r="D505" i="9"/>
  <c r="E505" i="9"/>
  <c r="F505" i="9"/>
  <c r="G505" i="9"/>
  <c r="H505" i="9"/>
  <c r="I505" i="9"/>
  <c r="J505" i="9"/>
  <c r="K505" i="9"/>
  <c r="L505" i="9"/>
  <c r="M505" i="9"/>
  <c r="N505" i="9"/>
  <c r="O505" i="9"/>
  <c r="P505" i="9"/>
  <c r="Q505" i="9"/>
  <c r="D506" i="9"/>
  <c r="E506" i="9"/>
  <c r="F506" i="9"/>
  <c r="G506" i="9"/>
  <c r="H506" i="9"/>
  <c r="I506" i="9"/>
  <c r="J506" i="9"/>
  <c r="K506" i="9"/>
  <c r="L506" i="9"/>
  <c r="M506" i="9"/>
  <c r="N506" i="9"/>
  <c r="O506" i="9"/>
  <c r="P506" i="9"/>
  <c r="Q506" i="9"/>
  <c r="D507" i="9"/>
  <c r="E507" i="9"/>
  <c r="F507" i="9"/>
  <c r="G507" i="9"/>
  <c r="H507" i="9"/>
  <c r="I507" i="9"/>
  <c r="J507" i="9"/>
  <c r="K507" i="9"/>
  <c r="L507" i="9"/>
  <c r="M507" i="9"/>
  <c r="N507" i="9"/>
  <c r="O507" i="9"/>
  <c r="P507" i="9"/>
  <c r="Q507" i="9"/>
  <c r="D508" i="9"/>
  <c r="E508" i="9"/>
  <c r="F508" i="9"/>
  <c r="G508" i="9"/>
  <c r="H508" i="9"/>
  <c r="I508" i="9"/>
  <c r="J508" i="9"/>
  <c r="K508" i="9"/>
  <c r="L508" i="9"/>
  <c r="M508" i="9"/>
  <c r="N508" i="9"/>
  <c r="O508" i="9"/>
  <c r="P508" i="9"/>
  <c r="Q508" i="9"/>
  <c r="D509" i="9"/>
  <c r="E509" i="9"/>
  <c r="F509" i="9"/>
  <c r="G509" i="9"/>
  <c r="H509" i="9"/>
  <c r="I509" i="9"/>
  <c r="J509" i="9"/>
  <c r="K509" i="9"/>
  <c r="L509" i="9"/>
  <c r="M509" i="9"/>
  <c r="N509" i="9"/>
  <c r="O509" i="9"/>
  <c r="P509" i="9"/>
  <c r="Q509" i="9"/>
  <c r="D510" i="9"/>
  <c r="E510" i="9"/>
  <c r="F510" i="9"/>
  <c r="G510" i="9"/>
  <c r="H510" i="9"/>
  <c r="I510" i="9"/>
  <c r="J510" i="9"/>
  <c r="K510" i="9"/>
  <c r="L510" i="9"/>
  <c r="M510" i="9"/>
  <c r="N510" i="9"/>
  <c r="O510" i="9"/>
  <c r="P510" i="9"/>
  <c r="Q510" i="9"/>
  <c r="D511" i="9"/>
  <c r="E511" i="9"/>
  <c r="F511" i="9"/>
  <c r="G511" i="9"/>
  <c r="H511" i="9"/>
  <c r="I511" i="9"/>
  <c r="J511" i="9"/>
  <c r="K511" i="9"/>
  <c r="L511" i="9"/>
  <c r="M511" i="9"/>
  <c r="N511" i="9"/>
  <c r="O511" i="9"/>
  <c r="P511" i="9"/>
  <c r="Q511" i="9"/>
  <c r="D512" i="9"/>
  <c r="E512" i="9"/>
  <c r="F512" i="9"/>
  <c r="G512" i="9"/>
  <c r="H512" i="9"/>
  <c r="I512" i="9"/>
  <c r="J512" i="9"/>
  <c r="K512" i="9"/>
  <c r="L512" i="9"/>
  <c r="M512" i="9"/>
  <c r="N512" i="9"/>
  <c r="O512" i="9"/>
  <c r="P512" i="9"/>
  <c r="Q512" i="9"/>
  <c r="Q480" i="9"/>
  <c r="P480" i="9"/>
  <c r="O480" i="9"/>
  <c r="N480" i="9"/>
  <c r="M480" i="9"/>
  <c r="L480" i="9"/>
  <c r="K480" i="9"/>
  <c r="J480" i="9"/>
  <c r="I480" i="9"/>
  <c r="H480" i="9"/>
  <c r="G480" i="9"/>
  <c r="F480" i="9"/>
  <c r="E480" i="9"/>
  <c r="D480" i="9"/>
  <c r="D478" i="9"/>
  <c r="E478" i="9"/>
  <c r="F478" i="9"/>
  <c r="G478" i="9"/>
  <c r="H478" i="9"/>
  <c r="I478" i="9"/>
  <c r="J478" i="9"/>
  <c r="K478" i="9"/>
  <c r="L478" i="9"/>
  <c r="M478" i="9"/>
  <c r="N478" i="9"/>
  <c r="O478" i="9"/>
  <c r="P478" i="9"/>
  <c r="Q478" i="9"/>
  <c r="D447" i="9"/>
  <c r="E447" i="9"/>
  <c r="F447" i="9"/>
  <c r="G447" i="9"/>
  <c r="H447" i="9"/>
  <c r="I447" i="9"/>
  <c r="J447" i="9"/>
  <c r="K447" i="9"/>
  <c r="L447" i="9"/>
  <c r="M447" i="9"/>
  <c r="N447" i="9"/>
  <c r="O447" i="9"/>
  <c r="P447" i="9"/>
  <c r="Q447" i="9"/>
  <c r="D448" i="9"/>
  <c r="E448" i="9"/>
  <c r="F448" i="9"/>
  <c r="G448" i="9"/>
  <c r="H448" i="9"/>
  <c r="I448" i="9"/>
  <c r="J448" i="9"/>
  <c r="K448" i="9"/>
  <c r="L448" i="9"/>
  <c r="M448" i="9"/>
  <c r="N448" i="9"/>
  <c r="O448" i="9"/>
  <c r="P448" i="9"/>
  <c r="Q448" i="9"/>
  <c r="D449" i="9"/>
  <c r="E449" i="9"/>
  <c r="F449" i="9"/>
  <c r="G449" i="9"/>
  <c r="H449" i="9"/>
  <c r="I449" i="9"/>
  <c r="J449" i="9"/>
  <c r="K449" i="9"/>
  <c r="L449" i="9"/>
  <c r="M449" i="9"/>
  <c r="N449" i="9"/>
  <c r="O449" i="9"/>
  <c r="P449" i="9"/>
  <c r="Q449" i="9"/>
  <c r="D450" i="9"/>
  <c r="E450" i="9"/>
  <c r="F450" i="9"/>
  <c r="G450" i="9"/>
  <c r="H450" i="9"/>
  <c r="I450" i="9"/>
  <c r="J450" i="9"/>
  <c r="K450" i="9"/>
  <c r="L450" i="9"/>
  <c r="M450" i="9"/>
  <c r="N450" i="9"/>
  <c r="O450" i="9"/>
  <c r="P450" i="9"/>
  <c r="Q450" i="9"/>
  <c r="D451" i="9"/>
  <c r="E451" i="9"/>
  <c r="F451" i="9"/>
  <c r="G451" i="9"/>
  <c r="H451" i="9"/>
  <c r="I451" i="9"/>
  <c r="J451" i="9"/>
  <c r="K451" i="9"/>
  <c r="L451" i="9"/>
  <c r="M451" i="9"/>
  <c r="N451" i="9"/>
  <c r="O451" i="9"/>
  <c r="P451" i="9"/>
  <c r="Q451" i="9"/>
  <c r="D452" i="9"/>
  <c r="E452" i="9"/>
  <c r="F452" i="9"/>
  <c r="G452" i="9"/>
  <c r="H452" i="9"/>
  <c r="I452" i="9"/>
  <c r="J452" i="9"/>
  <c r="K452" i="9"/>
  <c r="L452" i="9"/>
  <c r="M452" i="9"/>
  <c r="N452" i="9"/>
  <c r="O452" i="9"/>
  <c r="P452" i="9"/>
  <c r="Q452" i="9"/>
  <c r="D453" i="9"/>
  <c r="E453" i="9"/>
  <c r="F453" i="9"/>
  <c r="G453" i="9"/>
  <c r="H453" i="9"/>
  <c r="I453" i="9"/>
  <c r="J453" i="9"/>
  <c r="K453" i="9"/>
  <c r="L453" i="9"/>
  <c r="M453" i="9"/>
  <c r="N453" i="9"/>
  <c r="O453" i="9"/>
  <c r="P453" i="9"/>
  <c r="Q453" i="9"/>
  <c r="D454" i="9"/>
  <c r="E454" i="9"/>
  <c r="F454" i="9"/>
  <c r="G454" i="9"/>
  <c r="H454" i="9"/>
  <c r="I454" i="9"/>
  <c r="J454" i="9"/>
  <c r="K454" i="9"/>
  <c r="L454" i="9"/>
  <c r="M454" i="9"/>
  <c r="N454" i="9"/>
  <c r="O454" i="9"/>
  <c r="P454" i="9"/>
  <c r="Q454" i="9"/>
  <c r="D455" i="9"/>
  <c r="E455" i="9"/>
  <c r="F455" i="9"/>
  <c r="G455" i="9"/>
  <c r="H455" i="9"/>
  <c r="I455" i="9"/>
  <c r="J455" i="9"/>
  <c r="K455" i="9"/>
  <c r="L455" i="9"/>
  <c r="M455" i="9"/>
  <c r="N455" i="9"/>
  <c r="O455" i="9"/>
  <c r="P455" i="9"/>
  <c r="Q455" i="9"/>
  <c r="D456" i="9"/>
  <c r="E456" i="9"/>
  <c r="F456" i="9"/>
  <c r="G456" i="9"/>
  <c r="H456" i="9"/>
  <c r="I456" i="9"/>
  <c r="J456" i="9"/>
  <c r="K456" i="9"/>
  <c r="L456" i="9"/>
  <c r="M456" i="9"/>
  <c r="N456" i="9"/>
  <c r="O456" i="9"/>
  <c r="P456" i="9"/>
  <c r="Q456" i="9"/>
  <c r="D457" i="9"/>
  <c r="E457" i="9"/>
  <c r="F457" i="9"/>
  <c r="G457" i="9"/>
  <c r="H457" i="9"/>
  <c r="I457" i="9"/>
  <c r="J457" i="9"/>
  <c r="K457" i="9"/>
  <c r="L457" i="9"/>
  <c r="M457" i="9"/>
  <c r="N457" i="9"/>
  <c r="O457" i="9"/>
  <c r="P457" i="9"/>
  <c r="Q457" i="9"/>
  <c r="D458" i="9"/>
  <c r="E458" i="9"/>
  <c r="F458" i="9"/>
  <c r="G458" i="9"/>
  <c r="H458" i="9"/>
  <c r="I458" i="9"/>
  <c r="J458" i="9"/>
  <c r="K458" i="9"/>
  <c r="L458" i="9"/>
  <c r="M458" i="9"/>
  <c r="N458" i="9"/>
  <c r="O458" i="9"/>
  <c r="P458" i="9"/>
  <c r="Q458" i="9"/>
  <c r="D459" i="9"/>
  <c r="E459" i="9"/>
  <c r="F459" i="9"/>
  <c r="G459" i="9"/>
  <c r="H459" i="9"/>
  <c r="I459" i="9"/>
  <c r="J459" i="9"/>
  <c r="K459" i="9"/>
  <c r="L459" i="9"/>
  <c r="M459" i="9"/>
  <c r="N459" i="9"/>
  <c r="O459" i="9"/>
  <c r="P459" i="9"/>
  <c r="Q459" i="9"/>
  <c r="D460" i="9"/>
  <c r="E460" i="9"/>
  <c r="F460" i="9"/>
  <c r="G460" i="9"/>
  <c r="H460" i="9"/>
  <c r="I460" i="9"/>
  <c r="J460" i="9"/>
  <c r="K460" i="9"/>
  <c r="L460" i="9"/>
  <c r="M460" i="9"/>
  <c r="N460" i="9"/>
  <c r="O460" i="9"/>
  <c r="P460" i="9"/>
  <c r="Q460" i="9"/>
  <c r="D461" i="9"/>
  <c r="E461" i="9"/>
  <c r="F461" i="9"/>
  <c r="G461" i="9"/>
  <c r="H461" i="9"/>
  <c r="I461" i="9"/>
  <c r="J461" i="9"/>
  <c r="K461" i="9"/>
  <c r="L461" i="9"/>
  <c r="M461" i="9"/>
  <c r="N461" i="9"/>
  <c r="O461" i="9"/>
  <c r="P461" i="9"/>
  <c r="Q461" i="9"/>
  <c r="D462" i="9"/>
  <c r="E462" i="9"/>
  <c r="F462" i="9"/>
  <c r="G462" i="9"/>
  <c r="H462" i="9"/>
  <c r="I462" i="9"/>
  <c r="J462" i="9"/>
  <c r="K462" i="9"/>
  <c r="L462" i="9"/>
  <c r="M462" i="9"/>
  <c r="N462" i="9"/>
  <c r="O462" i="9"/>
  <c r="P462" i="9"/>
  <c r="Q462" i="9"/>
  <c r="D463" i="9"/>
  <c r="E463" i="9"/>
  <c r="F463" i="9"/>
  <c r="G463" i="9"/>
  <c r="H463" i="9"/>
  <c r="I463" i="9"/>
  <c r="J463" i="9"/>
  <c r="K463" i="9"/>
  <c r="L463" i="9"/>
  <c r="M463" i="9"/>
  <c r="N463" i="9"/>
  <c r="O463" i="9"/>
  <c r="P463" i="9"/>
  <c r="Q463" i="9"/>
  <c r="D464" i="9"/>
  <c r="E464" i="9"/>
  <c r="F464" i="9"/>
  <c r="G464" i="9"/>
  <c r="H464" i="9"/>
  <c r="I464" i="9"/>
  <c r="J464" i="9"/>
  <c r="K464" i="9"/>
  <c r="L464" i="9"/>
  <c r="M464" i="9"/>
  <c r="N464" i="9"/>
  <c r="O464" i="9"/>
  <c r="P464" i="9"/>
  <c r="Q464" i="9"/>
  <c r="D465" i="9"/>
  <c r="E465" i="9"/>
  <c r="F465" i="9"/>
  <c r="G465" i="9"/>
  <c r="H465" i="9"/>
  <c r="I465" i="9"/>
  <c r="J465" i="9"/>
  <c r="K465" i="9"/>
  <c r="L465" i="9"/>
  <c r="M465" i="9"/>
  <c r="N465" i="9"/>
  <c r="O465" i="9"/>
  <c r="P465" i="9"/>
  <c r="Q465" i="9"/>
  <c r="D466" i="9"/>
  <c r="E466" i="9"/>
  <c r="F466" i="9"/>
  <c r="G466" i="9"/>
  <c r="H466" i="9"/>
  <c r="I466" i="9"/>
  <c r="J466" i="9"/>
  <c r="K466" i="9"/>
  <c r="L466" i="9"/>
  <c r="M466" i="9"/>
  <c r="N466" i="9"/>
  <c r="O466" i="9"/>
  <c r="P466" i="9"/>
  <c r="Q466" i="9"/>
  <c r="D467" i="9"/>
  <c r="E467" i="9"/>
  <c r="F467" i="9"/>
  <c r="G467" i="9"/>
  <c r="H467" i="9"/>
  <c r="I467" i="9"/>
  <c r="J467" i="9"/>
  <c r="K467" i="9"/>
  <c r="L467" i="9"/>
  <c r="M467" i="9"/>
  <c r="N467" i="9"/>
  <c r="O467" i="9"/>
  <c r="P467" i="9"/>
  <c r="Q467" i="9"/>
  <c r="D468" i="9"/>
  <c r="E468" i="9"/>
  <c r="F468" i="9"/>
  <c r="G468" i="9"/>
  <c r="H468" i="9"/>
  <c r="I468" i="9"/>
  <c r="J468" i="9"/>
  <c r="K468" i="9"/>
  <c r="L468" i="9"/>
  <c r="M468" i="9"/>
  <c r="N468" i="9"/>
  <c r="O468" i="9"/>
  <c r="P468" i="9"/>
  <c r="Q468" i="9"/>
  <c r="D469" i="9"/>
  <c r="E469" i="9"/>
  <c r="F469" i="9"/>
  <c r="G469" i="9"/>
  <c r="H469" i="9"/>
  <c r="I469" i="9"/>
  <c r="J469" i="9"/>
  <c r="K469" i="9"/>
  <c r="L469" i="9"/>
  <c r="M469" i="9"/>
  <c r="N469" i="9"/>
  <c r="O469" i="9"/>
  <c r="P469" i="9"/>
  <c r="Q469" i="9"/>
  <c r="D470" i="9"/>
  <c r="E470" i="9"/>
  <c r="F470" i="9"/>
  <c r="G470" i="9"/>
  <c r="H470" i="9"/>
  <c r="I470" i="9"/>
  <c r="J470" i="9"/>
  <c r="K470" i="9"/>
  <c r="L470" i="9"/>
  <c r="M470" i="9"/>
  <c r="N470" i="9"/>
  <c r="O470" i="9"/>
  <c r="P470" i="9"/>
  <c r="Q470" i="9"/>
  <c r="D471" i="9"/>
  <c r="E471" i="9"/>
  <c r="F471" i="9"/>
  <c r="G471" i="9"/>
  <c r="H471" i="9"/>
  <c r="I471" i="9"/>
  <c r="J471" i="9"/>
  <c r="K471" i="9"/>
  <c r="L471" i="9"/>
  <c r="M471" i="9"/>
  <c r="N471" i="9"/>
  <c r="O471" i="9"/>
  <c r="P471" i="9"/>
  <c r="Q471" i="9"/>
  <c r="D472" i="9"/>
  <c r="E472" i="9"/>
  <c r="F472" i="9"/>
  <c r="G472" i="9"/>
  <c r="H472" i="9"/>
  <c r="I472" i="9"/>
  <c r="J472" i="9"/>
  <c r="K472" i="9"/>
  <c r="L472" i="9"/>
  <c r="M472" i="9"/>
  <c r="N472" i="9"/>
  <c r="O472" i="9"/>
  <c r="P472" i="9"/>
  <c r="Q472" i="9"/>
  <c r="D473" i="9"/>
  <c r="E473" i="9"/>
  <c r="F473" i="9"/>
  <c r="G473" i="9"/>
  <c r="H473" i="9"/>
  <c r="I473" i="9"/>
  <c r="J473" i="9"/>
  <c r="K473" i="9"/>
  <c r="L473" i="9"/>
  <c r="M473" i="9"/>
  <c r="N473" i="9"/>
  <c r="O473" i="9"/>
  <c r="P473" i="9"/>
  <c r="Q473" i="9"/>
  <c r="D474" i="9"/>
  <c r="E474" i="9"/>
  <c r="F474" i="9"/>
  <c r="G474" i="9"/>
  <c r="H474" i="9"/>
  <c r="I474" i="9"/>
  <c r="J474" i="9"/>
  <c r="K474" i="9"/>
  <c r="L474" i="9"/>
  <c r="M474" i="9"/>
  <c r="N474" i="9"/>
  <c r="O474" i="9"/>
  <c r="P474" i="9"/>
  <c r="Q474" i="9"/>
  <c r="D475" i="9"/>
  <c r="E475" i="9"/>
  <c r="F475" i="9"/>
  <c r="G475" i="9"/>
  <c r="H475" i="9"/>
  <c r="I475" i="9"/>
  <c r="J475" i="9"/>
  <c r="K475" i="9"/>
  <c r="L475" i="9"/>
  <c r="M475" i="9"/>
  <c r="N475" i="9"/>
  <c r="O475" i="9"/>
  <c r="P475" i="9"/>
  <c r="Q475" i="9"/>
  <c r="D476" i="9"/>
  <c r="E476" i="9"/>
  <c r="F476" i="9"/>
  <c r="G476" i="9"/>
  <c r="H476" i="9"/>
  <c r="I476" i="9"/>
  <c r="J476" i="9"/>
  <c r="K476" i="9"/>
  <c r="L476" i="9"/>
  <c r="M476" i="9"/>
  <c r="N476" i="9"/>
  <c r="O476" i="9"/>
  <c r="P476" i="9"/>
  <c r="Q476" i="9"/>
  <c r="D477" i="9"/>
  <c r="E477" i="9"/>
  <c r="F477" i="9"/>
  <c r="G477" i="9"/>
  <c r="H477" i="9"/>
  <c r="I477" i="9"/>
  <c r="J477" i="9"/>
  <c r="K477" i="9"/>
  <c r="L477" i="9"/>
  <c r="M477" i="9"/>
  <c r="N477" i="9"/>
  <c r="O477" i="9"/>
  <c r="P477" i="9"/>
  <c r="Q477" i="9"/>
  <c r="Q446" i="9"/>
  <c r="P446" i="9"/>
  <c r="O446" i="9"/>
  <c r="N446" i="9"/>
  <c r="M446" i="9"/>
  <c r="L446" i="9"/>
  <c r="K446" i="9"/>
  <c r="J446" i="9"/>
  <c r="I446" i="9"/>
  <c r="H446" i="9"/>
  <c r="G446" i="9"/>
  <c r="F446" i="9"/>
  <c r="E446" i="9"/>
  <c r="D446" i="9"/>
  <c r="D413" i="9"/>
  <c r="E413" i="9"/>
  <c r="F413" i="9"/>
  <c r="G413" i="9"/>
  <c r="H413" i="9"/>
  <c r="I413" i="9"/>
  <c r="J413" i="9"/>
  <c r="K413" i="9"/>
  <c r="L413" i="9"/>
  <c r="M413" i="9"/>
  <c r="N413" i="9"/>
  <c r="O413" i="9"/>
  <c r="P413" i="9"/>
  <c r="Q413" i="9"/>
  <c r="D414" i="9"/>
  <c r="E414" i="9"/>
  <c r="F414" i="9"/>
  <c r="G414" i="9"/>
  <c r="H414" i="9"/>
  <c r="I414" i="9"/>
  <c r="J414" i="9"/>
  <c r="K414" i="9"/>
  <c r="L414" i="9"/>
  <c r="M414" i="9"/>
  <c r="N414" i="9"/>
  <c r="O414" i="9"/>
  <c r="P414" i="9"/>
  <c r="Q414" i="9"/>
  <c r="D415" i="9"/>
  <c r="E415" i="9"/>
  <c r="F415" i="9"/>
  <c r="G415" i="9"/>
  <c r="H415" i="9"/>
  <c r="I415" i="9"/>
  <c r="J415" i="9"/>
  <c r="K415" i="9"/>
  <c r="L415" i="9"/>
  <c r="M415" i="9"/>
  <c r="N415" i="9"/>
  <c r="O415" i="9"/>
  <c r="P415" i="9"/>
  <c r="Q415" i="9"/>
  <c r="D416" i="9"/>
  <c r="E416" i="9"/>
  <c r="F416" i="9"/>
  <c r="G416" i="9"/>
  <c r="H416" i="9"/>
  <c r="I416" i="9"/>
  <c r="J416" i="9"/>
  <c r="K416" i="9"/>
  <c r="L416" i="9"/>
  <c r="M416" i="9"/>
  <c r="N416" i="9"/>
  <c r="O416" i="9"/>
  <c r="P416" i="9"/>
  <c r="Q416" i="9"/>
  <c r="D417" i="9"/>
  <c r="E417" i="9"/>
  <c r="F417" i="9"/>
  <c r="G417" i="9"/>
  <c r="H417" i="9"/>
  <c r="I417" i="9"/>
  <c r="J417" i="9"/>
  <c r="K417" i="9"/>
  <c r="L417" i="9"/>
  <c r="M417" i="9"/>
  <c r="N417" i="9"/>
  <c r="O417" i="9"/>
  <c r="P417" i="9"/>
  <c r="Q417" i="9"/>
  <c r="D418" i="9"/>
  <c r="E418" i="9"/>
  <c r="F418" i="9"/>
  <c r="G418" i="9"/>
  <c r="H418" i="9"/>
  <c r="I418" i="9"/>
  <c r="J418" i="9"/>
  <c r="K418" i="9"/>
  <c r="L418" i="9"/>
  <c r="M418" i="9"/>
  <c r="N418" i="9"/>
  <c r="O418" i="9"/>
  <c r="P418" i="9"/>
  <c r="Q418" i="9"/>
  <c r="D419" i="9"/>
  <c r="E419" i="9"/>
  <c r="F419" i="9"/>
  <c r="G419" i="9"/>
  <c r="H419" i="9"/>
  <c r="I419" i="9"/>
  <c r="J419" i="9"/>
  <c r="K419" i="9"/>
  <c r="L419" i="9"/>
  <c r="M419" i="9"/>
  <c r="N419" i="9"/>
  <c r="O419" i="9"/>
  <c r="P419" i="9"/>
  <c r="Q419" i="9"/>
  <c r="D420" i="9"/>
  <c r="E420" i="9"/>
  <c r="F420" i="9"/>
  <c r="G420" i="9"/>
  <c r="H420" i="9"/>
  <c r="I420" i="9"/>
  <c r="J420" i="9"/>
  <c r="K420" i="9"/>
  <c r="L420" i="9"/>
  <c r="M420" i="9"/>
  <c r="N420" i="9"/>
  <c r="O420" i="9"/>
  <c r="P420" i="9"/>
  <c r="Q420" i="9"/>
  <c r="D421" i="9"/>
  <c r="E421" i="9"/>
  <c r="F421" i="9"/>
  <c r="G421" i="9"/>
  <c r="H421" i="9"/>
  <c r="I421" i="9"/>
  <c r="J421" i="9"/>
  <c r="K421" i="9"/>
  <c r="L421" i="9"/>
  <c r="M421" i="9"/>
  <c r="N421" i="9"/>
  <c r="O421" i="9"/>
  <c r="P421" i="9"/>
  <c r="Q421" i="9"/>
  <c r="D422" i="9"/>
  <c r="E422" i="9"/>
  <c r="F422" i="9"/>
  <c r="G422" i="9"/>
  <c r="H422" i="9"/>
  <c r="I422" i="9"/>
  <c r="J422" i="9"/>
  <c r="K422" i="9"/>
  <c r="L422" i="9"/>
  <c r="M422" i="9"/>
  <c r="N422" i="9"/>
  <c r="O422" i="9"/>
  <c r="P422" i="9"/>
  <c r="Q422" i="9"/>
  <c r="D423" i="9"/>
  <c r="E423" i="9"/>
  <c r="F423" i="9"/>
  <c r="G423" i="9"/>
  <c r="H423" i="9"/>
  <c r="I423" i="9"/>
  <c r="J423" i="9"/>
  <c r="K423" i="9"/>
  <c r="L423" i="9"/>
  <c r="M423" i="9"/>
  <c r="N423" i="9"/>
  <c r="O423" i="9"/>
  <c r="P423" i="9"/>
  <c r="Q423" i="9"/>
  <c r="D424" i="9"/>
  <c r="E424" i="9"/>
  <c r="F424" i="9"/>
  <c r="G424" i="9"/>
  <c r="H424" i="9"/>
  <c r="I424" i="9"/>
  <c r="J424" i="9"/>
  <c r="K424" i="9"/>
  <c r="L424" i="9"/>
  <c r="M424" i="9"/>
  <c r="N424" i="9"/>
  <c r="O424" i="9"/>
  <c r="P424" i="9"/>
  <c r="Q424" i="9"/>
  <c r="D425" i="9"/>
  <c r="E425" i="9"/>
  <c r="F425" i="9"/>
  <c r="G425" i="9"/>
  <c r="H425" i="9"/>
  <c r="I425" i="9"/>
  <c r="J425" i="9"/>
  <c r="K425" i="9"/>
  <c r="L425" i="9"/>
  <c r="M425" i="9"/>
  <c r="N425" i="9"/>
  <c r="O425" i="9"/>
  <c r="P425" i="9"/>
  <c r="Q425" i="9"/>
  <c r="D426" i="9"/>
  <c r="E426" i="9"/>
  <c r="F426" i="9"/>
  <c r="G426" i="9"/>
  <c r="H426" i="9"/>
  <c r="I426" i="9"/>
  <c r="J426" i="9"/>
  <c r="K426" i="9"/>
  <c r="L426" i="9"/>
  <c r="M426" i="9"/>
  <c r="N426" i="9"/>
  <c r="O426" i="9"/>
  <c r="P426" i="9"/>
  <c r="Q426" i="9"/>
  <c r="D427" i="9"/>
  <c r="E427" i="9"/>
  <c r="F427" i="9"/>
  <c r="G427" i="9"/>
  <c r="H427" i="9"/>
  <c r="I427" i="9"/>
  <c r="J427" i="9"/>
  <c r="K427" i="9"/>
  <c r="L427" i="9"/>
  <c r="M427" i="9"/>
  <c r="N427" i="9"/>
  <c r="O427" i="9"/>
  <c r="P427" i="9"/>
  <c r="Q427" i="9"/>
  <c r="D428" i="9"/>
  <c r="E428" i="9"/>
  <c r="F428" i="9"/>
  <c r="G428" i="9"/>
  <c r="H428" i="9"/>
  <c r="I428" i="9"/>
  <c r="J428" i="9"/>
  <c r="K428" i="9"/>
  <c r="L428" i="9"/>
  <c r="M428" i="9"/>
  <c r="N428" i="9"/>
  <c r="O428" i="9"/>
  <c r="P428" i="9"/>
  <c r="Q428" i="9"/>
  <c r="D429" i="9"/>
  <c r="E429" i="9"/>
  <c r="F429" i="9"/>
  <c r="G429" i="9"/>
  <c r="H429" i="9"/>
  <c r="I429" i="9"/>
  <c r="J429" i="9"/>
  <c r="K429" i="9"/>
  <c r="L429" i="9"/>
  <c r="M429" i="9"/>
  <c r="N429" i="9"/>
  <c r="O429" i="9"/>
  <c r="P429" i="9"/>
  <c r="Q429" i="9"/>
  <c r="D430" i="9"/>
  <c r="E430" i="9"/>
  <c r="F430" i="9"/>
  <c r="G430" i="9"/>
  <c r="H430" i="9"/>
  <c r="I430" i="9"/>
  <c r="J430" i="9"/>
  <c r="K430" i="9"/>
  <c r="L430" i="9"/>
  <c r="M430" i="9"/>
  <c r="N430" i="9"/>
  <c r="O430" i="9"/>
  <c r="P430" i="9"/>
  <c r="Q430" i="9"/>
  <c r="D431" i="9"/>
  <c r="E431" i="9"/>
  <c r="F431" i="9"/>
  <c r="G431" i="9"/>
  <c r="H431" i="9"/>
  <c r="I431" i="9"/>
  <c r="J431" i="9"/>
  <c r="K431" i="9"/>
  <c r="L431" i="9"/>
  <c r="M431" i="9"/>
  <c r="N431" i="9"/>
  <c r="O431" i="9"/>
  <c r="P431" i="9"/>
  <c r="Q431" i="9"/>
  <c r="D432" i="9"/>
  <c r="E432" i="9"/>
  <c r="F432" i="9"/>
  <c r="G432" i="9"/>
  <c r="H432" i="9"/>
  <c r="I432" i="9"/>
  <c r="J432" i="9"/>
  <c r="K432" i="9"/>
  <c r="L432" i="9"/>
  <c r="M432" i="9"/>
  <c r="N432" i="9"/>
  <c r="O432" i="9"/>
  <c r="P432" i="9"/>
  <c r="Q432" i="9"/>
  <c r="D433" i="9"/>
  <c r="E433" i="9"/>
  <c r="F433" i="9"/>
  <c r="G433" i="9"/>
  <c r="H433" i="9"/>
  <c r="I433" i="9"/>
  <c r="J433" i="9"/>
  <c r="K433" i="9"/>
  <c r="L433" i="9"/>
  <c r="M433" i="9"/>
  <c r="N433" i="9"/>
  <c r="O433" i="9"/>
  <c r="P433" i="9"/>
  <c r="Q433" i="9"/>
  <c r="D434" i="9"/>
  <c r="E434" i="9"/>
  <c r="F434" i="9"/>
  <c r="G434" i="9"/>
  <c r="H434" i="9"/>
  <c r="I434" i="9"/>
  <c r="J434" i="9"/>
  <c r="K434" i="9"/>
  <c r="L434" i="9"/>
  <c r="M434" i="9"/>
  <c r="N434" i="9"/>
  <c r="O434" i="9"/>
  <c r="P434" i="9"/>
  <c r="Q434" i="9"/>
  <c r="D435" i="9"/>
  <c r="E435" i="9"/>
  <c r="F435" i="9"/>
  <c r="G435" i="9"/>
  <c r="H435" i="9"/>
  <c r="I435" i="9"/>
  <c r="J435" i="9"/>
  <c r="K435" i="9"/>
  <c r="L435" i="9"/>
  <c r="M435" i="9"/>
  <c r="N435" i="9"/>
  <c r="O435" i="9"/>
  <c r="P435" i="9"/>
  <c r="Q435" i="9"/>
  <c r="D436" i="9"/>
  <c r="E436" i="9"/>
  <c r="F436" i="9"/>
  <c r="G436" i="9"/>
  <c r="H436" i="9"/>
  <c r="I436" i="9"/>
  <c r="J436" i="9"/>
  <c r="K436" i="9"/>
  <c r="L436" i="9"/>
  <c r="M436" i="9"/>
  <c r="N436" i="9"/>
  <c r="O436" i="9"/>
  <c r="P436" i="9"/>
  <c r="Q436" i="9"/>
  <c r="D437" i="9"/>
  <c r="E437" i="9"/>
  <c r="F437" i="9"/>
  <c r="G437" i="9"/>
  <c r="H437" i="9"/>
  <c r="I437" i="9"/>
  <c r="J437" i="9"/>
  <c r="K437" i="9"/>
  <c r="L437" i="9"/>
  <c r="M437" i="9"/>
  <c r="N437" i="9"/>
  <c r="O437" i="9"/>
  <c r="P437" i="9"/>
  <c r="Q437" i="9"/>
  <c r="D438" i="9"/>
  <c r="E438" i="9"/>
  <c r="F438" i="9"/>
  <c r="G438" i="9"/>
  <c r="H438" i="9"/>
  <c r="I438" i="9"/>
  <c r="J438" i="9"/>
  <c r="K438" i="9"/>
  <c r="L438" i="9"/>
  <c r="M438" i="9"/>
  <c r="N438" i="9"/>
  <c r="O438" i="9"/>
  <c r="P438" i="9"/>
  <c r="Q438" i="9"/>
  <c r="D439" i="9"/>
  <c r="E439" i="9"/>
  <c r="F439" i="9"/>
  <c r="G439" i="9"/>
  <c r="H439" i="9"/>
  <c r="I439" i="9"/>
  <c r="J439" i="9"/>
  <c r="K439" i="9"/>
  <c r="L439" i="9"/>
  <c r="M439" i="9"/>
  <c r="N439" i="9"/>
  <c r="O439" i="9"/>
  <c r="P439" i="9"/>
  <c r="Q439" i="9"/>
  <c r="D440" i="9"/>
  <c r="E440" i="9"/>
  <c r="F440" i="9"/>
  <c r="G440" i="9"/>
  <c r="H440" i="9"/>
  <c r="I440" i="9"/>
  <c r="J440" i="9"/>
  <c r="K440" i="9"/>
  <c r="L440" i="9"/>
  <c r="M440" i="9"/>
  <c r="N440" i="9"/>
  <c r="O440" i="9"/>
  <c r="P440" i="9"/>
  <c r="Q440" i="9"/>
  <c r="D441" i="9"/>
  <c r="E441" i="9"/>
  <c r="F441" i="9"/>
  <c r="G441" i="9"/>
  <c r="H441" i="9"/>
  <c r="I441" i="9"/>
  <c r="J441" i="9"/>
  <c r="K441" i="9"/>
  <c r="L441" i="9"/>
  <c r="M441" i="9"/>
  <c r="N441" i="9"/>
  <c r="O441" i="9"/>
  <c r="P441" i="9"/>
  <c r="Q441" i="9"/>
  <c r="D442" i="9"/>
  <c r="E442" i="9"/>
  <c r="F442" i="9"/>
  <c r="G442" i="9"/>
  <c r="H442" i="9"/>
  <c r="I442" i="9"/>
  <c r="J442" i="9"/>
  <c r="K442" i="9"/>
  <c r="L442" i="9"/>
  <c r="M442" i="9"/>
  <c r="N442" i="9"/>
  <c r="O442" i="9"/>
  <c r="P442" i="9"/>
  <c r="Q442" i="9"/>
  <c r="D443" i="9"/>
  <c r="E443" i="9"/>
  <c r="F443" i="9"/>
  <c r="G443" i="9"/>
  <c r="H443" i="9"/>
  <c r="I443" i="9"/>
  <c r="J443" i="9"/>
  <c r="K443" i="9"/>
  <c r="L443" i="9"/>
  <c r="M443" i="9"/>
  <c r="N443" i="9"/>
  <c r="O443" i="9"/>
  <c r="P443" i="9"/>
  <c r="Q443" i="9"/>
  <c r="D444" i="9"/>
  <c r="E444" i="9"/>
  <c r="F444" i="9"/>
  <c r="G444" i="9"/>
  <c r="H444" i="9"/>
  <c r="I444" i="9"/>
  <c r="J444" i="9"/>
  <c r="K444" i="9"/>
  <c r="L444" i="9"/>
  <c r="M444" i="9"/>
  <c r="N444" i="9"/>
  <c r="O444" i="9"/>
  <c r="P444" i="9"/>
  <c r="Q444" i="9"/>
  <c r="Q412" i="9"/>
  <c r="P412" i="9"/>
  <c r="O412" i="9"/>
  <c r="N412" i="9"/>
  <c r="M412" i="9"/>
  <c r="L412" i="9"/>
  <c r="K412" i="9"/>
  <c r="J412" i="9"/>
  <c r="I412" i="9"/>
  <c r="H412" i="9"/>
  <c r="G412" i="9"/>
  <c r="F412" i="9"/>
  <c r="E412" i="9"/>
  <c r="D412" i="9"/>
  <c r="D379" i="9"/>
  <c r="E379" i="9"/>
  <c r="F379" i="9"/>
  <c r="G379" i="9"/>
  <c r="H379" i="9"/>
  <c r="I379" i="9"/>
  <c r="J379" i="9"/>
  <c r="K379" i="9"/>
  <c r="L379" i="9"/>
  <c r="M379" i="9"/>
  <c r="N379" i="9"/>
  <c r="O379" i="9"/>
  <c r="Q379" i="9"/>
  <c r="D380" i="9"/>
  <c r="E380" i="9"/>
  <c r="F380" i="9"/>
  <c r="G380" i="9"/>
  <c r="H380" i="9"/>
  <c r="I380" i="9"/>
  <c r="J380" i="9"/>
  <c r="K380" i="9"/>
  <c r="L380" i="9"/>
  <c r="M380" i="9"/>
  <c r="N380" i="9"/>
  <c r="O380" i="9"/>
  <c r="Q380" i="9"/>
  <c r="D381" i="9"/>
  <c r="E381" i="9"/>
  <c r="F381" i="9"/>
  <c r="G381" i="9"/>
  <c r="H381" i="9"/>
  <c r="I381" i="9"/>
  <c r="J381" i="9"/>
  <c r="K381" i="9"/>
  <c r="L381" i="9"/>
  <c r="M381" i="9"/>
  <c r="N381" i="9"/>
  <c r="O381" i="9"/>
  <c r="Q381" i="9"/>
  <c r="D382" i="9"/>
  <c r="E382" i="9"/>
  <c r="F382" i="9"/>
  <c r="G382" i="9"/>
  <c r="H382" i="9"/>
  <c r="I382" i="9"/>
  <c r="J382" i="9"/>
  <c r="K382" i="9"/>
  <c r="L382" i="9"/>
  <c r="M382" i="9"/>
  <c r="N382" i="9"/>
  <c r="O382" i="9"/>
  <c r="Q382" i="9"/>
  <c r="D383" i="9"/>
  <c r="E383" i="9"/>
  <c r="F383" i="9"/>
  <c r="G383" i="9"/>
  <c r="H383" i="9"/>
  <c r="I383" i="9"/>
  <c r="J383" i="9"/>
  <c r="K383" i="9"/>
  <c r="L383" i="9"/>
  <c r="M383" i="9"/>
  <c r="N383" i="9"/>
  <c r="O383" i="9"/>
  <c r="Q383" i="9"/>
  <c r="D384" i="9"/>
  <c r="E384" i="9"/>
  <c r="F384" i="9"/>
  <c r="G384" i="9"/>
  <c r="H384" i="9"/>
  <c r="I384" i="9"/>
  <c r="J384" i="9"/>
  <c r="K384" i="9"/>
  <c r="L384" i="9"/>
  <c r="M384" i="9"/>
  <c r="N384" i="9"/>
  <c r="O384" i="9"/>
  <c r="Q384" i="9"/>
  <c r="D385" i="9"/>
  <c r="E385" i="9"/>
  <c r="F385" i="9"/>
  <c r="G385" i="9"/>
  <c r="H385" i="9"/>
  <c r="I385" i="9"/>
  <c r="J385" i="9"/>
  <c r="K385" i="9"/>
  <c r="L385" i="9"/>
  <c r="M385" i="9"/>
  <c r="N385" i="9"/>
  <c r="O385" i="9"/>
  <c r="Q385" i="9"/>
  <c r="D386" i="9"/>
  <c r="E386" i="9"/>
  <c r="F386" i="9"/>
  <c r="G386" i="9"/>
  <c r="H386" i="9"/>
  <c r="I386" i="9"/>
  <c r="J386" i="9"/>
  <c r="K386" i="9"/>
  <c r="L386" i="9"/>
  <c r="M386" i="9"/>
  <c r="N386" i="9"/>
  <c r="O386" i="9"/>
  <c r="Q386" i="9"/>
  <c r="D387" i="9"/>
  <c r="E387" i="9"/>
  <c r="F387" i="9"/>
  <c r="G387" i="9"/>
  <c r="H387" i="9"/>
  <c r="I387" i="9"/>
  <c r="J387" i="9"/>
  <c r="K387" i="9"/>
  <c r="L387" i="9"/>
  <c r="M387" i="9"/>
  <c r="N387" i="9"/>
  <c r="O387" i="9"/>
  <c r="Q387" i="9"/>
  <c r="D388" i="9"/>
  <c r="E388" i="9"/>
  <c r="F388" i="9"/>
  <c r="G388" i="9"/>
  <c r="H388" i="9"/>
  <c r="I388" i="9"/>
  <c r="J388" i="9"/>
  <c r="K388" i="9"/>
  <c r="L388" i="9"/>
  <c r="M388" i="9"/>
  <c r="N388" i="9"/>
  <c r="O388" i="9"/>
  <c r="Q388" i="9"/>
  <c r="D389" i="9"/>
  <c r="E389" i="9"/>
  <c r="F389" i="9"/>
  <c r="G389" i="9"/>
  <c r="H389" i="9"/>
  <c r="I389" i="9"/>
  <c r="J389" i="9"/>
  <c r="K389" i="9"/>
  <c r="L389" i="9"/>
  <c r="M389" i="9"/>
  <c r="N389" i="9"/>
  <c r="O389" i="9"/>
  <c r="Q389" i="9"/>
  <c r="D390" i="9"/>
  <c r="E390" i="9"/>
  <c r="F390" i="9"/>
  <c r="G390" i="9"/>
  <c r="H390" i="9"/>
  <c r="I390" i="9"/>
  <c r="J390" i="9"/>
  <c r="K390" i="9"/>
  <c r="L390" i="9"/>
  <c r="M390" i="9"/>
  <c r="N390" i="9"/>
  <c r="O390" i="9"/>
  <c r="Q390" i="9"/>
  <c r="D391" i="9"/>
  <c r="E391" i="9"/>
  <c r="F391" i="9"/>
  <c r="G391" i="9"/>
  <c r="H391" i="9"/>
  <c r="I391" i="9"/>
  <c r="J391" i="9"/>
  <c r="K391" i="9"/>
  <c r="L391" i="9"/>
  <c r="M391" i="9"/>
  <c r="N391" i="9"/>
  <c r="O391" i="9"/>
  <c r="Q391" i="9"/>
  <c r="D392" i="9"/>
  <c r="E392" i="9"/>
  <c r="F392" i="9"/>
  <c r="G392" i="9"/>
  <c r="H392" i="9"/>
  <c r="I392" i="9"/>
  <c r="J392" i="9"/>
  <c r="K392" i="9"/>
  <c r="L392" i="9"/>
  <c r="M392" i="9"/>
  <c r="N392" i="9"/>
  <c r="O392" i="9"/>
  <c r="Q392" i="9"/>
  <c r="D393" i="9"/>
  <c r="E393" i="9"/>
  <c r="F393" i="9"/>
  <c r="G393" i="9"/>
  <c r="H393" i="9"/>
  <c r="I393" i="9"/>
  <c r="J393" i="9"/>
  <c r="K393" i="9"/>
  <c r="L393" i="9"/>
  <c r="M393" i="9"/>
  <c r="N393" i="9"/>
  <c r="O393" i="9"/>
  <c r="Q393" i="9"/>
  <c r="D394" i="9"/>
  <c r="E394" i="9"/>
  <c r="F394" i="9"/>
  <c r="G394" i="9"/>
  <c r="H394" i="9"/>
  <c r="I394" i="9"/>
  <c r="J394" i="9"/>
  <c r="K394" i="9"/>
  <c r="L394" i="9"/>
  <c r="M394" i="9"/>
  <c r="N394" i="9"/>
  <c r="O394" i="9"/>
  <c r="Q394" i="9"/>
  <c r="D395" i="9"/>
  <c r="E395" i="9"/>
  <c r="F395" i="9"/>
  <c r="G395" i="9"/>
  <c r="H395" i="9"/>
  <c r="I395" i="9"/>
  <c r="J395" i="9"/>
  <c r="K395" i="9"/>
  <c r="L395" i="9"/>
  <c r="M395" i="9"/>
  <c r="N395" i="9"/>
  <c r="O395" i="9"/>
  <c r="Q395" i="9"/>
  <c r="D396" i="9"/>
  <c r="E396" i="9"/>
  <c r="F396" i="9"/>
  <c r="G396" i="9"/>
  <c r="H396" i="9"/>
  <c r="I396" i="9"/>
  <c r="J396" i="9"/>
  <c r="K396" i="9"/>
  <c r="L396" i="9"/>
  <c r="M396" i="9"/>
  <c r="N396" i="9"/>
  <c r="O396" i="9"/>
  <c r="Q396" i="9"/>
  <c r="D397" i="9"/>
  <c r="E397" i="9"/>
  <c r="F397" i="9"/>
  <c r="G397" i="9"/>
  <c r="H397" i="9"/>
  <c r="I397" i="9"/>
  <c r="J397" i="9"/>
  <c r="K397" i="9"/>
  <c r="L397" i="9"/>
  <c r="M397" i="9"/>
  <c r="N397" i="9"/>
  <c r="O397" i="9"/>
  <c r="Q397" i="9"/>
  <c r="D398" i="9"/>
  <c r="E398" i="9"/>
  <c r="F398" i="9"/>
  <c r="G398" i="9"/>
  <c r="H398" i="9"/>
  <c r="I398" i="9"/>
  <c r="J398" i="9"/>
  <c r="K398" i="9"/>
  <c r="L398" i="9"/>
  <c r="M398" i="9"/>
  <c r="N398" i="9"/>
  <c r="O398" i="9"/>
  <c r="Q398" i="9"/>
  <c r="D399" i="9"/>
  <c r="E399" i="9"/>
  <c r="F399" i="9"/>
  <c r="G399" i="9"/>
  <c r="H399" i="9"/>
  <c r="I399" i="9"/>
  <c r="J399" i="9"/>
  <c r="K399" i="9"/>
  <c r="L399" i="9"/>
  <c r="M399" i="9"/>
  <c r="N399" i="9"/>
  <c r="O399" i="9"/>
  <c r="Q399" i="9"/>
  <c r="D400" i="9"/>
  <c r="E400" i="9"/>
  <c r="F400" i="9"/>
  <c r="G400" i="9"/>
  <c r="H400" i="9"/>
  <c r="I400" i="9"/>
  <c r="J400" i="9"/>
  <c r="K400" i="9"/>
  <c r="L400" i="9"/>
  <c r="M400" i="9"/>
  <c r="N400" i="9"/>
  <c r="O400" i="9"/>
  <c r="Q400" i="9"/>
  <c r="D401" i="9"/>
  <c r="E401" i="9"/>
  <c r="F401" i="9"/>
  <c r="G401" i="9"/>
  <c r="H401" i="9"/>
  <c r="I401" i="9"/>
  <c r="J401" i="9"/>
  <c r="K401" i="9"/>
  <c r="L401" i="9"/>
  <c r="M401" i="9"/>
  <c r="N401" i="9"/>
  <c r="O401" i="9"/>
  <c r="Q401" i="9"/>
  <c r="D402" i="9"/>
  <c r="E402" i="9"/>
  <c r="F402" i="9"/>
  <c r="G402" i="9"/>
  <c r="H402" i="9"/>
  <c r="I402" i="9"/>
  <c r="J402" i="9"/>
  <c r="K402" i="9"/>
  <c r="L402" i="9"/>
  <c r="M402" i="9"/>
  <c r="N402" i="9"/>
  <c r="O402" i="9"/>
  <c r="Q402" i="9"/>
  <c r="D403" i="9"/>
  <c r="E403" i="9"/>
  <c r="F403" i="9"/>
  <c r="G403" i="9"/>
  <c r="H403" i="9"/>
  <c r="I403" i="9"/>
  <c r="J403" i="9"/>
  <c r="K403" i="9"/>
  <c r="L403" i="9"/>
  <c r="M403" i="9"/>
  <c r="N403" i="9"/>
  <c r="O403" i="9"/>
  <c r="Q403" i="9"/>
  <c r="D404" i="9"/>
  <c r="E404" i="9"/>
  <c r="F404" i="9"/>
  <c r="G404" i="9"/>
  <c r="H404" i="9"/>
  <c r="I404" i="9"/>
  <c r="J404" i="9"/>
  <c r="K404" i="9"/>
  <c r="L404" i="9"/>
  <c r="M404" i="9"/>
  <c r="N404" i="9"/>
  <c r="O404" i="9"/>
  <c r="Q404" i="9"/>
  <c r="D405" i="9"/>
  <c r="E405" i="9"/>
  <c r="F405" i="9"/>
  <c r="G405" i="9"/>
  <c r="H405" i="9"/>
  <c r="I405" i="9"/>
  <c r="J405" i="9"/>
  <c r="K405" i="9"/>
  <c r="L405" i="9"/>
  <c r="M405" i="9"/>
  <c r="N405" i="9"/>
  <c r="O405" i="9"/>
  <c r="Q405" i="9"/>
  <c r="D406" i="9"/>
  <c r="E406" i="9"/>
  <c r="F406" i="9"/>
  <c r="G406" i="9"/>
  <c r="H406" i="9"/>
  <c r="I406" i="9"/>
  <c r="J406" i="9"/>
  <c r="K406" i="9"/>
  <c r="L406" i="9"/>
  <c r="M406" i="9"/>
  <c r="N406" i="9"/>
  <c r="O406" i="9"/>
  <c r="Q406" i="9"/>
  <c r="D407" i="9"/>
  <c r="E407" i="9"/>
  <c r="F407" i="9"/>
  <c r="G407" i="9"/>
  <c r="H407" i="9"/>
  <c r="I407" i="9"/>
  <c r="J407" i="9"/>
  <c r="K407" i="9"/>
  <c r="L407" i="9"/>
  <c r="M407" i="9"/>
  <c r="N407" i="9"/>
  <c r="O407" i="9"/>
  <c r="Q407" i="9"/>
  <c r="D408" i="9"/>
  <c r="E408" i="9"/>
  <c r="F408" i="9"/>
  <c r="G408" i="9"/>
  <c r="H408" i="9"/>
  <c r="I408" i="9"/>
  <c r="J408" i="9"/>
  <c r="K408" i="9"/>
  <c r="L408" i="9"/>
  <c r="M408" i="9"/>
  <c r="N408" i="9"/>
  <c r="O408" i="9"/>
  <c r="Q408" i="9"/>
  <c r="D409" i="9"/>
  <c r="E409" i="9"/>
  <c r="F409" i="9"/>
  <c r="G409" i="9"/>
  <c r="H409" i="9"/>
  <c r="I409" i="9"/>
  <c r="J409" i="9"/>
  <c r="K409" i="9"/>
  <c r="L409" i="9"/>
  <c r="M409" i="9"/>
  <c r="N409" i="9"/>
  <c r="O409" i="9"/>
  <c r="Q409" i="9"/>
  <c r="D410" i="9"/>
  <c r="E410" i="9"/>
  <c r="F410" i="9"/>
  <c r="G410" i="9"/>
  <c r="H410" i="9"/>
  <c r="I410" i="9"/>
  <c r="J410" i="9"/>
  <c r="K410" i="9"/>
  <c r="L410" i="9"/>
  <c r="M410" i="9"/>
  <c r="N410" i="9"/>
  <c r="O410" i="9"/>
  <c r="Q410" i="9"/>
  <c r="Q378" i="9"/>
  <c r="O378" i="9"/>
  <c r="N378" i="9"/>
  <c r="M378" i="9"/>
  <c r="L378" i="9"/>
  <c r="K378" i="9"/>
  <c r="J378" i="9"/>
  <c r="I378" i="9"/>
  <c r="H378" i="9"/>
  <c r="G378" i="9"/>
  <c r="F378" i="9"/>
  <c r="E378" i="9"/>
  <c r="D378" i="9"/>
  <c r="D345" i="9"/>
  <c r="E345" i="9"/>
  <c r="F345" i="9"/>
  <c r="G345" i="9"/>
  <c r="H345" i="9"/>
  <c r="I345" i="9"/>
  <c r="J345" i="9"/>
  <c r="K345" i="9"/>
  <c r="L345" i="9"/>
  <c r="M345" i="9"/>
  <c r="N345" i="9"/>
  <c r="O345" i="9"/>
  <c r="P345" i="9"/>
  <c r="Q345" i="9"/>
  <c r="D346" i="9"/>
  <c r="E346" i="9"/>
  <c r="F346" i="9"/>
  <c r="G346" i="9"/>
  <c r="H346" i="9"/>
  <c r="I346" i="9"/>
  <c r="J346" i="9"/>
  <c r="K346" i="9"/>
  <c r="L346" i="9"/>
  <c r="M346" i="9"/>
  <c r="N346" i="9"/>
  <c r="O346" i="9"/>
  <c r="P346" i="9"/>
  <c r="Q346" i="9"/>
  <c r="D347" i="9"/>
  <c r="E347" i="9"/>
  <c r="F347" i="9"/>
  <c r="G347" i="9"/>
  <c r="H347" i="9"/>
  <c r="I347" i="9"/>
  <c r="J347" i="9"/>
  <c r="K347" i="9"/>
  <c r="L347" i="9"/>
  <c r="M347" i="9"/>
  <c r="N347" i="9"/>
  <c r="O347" i="9"/>
  <c r="P347" i="9"/>
  <c r="Q347" i="9"/>
  <c r="D348" i="9"/>
  <c r="E348" i="9"/>
  <c r="F348" i="9"/>
  <c r="G348" i="9"/>
  <c r="H348" i="9"/>
  <c r="I348" i="9"/>
  <c r="J348" i="9"/>
  <c r="K348" i="9"/>
  <c r="L348" i="9"/>
  <c r="M348" i="9"/>
  <c r="N348" i="9"/>
  <c r="O348" i="9"/>
  <c r="P348" i="9"/>
  <c r="Q348" i="9"/>
  <c r="D349" i="9"/>
  <c r="E349" i="9"/>
  <c r="F349" i="9"/>
  <c r="G349" i="9"/>
  <c r="H349" i="9"/>
  <c r="I349" i="9"/>
  <c r="J349" i="9"/>
  <c r="K349" i="9"/>
  <c r="L349" i="9"/>
  <c r="M349" i="9"/>
  <c r="N349" i="9"/>
  <c r="O349" i="9"/>
  <c r="P349" i="9"/>
  <c r="Q349" i="9"/>
  <c r="D350" i="9"/>
  <c r="E350" i="9"/>
  <c r="F350" i="9"/>
  <c r="G350" i="9"/>
  <c r="H350" i="9"/>
  <c r="I350" i="9"/>
  <c r="J350" i="9"/>
  <c r="K350" i="9"/>
  <c r="L350" i="9"/>
  <c r="M350" i="9"/>
  <c r="N350" i="9"/>
  <c r="O350" i="9"/>
  <c r="P350" i="9"/>
  <c r="Q350" i="9"/>
  <c r="D351" i="9"/>
  <c r="E351" i="9"/>
  <c r="F351" i="9"/>
  <c r="G351" i="9"/>
  <c r="H351" i="9"/>
  <c r="I351" i="9"/>
  <c r="J351" i="9"/>
  <c r="K351" i="9"/>
  <c r="L351" i="9"/>
  <c r="M351" i="9"/>
  <c r="N351" i="9"/>
  <c r="O351" i="9"/>
  <c r="P351" i="9"/>
  <c r="Q351" i="9"/>
  <c r="D352" i="9"/>
  <c r="E352" i="9"/>
  <c r="F352" i="9"/>
  <c r="G352" i="9"/>
  <c r="H352" i="9"/>
  <c r="I352" i="9"/>
  <c r="J352" i="9"/>
  <c r="K352" i="9"/>
  <c r="L352" i="9"/>
  <c r="M352" i="9"/>
  <c r="N352" i="9"/>
  <c r="O352" i="9"/>
  <c r="P352" i="9"/>
  <c r="Q352" i="9"/>
  <c r="D353" i="9"/>
  <c r="E353" i="9"/>
  <c r="F353" i="9"/>
  <c r="G353" i="9"/>
  <c r="H353" i="9"/>
  <c r="I353" i="9"/>
  <c r="J353" i="9"/>
  <c r="K353" i="9"/>
  <c r="L353" i="9"/>
  <c r="M353" i="9"/>
  <c r="N353" i="9"/>
  <c r="O353" i="9"/>
  <c r="P353" i="9"/>
  <c r="Q353" i="9"/>
  <c r="D354" i="9"/>
  <c r="E354" i="9"/>
  <c r="F354" i="9"/>
  <c r="G354" i="9"/>
  <c r="H354" i="9"/>
  <c r="I354" i="9"/>
  <c r="J354" i="9"/>
  <c r="K354" i="9"/>
  <c r="L354" i="9"/>
  <c r="M354" i="9"/>
  <c r="N354" i="9"/>
  <c r="O354" i="9"/>
  <c r="P354" i="9"/>
  <c r="Q354" i="9"/>
  <c r="D355" i="9"/>
  <c r="E355" i="9"/>
  <c r="F355" i="9"/>
  <c r="G355" i="9"/>
  <c r="H355" i="9"/>
  <c r="I355" i="9"/>
  <c r="J355" i="9"/>
  <c r="K355" i="9"/>
  <c r="L355" i="9"/>
  <c r="M355" i="9"/>
  <c r="N355" i="9"/>
  <c r="O355" i="9"/>
  <c r="P355" i="9"/>
  <c r="Q355" i="9"/>
  <c r="D356" i="9"/>
  <c r="E356" i="9"/>
  <c r="F356" i="9"/>
  <c r="G356" i="9"/>
  <c r="H356" i="9"/>
  <c r="I356" i="9"/>
  <c r="J356" i="9"/>
  <c r="K356" i="9"/>
  <c r="L356" i="9"/>
  <c r="M356" i="9"/>
  <c r="N356" i="9"/>
  <c r="O356" i="9"/>
  <c r="P356" i="9"/>
  <c r="Q356" i="9"/>
  <c r="D357" i="9"/>
  <c r="E357" i="9"/>
  <c r="F357" i="9"/>
  <c r="G357" i="9"/>
  <c r="H357" i="9"/>
  <c r="I357" i="9"/>
  <c r="J357" i="9"/>
  <c r="K357" i="9"/>
  <c r="L357" i="9"/>
  <c r="M357" i="9"/>
  <c r="N357" i="9"/>
  <c r="O357" i="9"/>
  <c r="P357" i="9"/>
  <c r="Q357" i="9"/>
  <c r="D358" i="9"/>
  <c r="E358" i="9"/>
  <c r="F358" i="9"/>
  <c r="G358" i="9"/>
  <c r="H358" i="9"/>
  <c r="I358" i="9"/>
  <c r="J358" i="9"/>
  <c r="K358" i="9"/>
  <c r="L358" i="9"/>
  <c r="M358" i="9"/>
  <c r="N358" i="9"/>
  <c r="O358" i="9"/>
  <c r="P358" i="9"/>
  <c r="Q358" i="9"/>
  <c r="D359" i="9"/>
  <c r="E359" i="9"/>
  <c r="F359" i="9"/>
  <c r="G359" i="9"/>
  <c r="H359" i="9"/>
  <c r="I359" i="9"/>
  <c r="J359" i="9"/>
  <c r="K359" i="9"/>
  <c r="L359" i="9"/>
  <c r="M359" i="9"/>
  <c r="N359" i="9"/>
  <c r="O359" i="9"/>
  <c r="P359" i="9"/>
  <c r="Q359" i="9"/>
  <c r="D360" i="9"/>
  <c r="E360" i="9"/>
  <c r="F360" i="9"/>
  <c r="G360" i="9"/>
  <c r="H360" i="9"/>
  <c r="I360" i="9"/>
  <c r="J360" i="9"/>
  <c r="K360" i="9"/>
  <c r="L360" i="9"/>
  <c r="M360" i="9"/>
  <c r="N360" i="9"/>
  <c r="O360" i="9"/>
  <c r="P360" i="9"/>
  <c r="Q360" i="9"/>
  <c r="D361" i="9"/>
  <c r="E361" i="9"/>
  <c r="F361" i="9"/>
  <c r="G361" i="9"/>
  <c r="H361" i="9"/>
  <c r="I361" i="9"/>
  <c r="J361" i="9"/>
  <c r="K361" i="9"/>
  <c r="L361" i="9"/>
  <c r="M361" i="9"/>
  <c r="N361" i="9"/>
  <c r="O361" i="9"/>
  <c r="P361" i="9"/>
  <c r="Q361" i="9"/>
  <c r="D362" i="9"/>
  <c r="E362" i="9"/>
  <c r="F362" i="9"/>
  <c r="G362" i="9"/>
  <c r="H362" i="9"/>
  <c r="I362" i="9"/>
  <c r="J362" i="9"/>
  <c r="K362" i="9"/>
  <c r="L362" i="9"/>
  <c r="M362" i="9"/>
  <c r="N362" i="9"/>
  <c r="O362" i="9"/>
  <c r="P362" i="9"/>
  <c r="Q362" i="9"/>
  <c r="D363" i="9"/>
  <c r="E363" i="9"/>
  <c r="F363" i="9"/>
  <c r="G363" i="9"/>
  <c r="H363" i="9"/>
  <c r="I363" i="9"/>
  <c r="J363" i="9"/>
  <c r="K363" i="9"/>
  <c r="L363" i="9"/>
  <c r="M363" i="9"/>
  <c r="N363" i="9"/>
  <c r="O363" i="9"/>
  <c r="P363" i="9"/>
  <c r="Q363" i="9"/>
  <c r="D364" i="9"/>
  <c r="E364" i="9"/>
  <c r="F364" i="9"/>
  <c r="G364" i="9"/>
  <c r="H364" i="9"/>
  <c r="I364" i="9"/>
  <c r="J364" i="9"/>
  <c r="K364" i="9"/>
  <c r="L364" i="9"/>
  <c r="M364" i="9"/>
  <c r="N364" i="9"/>
  <c r="O364" i="9"/>
  <c r="P364" i="9"/>
  <c r="Q364" i="9"/>
  <c r="D365" i="9"/>
  <c r="E365" i="9"/>
  <c r="F365" i="9"/>
  <c r="G365" i="9"/>
  <c r="H365" i="9"/>
  <c r="I365" i="9"/>
  <c r="J365" i="9"/>
  <c r="K365" i="9"/>
  <c r="L365" i="9"/>
  <c r="M365" i="9"/>
  <c r="N365" i="9"/>
  <c r="O365" i="9"/>
  <c r="P365" i="9"/>
  <c r="Q365" i="9"/>
  <c r="D366" i="9"/>
  <c r="E366" i="9"/>
  <c r="F366" i="9"/>
  <c r="G366" i="9"/>
  <c r="H366" i="9"/>
  <c r="I366" i="9"/>
  <c r="J366" i="9"/>
  <c r="K366" i="9"/>
  <c r="L366" i="9"/>
  <c r="M366" i="9"/>
  <c r="N366" i="9"/>
  <c r="O366" i="9"/>
  <c r="P366" i="9"/>
  <c r="Q366" i="9"/>
  <c r="D367" i="9"/>
  <c r="E367" i="9"/>
  <c r="F367" i="9"/>
  <c r="G367" i="9"/>
  <c r="H367" i="9"/>
  <c r="I367" i="9"/>
  <c r="J367" i="9"/>
  <c r="K367" i="9"/>
  <c r="L367" i="9"/>
  <c r="M367" i="9"/>
  <c r="N367" i="9"/>
  <c r="O367" i="9"/>
  <c r="P367" i="9"/>
  <c r="Q367" i="9"/>
  <c r="D368" i="9"/>
  <c r="E368" i="9"/>
  <c r="F368" i="9"/>
  <c r="G368" i="9"/>
  <c r="H368" i="9"/>
  <c r="I368" i="9"/>
  <c r="J368" i="9"/>
  <c r="K368" i="9"/>
  <c r="L368" i="9"/>
  <c r="M368" i="9"/>
  <c r="N368" i="9"/>
  <c r="O368" i="9"/>
  <c r="P368" i="9"/>
  <c r="Q368" i="9"/>
  <c r="D369" i="9"/>
  <c r="E369" i="9"/>
  <c r="F369" i="9"/>
  <c r="G369" i="9"/>
  <c r="H369" i="9"/>
  <c r="I369" i="9"/>
  <c r="J369" i="9"/>
  <c r="K369" i="9"/>
  <c r="L369" i="9"/>
  <c r="M369" i="9"/>
  <c r="N369" i="9"/>
  <c r="O369" i="9"/>
  <c r="P369" i="9"/>
  <c r="Q369" i="9"/>
  <c r="D370" i="9"/>
  <c r="E370" i="9"/>
  <c r="F370" i="9"/>
  <c r="G370" i="9"/>
  <c r="H370" i="9"/>
  <c r="I370" i="9"/>
  <c r="J370" i="9"/>
  <c r="K370" i="9"/>
  <c r="L370" i="9"/>
  <c r="M370" i="9"/>
  <c r="N370" i="9"/>
  <c r="O370" i="9"/>
  <c r="P370" i="9"/>
  <c r="Q370" i="9"/>
  <c r="D371" i="9"/>
  <c r="E371" i="9"/>
  <c r="F371" i="9"/>
  <c r="G371" i="9"/>
  <c r="H371" i="9"/>
  <c r="I371" i="9"/>
  <c r="J371" i="9"/>
  <c r="K371" i="9"/>
  <c r="L371" i="9"/>
  <c r="M371" i="9"/>
  <c r="N371" i="9"/>
  <c r="O371" i="9"/>
  <c r="P371" i="9"/>
  <c r="Q371" i="9"/>
  <c r="D372" i="9"/>
  <c r="E372" i="9"/>
  <c r="F372" i="9"/>
  <c r="G372" i="9"/>
  <c r="H372" i="9"/>
  <c r="I372" i="9"/>
  <c r="J372" i="9"/>
  <c r="K372" i="9"/>
  <c r="L372" i="9"/>
  <c r="M372" i="9"/>
  <c r="N372" i="9"/>
  <c r="O372" i="9"/>
  <c r="P372" i="9"/>
  <c r="Q372" i="9"/>
  <c r="D373" i="9"/>
  <c r="E373" i="9"/>
  <c r="F373" i="9"/>
  <c r="G373" i="9"/>
  <c r="H373" i="9"/>
  <c r="I373" i="9"/>
  <c r="J373" i="9"/>
  <c r="K373" i="9"/>
  <c r="L373" i="9"/>
  <c r="M373" i="9"/>
  <c r="N373" i="9"/>
  <c r="O373" i="9"/>
  <c r="P373" i="9"/>
  <c r="Q373" i="9"/>
  <c r="D374" i="9"/>
  <c r="E374" i="9"/>
  <c r="F374" i="9"/>
  <c r="G374" i="9"/>
  <c r="H374" i="9"/>
  <c r="I374" i="9"/>
  <c r="J374" i="9"/>
  <c r="K374" i="9"/>
  <c r="L374" i="9"/>
  <c r="M374" i="9"/>
  <c r="N374" i="9"/>
  <c r="O374" i="9"/>
  <c r="P374" i="9"/>
  <c r="Q374" i="9"/>
  <c r="D375" i="9"/>
  <c r="E375" i="9"/>
  <c r="F375" i="9"/>
  <c r="G375" i="9"/>
  <c r="H375" i="9"/>
  <c r="I375" i="9"/>
  <c r="J375" i="9"/>
  <c r="K375" i="9"/>
  <c r="L375" i="9"/>
  <c r="M375" i="9"/>
  <c r="N375" i="9"/>
  <c r="O375" i="9"/>
  <c r="P375" i="9"/>
  <c r="Q375" i="9"/>
  <c r="D376" i="9"/>
  <c r="E376" i="9"/>
  <c r="F376" i="9"/>
  <c r="G376" i="9"/>
  <c r="H376" i="9"/>
  <c r="I376" i="9"/>
  <c r="J376" i="9"/>
  <c r="K376" i="9"/>
  <c r="L376" i="9"/>
  <c r="M376" i="9"/>
  <c r="N376" i="9"/>
  <c r="O376" i="9"/>
  <c r="P376" i="9"/>
  <c r="Q376" i="9"/>
  <c r="Q344" i="9"/>
  <c r="P344" i="9"/>
  <c r="O344" i="9"/>
  <c r="N344" i="9"/>
  <c r="M344" i="9"/>
  <c r="L344" i="9"/>
  <c r="K344" i="9"/>
  <c r="J344" i="9"/>
  <c r="I344" i="9"/>
  <c r="H344" i="9"/>
  <c r="G344" i="9"/>
  <c r="F344" i="9"/>
  <c r="E344" i="9"/>
  <c r="D344" i="9"/>
  <c r="D311" i="9"/>
  <c r="E311" i="9"/>
  <c r="F311" i="9"/>
  <c r="G311" i="9"/>
  <c r="H311" i="9"/>
  <c r="I311" i="9"/>
  <c r="J311" i="9"/>
  <c r="K311" i="9"/>
  <c r="L311" i="9"/>
  <c r="M311" i="9"/>
  <c r="N311" i="9"/>
  <c r="O311" i="9"/>
  <c r="P311" i="9"/>
  <c r="Q311" i="9"/>
  <c r="D312" i="9"/>
  <c r="E312" i="9"/>
  <c r="F312" i="9"/>
  <c r="G312" i="9"/>
  <c r="H312" i="9"/>
  <c r="I312" i="9"/>
  <c r="J312" i="9"/>
  <c r="K312" i="9"/>
  <c r="L312" i="9"/>
  <c r="M312" i="9"/>
  <c r="N312" i="9"/>
  <c r="O312" i="9"/>
  <c r="P312" i="9"/>
  <c r="Q312" i="9"/>
  <c r="D313" i="9"/>
  <c r="E313" i="9"/>
  <c r="F313" i="9"/>
  <c r="G313" i="9"/>
  <c r="H313" i="9"/>
  <c r="I313" i="9"/>
  <c r="J313" i="9"/>
  <c r="K313" i="9"/>
  <c r="L313" i="9"/>
  <c r="M313" i="9"/>
  <c r="N313" i="9"/>
  <c r="O313" i="9"/>
  <c r="P313" i="9"/>
  <c r="Q313" i="9"/>
  <c r="D314" i="9"/>
  <c r="E314" i="9"/>
  <c r="F314" i="9"/>
  <c r="G314" i="9"/>
  <c r="H314" i="9"/>
  <c r="I314" i="9"/>
  <c r="J314" i="9"/>
  <c r="K314" i="9"/>
  <c r="L314" i="9"/>
  <c r="M314" i="9"/>
  <c r="N314" i="9"/>
  <c r="O314" i="9"/>
  <c r="P314" i="9"/>
  <c r="Q314" i="9"/>
  <c r="D315" i="9"/>
  <c r="E315" i="9"/>
  <c r="F315" i="9"/>
  <c r="G315" i="9"/>
  <c r="H315" i="9"/>
  <c r="I315" i="9"/>
  <c r="J315" i="9"/>
  <c r="K315" i="9"/>
  <c r="L315" i="9"/>
  <c r="M315" i="9"/>
  <c r="N315" i="9"/>
  <c r="O315" i="9"/>
  <c r="P315" i="9"/>
  <c r="Q315" i="9"/>
  <c r="D316" i="9"/>
  <c r="E316" i="9"/>
  <c r="F316" i="9"/>
  <c r="G316" i="9"/>
  <c r="H316" i="9"/>
  <c r="I316" i="9"/>
  <c r="J316" i="9"/>
  <c r="K316" i="9"/>
  <c r="L316" i="9"/>
  <c r="M316" i="9"/>
  <c r="N316" i="9"/>
  <c r="O316" i="9"/>
  <c r="P316" i="9"/>
  <c r="Q316" i="9"/>
  <c r="D317" i="9"/>
  <c r="E317" i="9"/>
  <c r="F317" i="9"/>
  <c r="G317" i="9"/>
  <c r="H317" i="9"/>
  <c r="I317" i="9"/>
  <c r="J317" i="9"/>
  <c r="K317" i="9"/>
  <c r="L317" i="9"/>
  <c r="M317" i="9"/>
  <c r="N317" i="9"/>
  <c r="O317" i="9"/>
  <c r="P317" i="9"/>
  <c r="Q317" i="9"/>
  <c r="D318" i="9"/>
  <c r="E318" i="9"/>
  <c r="F318" i="9"/>
  <c r="G318" i="9"/>
  <c r="H318" i="9"/>
  <c r="I318" i="9"/>
  <c r="J318" i="9"/>
  <c r="K318" i="9"/>
  <c r="L318" i="9"/>
  <c r="M318" i="9"/>
  <c r="N318" i="9"/>
  <c r="O318" i="9"/>
  <c r="P318" i="9"/>
  <c r="Q318" i="9"/>
  <c r="D319" i="9"/>
  <c r="E319" i="9"/>
  <c r="F319" i="9"/>
  <c r="G319" i="9"/>
  <c r="H319" i="9"/>
  <c r="I319" i="9"/>
  <c r="J319" i="9"/>
  <c r="K319" i="9"/>
  <c r="L319" i="9"/>
  <c r="M319" i="9"/>
  <c r="N319" i="9"/>
  <c r="O319" i="9"/>
  <c r="P319" i="9"/>
  <c r="Q319" i="9"/>
  <c r="D320" i="9"/>
  <c r="E320" i="9"/>
  <c r="F320" i="9"/>
  <c r="G320" i="9"/>
  <c r="H320" i="9"/>
  <c r="I320" i="9"/>
  <c r="J320" i="9"/>
  <c r="K320" i="9"/>
  <c r="L320" i="9"/>
  <c r="M320" i="9"/>
  <c r="N320" i="9"/>
  <c r="O320" i="9"/>
  <c r="P320" i="9"/>
  <c r="Q320" i="9"/>
  <c r="D321" i="9"/>
  <c r="E321" i="9"/>
  <c r="F321" i="9"/>
  <c r="G321" i="9"/>
  <c r="H321" i="9"/>
  <c r="I321" i="9"/>
  <c r="J321" i="9"/>
  <c r="K321" i="9"/>
  <c r="L321" i="9"/>
  <c r="M321" i="9"/>
  <c r="N321" i="9"/>
  <c r="O321" i="9"/>
  <c r="P321" i="9"/>
  <c r="Q321" i="9"/>
  <c r="D322" i="9"/>
  <c r="E322" i="9"/>
  <c r="F322" i="9"/>
  <c r="G322" i="9"/>
  <c r="H322" i="9"/>
  <c r="I322" i="9"/>
  <c r="J322" i="9"/>
  <c r="K322" i="9"/>
  <c r="L322" i="9"/>
  <c r="M322" i="9"/>
  <c r="N322" i="9"/>
  <c r="O322" i="9"/>
  <c r="P322" i="9"/>
  <c r="Q322" i="9"/>
  <c r="D323" i="9"/>
  <c r="E323" i="9"/>
  <c r="F323" i="9"/>
  <c r="G323" i="9"/>
  <c r="H323" i="9"/>
  <c r="I323" i="9"/>
  <c r="J323" i="9"/>
  <c r="K323" i="9"/>
  <c r="L323" i="9"/>
  <c r="M323" i="9"/>
  <c r="N323" i="9"/>
  <c r="O323" i="9"/>
  <c r="P323" i="9"/>
  <c r="Q323" i="9"/>
  <c r="D324" i="9"/>
  <c r="E324" i="9"/>
  <c r="F324" i="9"/>
  <c r="G324" i="9"/>
  <c r="H324" i="9"/>
  <c r="I324" i="9"/>
  <c r="J324" i="9"/>
  <c r="K324" i="9"/>
  <c r="L324" i="9"/>
  <c r="M324" i="9"/>
  <c r="N324" i="9"/>
  <c r="O324" i="9"/>
  <c r="P324" i="9"/>
  <c r="Q324" i="9"/>
  <c r="D325" i="9"/>
  <c r="E325" i="9"/>
  <c r="F325" i="9"/>
  <c r="G325" i="9"/>
  <c r="H325" i="9"/>
  <c r="I325" i="9"/>
  <c r="J325" i="9"/>
  <c r="K325" i="9"/>
  <c r="L325" i="9"/>
  <c r="M325" i="9"/>
  <c r="N325" i="9"/>
  <c r="O325" i="9"/>
  <c r="P325" i="9"/>
  <c r="Q325" i="9"/>
  <c r="D326" i="9"/>
  <c r="E326" i="9"/>
  <c r="F326" i="9"/>
  <c r="G326" i="9"/>
  <c r="H326" i="9"/>
  <c r="I326" i="9"/>
  <c r="J326" i="9"/>
  <c r="K326" i="9"/>
  <c r="L326" i="9"/>
  <c r="M326" i="9"/>
  <c r="N326" i="9"/>
  <c r="O326" i="9"/>
  <c r="P326" i="9"/>
  <c r="Q326" i="9"/>
  <c r="D327" i="9"/>
  <c r="E327" i="9"/>
  <c r="F327" i="9"/>
  <c r="G327" i="9"/>
  <c r="H327" i="9"/>
  <c r="I327" i="9"/>
  <c r="J327" i="9"/>
  <c r="K327" i="9"/>
  <c r="L327" i="9"/>
  <c r="M327" i="9"/>
  <c r="N327" i="9"/>
  <c r="O327" i="9"/>
  <c r="P327" i="9"/>
  <c r="Q327" i="9"/>
  <c r="D328" i="9"/>
  <c r="E328" i="9"/>
  <c r="F328" i="9"/>
  <c r="G328" i="9"/>
  <c r="H328" i="9"/>
  <c r="I328" i="9"/>
  <c r="J328" i="9"/>
  <c r="K328" i="9"/>
  <c r="L328" i="9"/>
  <c r="M328" i="9"/>
  <c r="N328" i="9"/>
  <c r="O328" i="9"/>
  <c r="P328" i="9"/>
  <c r="Q328" i="9"/>
  <c r="D329" i="9"/>
  <c r="E329" i="9"/>
  <c r="F329" i="9"/>
  <c r="G329" i="9"/>
  <c r="H329" i="9"/>
  <c r="I329" i="9"/>
  <c r="J329" i="9"/>
  <c r="K329" i="9"/>
  <c r="L329" i="9"/>
  <c r="M329" i="9"/>
  <c r="N329" i="9"/>
  <c r="O329" i="9"/>
  <c r="P329" i="9"/>
  <c r="Q329" i="9"/>
  <c r="D330" i="9"/>
  <c r="E330" i="9"/>
  <c r="F330" i="9"/>
  <c r="G330" i="9"/>
  <c r="H330" i="9"/>
  <c r="I330" i="9"/>
  <c r="J330" i="9"/>
  <c r="K330" i="9"/>
  <c r="L330" i="9"/>
  <c r="M330" i="9"/>
  <c r="N330" i="9"/>
  <c r="O330" i="9"/>
  <c r="P330" i="9"/>
  <c r="Q330" i="9"/>
  <c r="D331" i="9"/>
  <c r="E331" i="9"/>
  <c r="F331" i="9"/>
  <c r="G331" i="9"/>
  <c r="H331" i="9"/>
  <c r="I331" i="9"/>
  <c r="J331" i="9"/>
  <c r="K331" i="9"/>
  <c r="L331" i="9"/>
  <c r="M331" i="9"/>
  <c r="N331" i="9"/>
  <c r="O331" i="9"/>
  <c r="P331" i="9"/>
  <c r="Q331" i="9"/>
  <c r="D332" i="9"/>
  <c r="E332" i="9"/>
  <c r="F332" i="9"/>
  <c r="G332" i="9"/>
  <c r="H332" i="9"/>
  <c r="I332" i="9"/>
  <c r="J332" i="9"/>
  <c r="K332" i="9"/>
  <c r="L332" i="9"/>
  <c r="M332" i="9"/>
  <c r="N332" i="9"/>
  <c r="O332" i="9"/>
  <c r="P332" i="9"/>
  <c r="Q332" i="9"/>
  <c r="D333" i="9"/>
  <c r="E333" i="9"/>
  <c r="F333" i="9"/>
  <c r="G333" i="9"/>
  <c r="H333" i="9"/>
  <c r="I333" i="9"/>
  <c r="J333" i="9"/>
  <c r="K333" i="9"/>
  <c r="L333" i="9"/>
  <c r="M333" i="9"/>
  <c r="N333" i="9"/>
  <c r="O333" i="9"/>
  <c r="P333" i="9"/>
  <c r="Q333" i="9"/>
  <c r="D334" i="9"/>
  <c r="E334" i="9"/>
  <c r="F334" i="9"/>
  <c r="G334" i="9"/>
  <c r="H334" i="9"/>
  <c r="I334" i="9"/>
  <c r="J334" i="9"/>
  <c r="K334" i="9"/>
  <c r="L334" i="9"/>
  <c r="M334" i="9"/>
  <c r="N334" i="9"/>
  <c r="O334" i="9"/>
  <c r="P334" i="9"/>
  <c r="Q334" i="9"/>
  <c r="D335" i="9"/>
  <c r="E335" i="9"/>
  <c r="F335" i="9"/>
  <c r="G335" i="9"/>
  <c r="H335" i="9"/>
  <c r="I335" i="9"/>
  <c r="J335" i="9"/>
  <c r="K335" i="9"/>
  <c r="L335" i="9"/>
  <c r="M335" i="9"/>
  <c r="N335" i="9"/>
  <c r="O335" i="9"/>
  <c r="P335" i="9"/>
  <c r="Q335" i="9"/>
  <c r="D336" i="9"/>
  <c r="E336" i="9"/>
  <c r="F336" i="9"/>
  <c r="G336" i="9"/>
  <c r="H336" i="9"/>
  <c r="I336" i="9"/>
  <c r="J336" i="9"/>
  <c r="K336" i="9"/>
  <c r="L336" i="9"/>
  <c r="M336" i="9"/>
  <c r="N336" i="9"/>
  <c r="O336" i="9"/>
  <c r="P336" i="9"/>
  <c r="Q336" i="9"/>
  <c r="D337" i="9"/>
  <c r="E337" i="9"/>
  <c r="F337" i="9"/>
  <c r="G337" i="9"/>
  <c r="H337" i="9"/>
  <c r="I337" i="9"/>
  <c r="J337" i="9"/>
  <c r="K337" i="9"/>
  <c r="L337" i="9"/>
  <c r="M337" i="9"/>
  <c r="N337" i="9"/>
  <c r="O337" i="9"/>
  <c r="P337" i="9"/>
  <c r="Q337" i="9"/>
  <c r="D338" i="9"/>
  <c r="E338" i="9"/>
  <c r="F338" i="9"/>
  <c r="G338" i="9"/>
  <c r="H338" i="9"/>
  <c r="I338" i="9"/>
  <c r="J338" i="9"/>
  <c r="K338" i="9"/>
  <c r="L338" i="9"/>
  <c r="M338" i="9"/>
  <c r="N338" i="9"/>
  <c r="O338" i="9"/>
  <c r="P338" i="9"/>
  <c r="Q338" i="9"/>
  <c r="D339" i="9"/>
  <c r="E339" i="9"/>
  <c r="F339" i="9"/>
  <c r="G339" i="9"/>
  <c r="H339" i="9"/>
  <c r="I339" i="9"/>
  <c r="J339" i="9"/>
  <c r="K339" i="9"/>
  <c r="L339" i="9"/>
  <c r="M339" i="9"/>
  <c r="N339" i="9"/>
  <c r="O339" i="9"/>
  <c r="P339" i="9"/>
  <c r="Q339" i="9"/>
  <c r="D340" i="9"/>
  <c r="E340" i="9"/>
  <c r="F340" i="9"/>
  <c r="G340" i="9"/>
  <c r="H340" i="9"/>
  <c r="I340" i="9"/>
  <c r="J340" i="9"/>
  <c r="K340" i="9"/>
  <c r="L340" i="9"/>
  <c r="M340" i="9"/>
  <c r="N340" i="9"/>
  <c r="O340" i="9"/>
  <c r="P340" i="9"/>
  <c r="Q340" i="9"/>
  <c r="D341" i="9"/>
  <c r="E341" i="9"/>
  <c r="F341" i="9"/>
  <c r="G341" i="9"/>
  <c r="H341" i="9"/>
  <c r="I341" i="9"/>
  <c r="J341" i="9"/>
  <c r="K341" i="9"/>
  <c r="L341" i="9"/>
  <c r="M341" i="9"/>
  <c r="N341" i="9"/>
  <c r="O341" i="9"/>
  <c r="P341" i="9"/>
  <c r="Q341" i="9"/>
  <c r="D342" i="9"/>
  <c r="E342" i="9"/>
  <c r="F342" i="9"/>
  <c r="G342" i="9"/>
  <c r="H342" i="9"/>
  <c r="I342" i="9"/>
  <c r="J342" i="9"/>
  <c r="K342" i="9"/>
  <c r="L342" i="9"/>
  <c r="M342" i="9"/>
  <c r="N342" i="9"/>
  <c r="O342" i="9"/>
  <c r="P342" i="9"/>
  <c r="Q342" i="9"/>
  <c r="Q310" i="9"/>
  <c r="P310" i="9"/>
  <c r="O310" i="9"/>
  <c r="N310" i="9"/>
  <c r="M310" i="9"/>
  <c r="L310" i="9"/>
  <c r="K310" i="9"/>
  <c r="J310" i="9"/>
  <c r="I310" i="9"/>
  <c r="H310" i="9"/>
  <c r="G310" i="9"/>
  <c r="F310" i="9"/>
  <c r="E310" i="9"/>
  <c r="D310" i="9"/>
  <c r="D277" i="9"/>
  <c r="E277" i="9"/>
  <c r="F277" i="9"/>
  <c r="G277" i="9"/>
  <c r="H277" i="9"/>
  <c r="I277" i="9"/>
  <c r="J277" i="9"/>
  <c r="K277" i="9"/>
  <c r="L277" i="9"/>
  <c r="M277" i="9"/>
  <c r="N277" i="9"/>
  <c r="O277" i="9"/>
  <c r="P277" i="9"/>
  <c r="Q277" i="9"/>
  <c r="D278" i="9"/>
  <c r="E278" i="9"/>
  <c r="F278" i="9"/>
  <c r="G278" i="9"/>
  <c r="H278" i="9"/>
  <c r="I278" i="9"/>
  <c r="J278" i="9"/>
  <c r="K278" i="9"/>
  <c r="L278" i="9"/>
  <c r="M278" i="9"/>
  <c r="N278" i="9"/>
  <c r="O278" i="9"/>
  <c r="P278" i="9"/>
  <c r="Q278" i="9"/>
  <c r="D279" i="9"/>
  <c r="E279" i="9"/>
  <c r="F279" i="9"/>
  <c r="G279" i="9"/>
  <c r="H279" i="9"/>
  <c r="I279" i="9"/>
  <c r="J279" i="9"/>
  <c r="K279" i="9"/>
  <c r="L279" i="9"/>
  <c r="M279" i="9"/>
  <c r="N279" i="9"/>
  <c r="O279" i="9"/>
  <c r="P279" i="9"/>
  <c r="Q279" i="9"/>
  <c r="D280" i="9"/>
  <c r="E280" i="9"/>
  <c r="F280" i="9"/>
  <c r="G280" i="9"/>
  <c r="H280" i="9"/>
  <c r="I280" i="9"/>
  <c r="J280" i="9"/>
  <c r="K280" i="9"/>
  <c r="L280" i="9"/>
  <c r="M280" i="9"/>
  <c r="N280" i="9"/>
  <c r="O280" i="9"/>
  <c r="P280" i="9"/>
  <c r="Q280" i="9"/>
  <c r="D281" i="9"/>
  <c r="E281" i="9"/>
  <c r="F281" i="9"/>
  <c r="G281" i="9"/>
  <c r="H281" i="9"/>
  <c r="I281" i="9"/>
  <c r="J281" i="9"/>
  <c r="K281" i="9"/>
  <c r="L281" i="9"/>
  <c r="M281" i="9"/>
  <c r="N281" i="9"/>
  <c r="O281" i="9"/>
  <c r="P281" i="9"/>
  <c r="Q281" i="9"/>
  <c r="D282" i="9"/>
  <c r="E282" i="9"/>
  <c r="F282" i="9"/>
  <c r="G282" i="9"/>
  <c r="H282" i="9"/>
  <c r="I282" i="9"/>
  <c r="J282" i="9"/>
  <c r="K282" i="9"/>
  <c r="L282" i="9"/>
  <c r="M282" i="9"/>
  <c r="N282" i="9"/>
  <c r="O282" i="9"/>
  <c r="P282" i="9"/>
  <c r="Q282" i="9"/>
  <c r="D283" i="9"/>
  <c r="E283" i="9"/>
  <c r="F283" i="9"/>
  <c r="G283" i="9"/>
  <c r="H283" i="9"/>
  <c r="I283" i="9"/>
  <c r="J283" i="9"/>
  <c r="K283" i="9"/>
  <c r="L283" i="9"/>
  <c r="M283" i="9"/>
  <c r="N283" i="9"/>
  <c r="O283" i="9"/>
  <c r="P283" i="9"/>
  <c r="Q283" i="9"/>
  <c r="D284" i="9"/>
  <c r="E284" i="9"/>
  <c r="F284" i="9"/>
  <c r="G284" i="9"/>
  <c r="H284" i="9"/>
  <c r="I284" i="9"/>
  <c r="J284" i="9"/>
  <c r="K284" i="9"/>
  <c r="L284" i="9"/>
  <c r="M284" i="9"/>
  <c r="N284" i="9"/>
  <c r="O284" i="9"/>
  <c r="P284" i="9"/>
  <c r="Q284" i="9"/>
  <c r="D285" i="9"/>
  <c r="E285" i="9"/>
  <c r="F285" i="9"/>
  <c r="G285" i="9"/>
  <c r="H285" i="9"/>
  <c r="I285" i="9"/>
  <c r="J285" i="9"/>
  <c r="K285" i="9"/>
  <c r="L285" i="9"/>
  <c r="M285" i="9"/>
  <c r="N285" i="9"/>
  <c r="O285" i="9"/>
  <c r="P285" i="9"/>
  <c r="Q285" i="9"/>
  <c r="D286" i="9"/>
  <c r="E286" i="9"/>
  <c r="F286" i="9"/>
  <c r="G286" i="9"/>
  <c r="H286" i="9"/>
  <c r="I286" i="9"/>
  <c r="J286" i="9"/>
  <c r="K286" i="9"/>
  <c r="L286" i="9"/>
  <c r="M286" i="9"/>
  <c r="N286" i="9"/>
  <c r="O286" i="9"/>
  <c r="P286" i="9"/>
  <c r="Q286" i="9"/>
  <c r="D287" i="9"/>
  <c r="E287" i="9"/>
  <c r="F287" i="9"/>
  <c r="G287" i="9"/>
  <c r="H287" i="9"/>
  <c r="I287" i="9"/>
  <c r="J287" i="9"/>
  <c r="K287" i="9"/>
  <c r="L287" i="9"/>
  <c r="M287" i="9"/>
  <c r="N287" i="9"/>
  <c r="O287" i="9"/>
  <c r="P287" i="9"/>
  <c r="Q287" i="9"/>
  <c r="D288" i="9"/>
  <c r="E288" i="9"/>
  <c r="F288" i="9"/>
  <c r="G288" i="9"/>
  <c r="H288" i="9"/>
  <c r="I288" i="9"/>
  <c r="J288" i="9"/>
  <c r="K288" i="9"/>
  <c r="L288" i="9"/>
  <c r="M288" i="9"/>
  <c r="N288" i="9"/>
  <c r="O288" i="9"/>
  <c r="P288" i="9"/>
  <c r="Q288" i="9"/>
  <c r="D289" i="9"/>
  <c r="E289" i="9"/>
  <c r="F289" i="9"/>
  <c r="G289" i="9"/>
  <c r="H289" i="9"/>
  <c r="I289" i="9"/>
  <c r="J289" i="9"/>
  <c r="K289" i="9"/>
  <c r="L289" i="9"/>
  <c r="M289" i="9"/>
  <c r="N289" i="9"/>
  <c r="O289" i="9"/>
  <c r="P289" i="9"/>
  <c r="Q289" i="9"/>
  <c r="D290" i="9"/>
  <c r="E290" i="9"/>
  <c r="F290" i="9"/>
  <c r="G290" i="9"/>
  <c r="H290" i="9"/>
  <c r="I290" i="9"/>
  <c r="J290" i="9"/>
  <c r="K290" i="9"/>
  <c r="L290" i="9"/>
  <c r="M290" i="9"/>
  <c r="N290" i="9"/>
  <c r="O290" i="9"/>
  <c r="P290" i="9"/>
  <c r="Q290" i="9"/>
  <c r="D291" i="9"/>
  <c r="E291" i="9"/>
  <c r="F291" i="9"/>
  <c r="G291" i="9"/>
  <c r="H291" i="9"/>
  <c r="I291" i="9"/>
  <c r="J291" i="9"/>
  <c r="K291" i="9"/>
  <c r="L291" i="9"/>
  <c r="M291" i="9"/>
  <c r="N291" i="9"/>
  <c r="O291" i="9"/>
  <c r="P291" i="9"/>
  <c r="Q291" i="9"/>
  <c r="D292" i="9"/>
  <c r="E292" i="9"/>
  <c r="F292" i="9"/>
  <c r="G292" i="9"/>
  <c r="H292" i="9"/>
  <c r="I292" i="9"/>
  <c r="J292" i="9"/>
  <c r="K292" i="9"/>
  <c r="L292" i="9"/>
  <c r="M292" i="9"/>
  <c r="N292" i="9"/>
  <c r="O292" i="9"/>
  <c r="P292" i="9"/>
  <c r="Q292" i="9"/>
  <c r="D293" i="9"/>
  <c r="E293" i="9"/>
  <c r="F293" i="9"/>
  <c r="G293" i="9"/>
  <c r="H293" i="9"/>
  <c r="I293" i="9"/>
  <c r="J293" i="9"/>
  <c r="K293" i="9"/>
  <c r="L293" i="9"/>
  <c r="M293" i="9"/>
  <c r="N293" i="9"/>
  <c r="O293" i="9"/>
  <c r="P293" i="9"/>
  <c r="Q293" i="9"/>
  <c r="D294" i="9"/>
  <c r="E294" i="9"/>
  <c r="F294" i="9"/>
  <c r="G294" i="9"/>
  <c r="H294" i="9"/>
  <c r="I294" i="9"/>
  <c r="J294" i="9"/>
  <c r="K294" i="9"/>
  <c r="L294" i="9"/>
  <c r="M294" i="9"/>
  <c r="N294" i="9"/>
  <c r="O294" i="9"/>
  <c r="P294" i="9"/>
  <c r="Q294" i="9"/>
  <c r="D295" i="9"/>
  <c r="E295" i="9"/>
  <c r="F295" i="9"/>
  <c r="G295" i="9"/>
  <c r="H295" i="9"/>
  <c r="I295" i="9"/>
  <c r="J295" i="9"/>
  <c r="K295" i="9"/>
  <c r="L295" i="9"/>
  <c r="M295" i="9"/>
  <c r="N295" i="9"/>
  <c r="O295" i="9"/>
  <c r="P295" i="9"/>
  <c r="Q295" i="9"/>
  <c r="D296" i="9"/>
  <c r="E296" i="9"/>
  <c r="F296" i="9"/>
  <c r="G296" i="9"/>
  <c r="H296" i="9"/>
  <c r="I296" i="9"/>
  <c r="J296" i="9"/>
  <c r="K296" i="9"/>
  <c r="L296" i="9"/>
  <c r="M296" i="9"/>
  <c r="N296" i="9"/>
  <c r="O296" i="9"/>
  <c r="P296" i="9"/>
  <c r="Q296" i="9"/>
  <c r="D297" i="9"/>
  <c r="E297" i="9"/>
  <c r="F297" i="9"/>
  <c r="G297" i="9"/>
  <c r="H297" i="9"/>
  <c r="I297" i="9"/>
  <c r="J297" i="9"/>
  <c r="K297" i="9"/>
  <c r="L297" i="9"/>
  <c r="M297" i="9"/>
  <c r="N297" i="9"/>
  <c r="O297" i="9"/>
  <c r="P297" i="9"/>
  <c r="Q297" i="9"/>
  <c r="D298" i="9"/>
  <c r="E298" i="9"/>
  <c r="F298" i="9"/>
  <c r="G298" i="9"/>
  <c r="H298" i="9"/>
  <c r="I298" i="9"/>
  <c r="J298" i="9"/>
  <c r="K298" i="9"/>
  <c r="L298" i="9"/>
  <c r="M298" i="9"/>
  <c r="N298" i="9"/>
  <c r="O298" i="9"/>
  <c r="P298" i="9"/>
  <c r="Q298" i="9"/>
  <c r="D299" i="9"/>
  <c r="E299" i="9"/>
  <c r="F299" i="9"/>
  <c r="G299" i="9"/>
  <c r="H299" i="9"/>
  <c r="I299" i="9"/>
  <c r="J299" i="9"/>
  <c r="K299" i="9"/>
  <c r="L299" i="9"/>
  <c r="M299" i="9"/>
  <c r="N299" i="9"/>
  <c r="O299" i="9"/>
  <c r="P299" i="9"/>
  <c r="Q299" i="9"/>
  <c r="D300" i="9"/>
  <c r="E300" i="9"/>
  <c r="F300" i="9"/>
  <c r="G300" i="9"/>
  <c r="H300" i="9"/>
  <c r="I300" i="9"/>
  <c r="J300" i="9"/>
  <c r="K300" i="9"/>
  <c r="L300" i="9"/>
  <c r="M300" i="9"/>
  <c r="N300" i="9"/>
  <c r="O300" i="9"/>
  <c r="P300" i="9"/>
  <c r="Q300" i="9"/>
  <c r="D301" i="9"/>
  <c r="E301" i="9"/>
  <c r="F301" i="9"/>
  <c r="G301" i="9"/>
  <c r="H301" i="9"/>
  <c r="I301" i="9"/>
  <c r="J301" i="9"/>
  <c r="K301" i="9"/>
  <c r="L301" i="9"/>
  <c r="M301" i="9"/>
  <c r="N301" i="9"/>
  <c r="O301" i="9"/>
  <c r="P301" i="9"/>
  <c r="Q301" i="9"/>
  <c r="D302" i="9"/>
  <c r="E302" i="9"/>
  <c r="F302" i="9"/>
  <c r="G302" i="9"/>
  <c r="H302" i="9"/>
  <c r="I302" i="9"/>
  <c r="J302" i="9"/>
  <c r="K302" i="9"/>
  <c r="L302" i="9"/>
  <c r="M302" i="9"/>
  <c r="N302" i="9"/>
  <c r="O302" i="9"/>
  <c r="P302" i="9"/>
  <c r="Q302" i="9"/>
  <c r="D303" i="9"/>
  <c r="E303" i="9"/>
  <c r="F303" i="9"/>
  <c r="G303" i="9"/>
  <c r="H303" i="9"/>
  <c r="I303" i="9"/>
  <c r="J303" i="9"/>
  <c r="K303" i="9"/>
  <c r="L303" i="9"/>
  <c r="M303" i="9"/>
  <c r="N303" i="9"/>
  <c r="O303" i="9"/>
  <c r="P303" i="9"/>
  <c r="Q303" i="9"/>
  <c r="D304" i="9"/>
  <c r="E304" i="9"/>
  <c r="F304" i="9"/>
  <c r="G304" i="9"/>
  <c r="H304" i="9"/>
  <c r="I304" i="9"/>
  <c r="J304" i="9"/>
  <c r="K304" i="9"/>
  <c r="L304" i="9"/>
  <c r="M304" i="9"/>
  <c r="N304" i="9"/>
  <c r="O304" i="9"/>
  <c r="P304" i="9"/>
  <c r="Q304" i="9"/>
  <c r="D305" i="9"/>
  <c r="E305" i="9"/>
  <c r="F305" i="9"/>
  <c r="G305" i="9"/>
  <c r="H305" i="9"/>
  <c r="I305" i="9"/>
  <c r="J305" i="9"/>
  <c r="K305" i="9"/>
  <c r="L305" i="9"/>
  <c r="M305" i="9"/>
  <c r="N305" i="9"/>
  <c r="O305" i="9"/>
  <c r="P305" i="9"/>
  <c r="Q305" i="9"/>
  <c r="D306" i="9"/>
  <c r="E306" i="9"/>
  <c r="F306" i="9"/>
  <c r="G306" i="9"/>
  <c r="H306" i="9"/>
  <c r="I306" i="9"/>
  <c r="J306" i="9"/>
  <c r="K306" i="9"/>
  <c r="L306" i="9"/>
  <c r="M306" i="9"/>
  <c r="N306" i="9"/>
  <c r="O306" i="9"/>
  <c r="P306" i="9"/>
  <c r="Q306" i="9"/>
  <c r="D307" i="9"/>
  <c r="E307" i="9"/>
  <c r="F307" i="9"/>
  <c r="G307" i="9"/>
  <c r="H307" i="9"/>
  <c r="I307" i="9"/>
  <c r="J307" i="9"/>
  <c r="K307" i="9"/>
  <c r="L307" i="9"/>
  <c r="M307" i="9"/>
  <c r="N307" i="9"/>
  <c r="O307" i="9"/>
  <c r="P307" i="9"/>
  <c r="Q307" i="9"/>
  <c r="D308" i="9"/>
  <c r="E308" i="9"/>
  <c r="F308" i="9"/>
  <c r="G308" i="9"/>
  <c r="H308" i="9"/>
  <c r="I308" i="9"/>
  <c r="J308" i="9"/>
  <c r="K308" i="9"/>
  <c r="L308" i="9"/>
  <c r="M308" i="9"/>
  <c r="N308" i="9"/>
  <c r="O308" i="9"/>
  <c r="P308" i="9"/>
  <c r="Q308" i="9"/>
  <c r="Q276" i="9"/>
  <c r="P276" i="9"/>
  <c r="O276" i="9"/>
  <c r="N276" i="9"/>
  <c r="M276" i="9"/>
  <c r="L276" i="9"/>
  <c r="K276" i="9"/>
  <c r="J276" i="9"/>
  <c r="I276" i="9"/>
  <c r="H276" i="9"/>
  <c r="G276" i="9"/>
  <c r="F276" i="9"/>
  <c r="E276" i="9"/>
  <c r="D276" i="9"/>
  <c r="D243" i="9"/>
  <c r="E243" i="9"/>
  <c r="F243" i="9"/>
  <c r="G243" i="9"/>
  <c r="H243" i="9"/>
  <c r="I243" i="9"/>
  <c r="J243" i="9"/>
  <c r="K243" i="9"/>
  <c r="L243" i="9"/>
  <c r="M243" i="9"/>
  <c r="N243" i="9"/>
  <c r="O243" i="9"/>
  <c r="P243" i="9"/>
  <c r="Q243" i="9"/>
  <c r="D244" i="9"/>
  <c r="E244" i="9"/>
  <c r="F244" i="9"/>
  <c r="G244" i="9"/>
  <c r="H244" i="9"/>
  <c r="I244" i="9"/>
  <c r="J244" i="9"/>
  <c r="K244" i="9"/>
  <c r="L244" i="9"/>
  <c r="M244" i="9"/>
  <c r="N244" i="9"/>
  <c r="O244" i="9"/>
  <c r="P244" i="9"/>
  <c r="Q244" i="9"/>
  <c r="D245" i="9"/>
  <c r="E245" i="9"/>
  <c r="F245" i="9"/>
  <c r="G245" i="9"/>
  <c r="H245" i="9"/>
  <c r="I245" i="9"/>
  <c r="J245" i="9"/>
  <c r="K245" i="9"/>
  <c r="L245" i="9"/>
  <c r="M245" i="9"/>
  <c r="N245" i="9"/>
  <c r="O245" i="9"/>
  <c r="P245" i="9"/>
  <c r="Q245" i="9"/>
  <c r="D246" i="9"/>
  <c r="E246" i="9"/>
  <c r="F246" i="9"/>
  <c r="G246" i="9"/>
  <c r="H246" i="9"/>
  <c r="I246" i="9"/>
  <c r="J246" i="9"/>
  <c r="K246" i="9"/>
  <c r="L246" i="9"/>
  <c r="M246" i="9"/>
  <c r="N246" i="9"/>
  <c r="O246" i="9"/>
  <c r="P246" i="9"/>
  <c r="Q246" i="9"/>
  <c r="D247" i="9"/>
  <c r="E247" i="9"/>
  <c r="F247" i="9"/>
  <c r="G247" i="9"/>
  <c r="H247" i="9"/>
  <c r="I247" i="9"/>
  <c r="J247" i="9"/>
  <c r="K247" i="9"/>
  <c r="L247" i="9"/>
  <c r="M247" i="9"/>
  <c r="N247" i="9"/>
  <c r="O247" i="9"/>
  <c r="P247" i="9"/>
  <c r="Q247" i="9"/>
  <c r="D248" i="9"/>
  <c r="E248" i="9"/>
  <c r="F248" i="9"/>
  <c r="G248" i="9"/>
  <c r="H248" i="9"/>
  <c r="I248" i="9"/>
  <c r="J248" i="9"/>
  <c r="K248" i="9"/>
  <c r="L248" i="9"/>
  <c r="M248" i="9"/>
  <c r="N248" i="9"/>
  <c r="O248" i="9"/>
  <c r="P248" i="9"/>
  <c r="Q248" i="9"/>
  <c r="D249" i="9"/>
  <c r="E249" i="9"/>
  <c r="F249" i="9"/>
  <c r="G249" i="9"/>
  <c r="H249" i="9"/>
  <c r="I249" i="9"/>
  <c r="J249" i="9"/>
  <c r="K249" i="9"/>
  <c r="L249" i="9"/>
  <c r="M249" i="9"/>
  <c r="N249" i="9"/>
  <c r="O249" i="9"/>
  <c r="P249" i="9"/>
  <c r="Q249" i="9"/>
  <c r="D250" i="9"/>
  <c r="E250" i="9"/>
  <c r="F250" i="9"/>
  <c r="G250" i="9"/>
  <c r="H250" i="9"/>
  <c r="I250" i="9"/>
  <c r="J250" i="9"/>
  <c r="K250" i="9"/>
  <c r="L250" i="9"/>
  <c r="M250" i="9"/>
  <c r="N250" i="9"/>
  <c r="O250" i="9"/>
  <c r="P250" i="9"/>
  <c r="Q250" i="9"/>
  <c r="D251" i="9"/>
  <c r="E251" i="9"/>
  <c r="F251" i="9"/>
  <c r="G251" i="9"/>
  <c r="H251" i="9"/>
  <c r="I251" i="9"/>
  <c r="J251" i="9"/>
  <c r="K251" i="9"/>
  <c r="L251" i="9"/>
  <c r="M251" i="9"/>
  <c r="N251" i="9"/>
  <c r="O251" i="9"/>
  <c r="P251" i="9"/>
  <c r="Q251" i="9"/>
  <c r="D252" i="9"/>
  <c r="E252" i="9"/>
  <c r="F252" i="9"/>
  <c r="G252" i="9"/>
  <c r="H252" i="9"/>
  <c r="I252" i="9"/>
  <c r="J252" i="9"/>
  <c r="K252" i="9"/>
  <c r="L252" i="9"/>
  <c r="M252" i="9"/>
  <c r="N252" i="9"/>
  <c r="O252" i="9"/>
  <c r="P252" i="9"/>
  <c r="Q252" i="9"/>
  <c r="D253" i="9"/>
  <c r="E253" i="9"/>
  <c r="F253" i="9"/>
  <c r="G253" i="9"/>
  <c r="H253" i="9"/>
  <c r="I253" i="9"/>
  <c r="J253" i="9"/>
  <c r="K253" i="9"/>
  <c r="L253" i="9"/>
  <c r="M253" i="9"/>
  <c r="N253" i="9"/>
  <c r="O253" i="9"/>
  <c r="P253" i="9"/>
  <c r="Q253" i="9"/>
  <c r="D254" i="9"/>
  <c r="E254" i="9"/>
  <c r="F254" i="9"/>
  <c r="G254" i="9"/>
  <c r="H254" i="9"/>
  <c r="I254" i="9"/>
  <c r="J254" i="9"/>
  <c r="K254" i="9"/>
  <c r="L254" i="9"/>
  <c r="M254" i="9"/>
  <c r="N254" i="9"/>
  <c r="O254" i="9"/>
  <c r="P254" i="9"/>
  <c r="Q254" i="9"/>
  <c r="D255" i="9"/>
  <c r="E255" i="9"/>
  <c r="F255" i="9"/>
  <c r="G255" i="9"/>
  <c r="H255" i="9"/>
  <c r="I255" i="9"/>
  <c r="J255" i="9"/>
  <c r="K255" i="9"/>
  <c r="L255" i="9"/>
  <c r="M255" i="9"/>
  <c r="N255" i="9"/>
  <c r="O255" i="9"/>
  <c r="P255" i="9"/>
  <c r="Q255" i="9"/>
  <c r="D256" i="9"/>
  <c r="E256" i="9"/>
  <c r="F256" i="9"/>
  <c r="G256" i="9"/>
  <c r="H256" i="9"/>
  <c r="I256" i="9"/>
  <c r="J256" i="9"/>
  <c r="K256" i="9"/>
  <c r="L256" i="9"/>
  <c r="M256" i="9"/>
  <c r="N256" i="9"/>
  <c r="O256" i="9"/>
  <c r="P256" i="9"/>
  <c r="Q256" i="9"/>
  <c r="D257" i="9"/>
  <c r="E257" i="9"/>
  <c r="F257" i="9"/>
  <c r="G257" i="9"/>
  <c r="H257" i="9"/>
  <c r="I257" i="9"/>
  <c r="J257" i="9"/>
  <c r="K257" i="9"/>
  <c r="L257" i="9"/>
  <c r="M257" i="9"/>
  <c r="N257" i="9"/>
  <c r="O257" i="9"/>
  <c r="P257" i="9"/>
  <c r="Q257" i="9"/>
  <c r="D258" i="9"/>
  <c r="E258" i="9"/>
  <c r="F258" i="9"/>
  <c r="G258" i="9"/>
  <c r="H258" i="9"/>
  <c r="I258" i="9"/>
  <c r="J258" i="9"/>
  <c r="K258" i="9"/>
  <c r="L258" i="9"/>
  <c r="M258" i="9"/>
  <c r="N258" i="9"/>
  <c r="O258" i="9"/>
  <c r="P258" i="9"/>
  <c r="Q258" i="9"/>
  <c r="D259" i="9"/>
  <c r="E259" i="9"/>
  <c r="F259" i="9"/>
  <c r="G259" i="9"/>
  <c r="H259" i="9"/>
  <c r="I259" i="9"/>
  <c r="J259" i="9"/>
  <c r="K259" i="9"/>
  <c r="L259" i="9"/>
  <c r="M259" i="9"/>
  <c r="N259" i="9"/>
  <c r="O259" i="9"/>
  <c r="P259" i="9"/>
  <c r="Q259" i="9"/>
  <c r="D260" i="9"/>
  <c r="E260" i="9"/>
  <c r="F260" i="9"/>
  <c r="G260" i="9"/>
  <c r="H260" i="9"/>
  <c r="I260" i="9"/>
  <c r="J260" i="9"/>
  <c r="K260" i="9"/>
  <c r="L260" i="9"/>
  <c r="M260" i="9"/>
  <c r="N260" i="9"/>
  <c r="O260" i="9"/>
  <c r="P260" i="9"/>
  <c r="Q260" i="9"/>
  <c r="D261" i="9"/>
  <c r="E261" i="9"/>
  <c r="F261" i="9"/>
  <c r="G261" i="9"/>
  <c r="H261" i="9"/>
  <c r="I261" i="9"/>
  <c r="J261" i="9"/>
  <c r="K261" i="9"/>
  <c r="L261" i="9"/>
  <c r="M261" i="9"/>
  <c r="N261" i="9"/>
  <c r="O261" i="9"/>
  <c r="P261" i="9"/>
  <c r="Q261" i="9"/>
  <c r="D262" i="9"/>
  <c r="E262" i="9"/>
  <c r="F262" i="9"/>
  <c r="G262" i="9"/>
  <c r="H262" i="9"/>
  <c r="I262" i="9"/>
  <c r="J262" i="9"/>
  <c r="K262" i="9"/>
  <c r="L262" i="9"/>
  <c r="M262" i="9"/>
  <c r="N262" i="9"/>
  <c r="O262" i="9"/>
  <c r="P262" i="9"/>
  <c r="Q262" i="9"/>
  <c r="D263" i="9"/>
  <c r="E263" i="9"/>
  <c r="F263" i="9"/>
  <c r="G263" i="9"/>
  <c r="H263" i="9"/>
  <c r="I263" i="9"/>
  <c r="J263" i="9"/>
  <c r="K263" i="9"/>
  <c r="L263" i="9"/>
  <c r="M263" i="9"/>
  <c r="N263" i="9"/>
  <c r="O263" i="9"/>
  <c r="P263" i="9"/>
  <c r="Q263" i="9"/>
  <c r="D264" i="9"/>
  <c r="E264" i="9"/>
  <c r="F264" i="9"/>
  <c r="G264" i="9"/>
  <c r="H264" i="9"/>
  <c r="I264" i="9"/>
  <c r="J264" i="9"/>
  <c r="K264" i="9"/>
  <c r="L264" i="9"/>
  <c r="M264" i="9"/>
  <c r="N264" i="9"/>
  <c r="O264" i="9"/>
  <c r="P264" i="9"/>
  <c r="Q264" i="9"/>
  <c r="D265" i="9"/>
  <c r="E265" i="9"/>
  <c r="F265" i="9"/>
  <c r="G265" i="9"/>
  <c r="H265" i="9"/>
  <c r="I265" i="9"/>
  <c r="J265" i="9"/>
  <c r="K265" i="9"/>
  <c r="L265" i="9"/>
  <c r="M265" i="9"/>
  <c r="N265" i="9"/>
  <c r="O265" i="9"/>
  <c r="P265" i="9"/>
  <c r="Q265" i="9"/>
  <c r="D266" i="9"/>
  <c r="E266" i="9"/>
  <c r="F266" i="9"/>
  <c r="G266" i="9"/>
  <c r="H266" i="9"/>
  <c r="I266" i="9"/>
  <c r="J266" i="9"/>
  <c r="K266" i="9"/>
  <c r="L266" i="9"/>
  <c r="M266" i="9"/>
  <c r="N266" i="9"/>
  <c r="O266" i="9"/>
  <c r="P266" i="9"/>
  <c r="Q266" i="9"/>
  <c r="D267" i="9"/>
  <c r="E267" i="9"/>
  <c r="F267" i="9"/>
  <c r="G267" i="9"/>
  <c r="H267" i="9"/>
  <c r="I267" i="9"/>
  <c r="J267" i="9"/>
  <c r="K267" i="9"/>
  <c r="L267" i="9"/>
  <c r="M267" i="9"/>
  <c r="N267" i="9"/>
  <c r="O267" i="9"/>
  <c r="P267" i="9"/>
  <c r="Q267" i="9"/>
  <c r="D268" i="9"/>
  <c r="E268" i="9"/>
  <c r="F268" i="9"/>
  <c r="G268" i="9"/>
  <c r="H268" i="9"/>
  <c r="I268" i="9"/>
  <c r="J268" i="9"/>
  <c r="K268" i="9"/>
  <c r="L268" i="9"/>
  <c r="M268" i="9"/>
  <c r="N268" i="9"/>
  <c r="O268" i="9"/>
  <c r="P268" i="9"/>
  <c r="Q268" i="9"/>
  <c r="D269" i="9"/>
  <c r="E269" i="9"/>
  <c r="F269" i="9"/>
  <c r="G269" i="9"/>
  <c r="H269" i="9"/>
  <c r="I269" i="9"/>
  <c r="J269" i="9"/>
  <c r="K269" i="9"/>
  <c r="L269" i="9"/>
  <c r="M269" i="9"/>
  <c r="N269" i="9"/>
  <c r="O269" i="9"/>
  <c r="P269" i="9"/>
  <c r="Q269" i="9"/>
  <c r="D270" i="9"/>
  <c r="E270" i="9"/>
  <c r="F270" i="9"/>
  <c r="G270" i="9"/>
  <c r="H270" i="9"/>
  <c r="I270" i="9"/>
  <c r="J270" i="9"/>
  <c r="K270" i="9"/>
  <c r="L270" i="9"/>
  <c r="M270" i="9"/>
  <c r="N270" i="9"/>
  <c r="O270" i="9"/>
  <c r="P270" i="9"/>
  <c r="Q270" i="9"/>
  <c r="D271" i="9"/>
  <c r="E271" i="9"/>
  <c r="F271" i="9"/>
  <c r="G271" i="9"/>
  <c r="H271" i="9"/>
  <c r="I271" i="9"/>
  <c r="J271" i="9"/>
  <c r="K271" i="9"/>
  <c r="L271" i="9"/>
  <c r="M271" i="9"/>
  <c r="N271" i="9"/>
  <c r="O271" i="9"/>
  <c r="P271" i="9"/>
  <c r="Q271" i="9"/>
  <c r="D272" i="9"/>
  <c r="E272" i="9"/>
  <c r="F272" i="9"/>
  <c r="G272" i="9"/>
  <c r="H272" i="9"/>
  <c r="I272" i="9"/>
  <c r="J272" i="9"/>
  <c r="K272" i="9"/>
  <c r="L272" i="9"/>
  <c r="M272" i="9"/>
  <c r="N272" i="9"/>
  <c r="O272" i="9"/>
  <c r="P272" i="9"/>
  <c r="Q272" i="9"/>
  <c r="D273" i="9"/>
  <c r="E273" i="9"/>
  <c r="F273" i="9"/>
  <c r="G273" i="9"/>
  <c r="H273" i="9"/>
  <c r="I273" i="9"/>
  <c r="J273" i="9"/>
  <c r="K273" i="9"/>
  <c r="L273" i="9"/>
  <c r="M273" i="9"/>
  <c r="N273" i="9"/>
  <c r="O273" i="9"/>
  <c r="P273" i="9"/>
  <c r="Q273" i="9"/>
  <c r="D274" i="9"/>
  <c r="E274" i="9"/>
  <c r="F274" i="9"/>
  <c r="G274" i="9"/>
  <c r="H274" i="9"/>
  <c r="I274" i="9"/>
  <c r="J274" i="9"/>
  <c r="K274" i="9"/>
  <c r="L274" i="9"/>
  <c r="M274" i="9"/>
  <c r="N274" i="9"/>
  <c r="O274" i="9"/>
  <c r="P274" i="9"/>
  <c r="Q274" i="9"/>
  <c r="Q242" i="9"/>
  <c r="P242" i="9"/>
  <c r="O242" i="9"/>
  <c r="N242" i="9"/>
  <c r="M242" i="9"/>
  <c r="L242" i="9"/>
  <c r="K242" i="9"/>
  <c r="J242" i="9"/>
  <c r="I242" i="9"/>
  <c r="H242" i="9"/>
  <c r="G242" i="9"/>
  <c r="F242" i="9"/>
  <c r="E242" i="9"/>
  <c r="D242" i="9"/>
  <c r="D209" i="9"/>
  <c r="E209" i="9"/>
  <c r="F209" i="9"/>
  <c r="G209" i="9"/>
  <c r="H209" i="9"/>
  <c r="I209" i="9"/>
  <c r="J209" i="9"/>
  <c r="K209" i="9"/>
  <c r="L209" i="9"/>
  <c r="M209" i="9"/>
  <c r="N209" i="9"/>
  <c r="O209" i="9"/>
  <c r="P209" i="9"/>
  <c r="Q209" i="9"/>
  <c r="D210" i="9"/>
  <c r="E210" i="9"/>
  <c r="F210" i="9"/>
  <c r="G210" i="9"/>
  <c r="H210" i="9"/>
  <c r="I210" i="9"/>
  <c r="J210" i="9"/>
  <c r="K210" i="9"/>
  <c r="L210" i="9"/>
  <c r="M210" i="9"/>
  <c r="N210" i="9"/>
  <c r="O210" i="9"/>
  <c r="P210" i="9"/>
  <c r="Q210" i="9"/>
  <c r="D211" i="9"/>
  <c r="E211" i="9"/>
  <c r="F211" i="9"/>
  <c r="G211" i="9"/>
  <c r="H211" i="9"/>
  <c r="I211" i="9"/>
  <c r="J211" i="9"/>
  <c r="K211" i="9"/>
  <c r="L211" i="9"/>
  <c r="M211" i="9"/>
  <c r="N211" i="9"/>
  <c r="O211" i="9"/>
  <c r="P211" i="9"/>
  <c r="Q211" i="9"/>
  <c r="D212" i="9"/>
  <c r="E212" i="9"/>
  <c r="F212" i="9"/>
  <c r="G212" i="9"/>
  <c r="H212" i="9"/>
  <c r="I212" i="9"/>
  <c r="J212" i="9"/>
  <c r="K212" i="9"/>
  <c r="L212" i="9"/>
  <c r="M212" i="9"/>
  <c r="N212" i="9"/>
  <c r="O212" i="9"/>
  <c r="P212" i="9"/>
  <c r="Q212" i="9"/>
  <c r="D213" i="9"/>
  <c r="E213" i="9"/>
  <c r="F213" i="9"/>
  <c r="G213" i="9"/>
  <c r="H213" i="9"/>
  <c r="I213" i="9"/>
  <c r="J213" i="9"/>
  <c r="K213" i="9"/>
  <c r="L213" i="9"/>
  <c r="M213" i="9"/>
  <c r="N213" i="9"/>
  <c r="O213" i="9"/>
  <c r="P213" i="9"/>
  <c r="Q213" i="9"/>
  <c r="D214" i="9"/>
  <c r="E214" i="9"/>
  <c r="F214" i="9"/>
  <c r="G214" i="9"/>
  <c r="H214" i="9"/>
  <c r="I214" i="9"/>
  <c r="J214" i="9"/>
  <c r="K214" i="9"/>
  <c r="L214" i="9"/>
  <c r="M214" i="9"/>
  <c r="N214" i="9"/>
  <c r="O214" i="9"/>
  <c r="P214" i="9"/>
  <c r="Q214" i="9"/>
  <c r="D215" i="9"/>
  <c r="E215" i="9"/>
  <c r="F215" i="9"/>
  <c r="G215" i="9"/>
  <c r="H215" i="9"/>
  <c r="I215" i="9"/>
  <c r="J215" i="9"/>
  <c r="K215" i="9"/>
  <c r="L215" i="9"/>
  <c r="M215" i="9"/>
  <c r="N215" i="9"/>
  <c r="O215" i="9"/>
  <c r="P215" i="9"/>
  <c r="Q215" i="9"/>
  <c r="D216" i="9"/>
  <c r="E216" i="9"/>
  <c r="F216" i="9"/>
  <c r="G216" i="9"/>
  <c r="H216" i="9"/>
  <c r="I216" i="9"/>
  <c r="J216" i="9"/>
  <c r="K216" i="9"/>
  <c r="L216" i="9"/>
  <c r="M216" i="9"/>
  <c r="N216" i="9"/>
  <c r="O216" i="9"/>
  <c r="P216" i="9"/>
  <c r="Q216" i="9"/>
  <c r="D217" i="9"/>
  <c r="E217" i="9"/>
  <c r="F217" i="9"/>
  <c r="G217" i="9"/>
  <c r="H217" i="9"/>
  <c r="I217" i="9"/>
  <c r="J217" i="9"/>
  <c r="K217" i="9"/>
  <c r="L217" i="9"/>
  <c r="M217" i="9"/>
  <c r="N217" i="9"/>
  <c r="O217" i="9"/>
  <c r="P217" i="9"/>
  <c r="Q217" i="9"/>
  <c r="D218" i="9"/>
  <c r="E218" i="9"/>
  <c r="F218" i="9"/>
  <c r="G218" i="9"/>
  <c r="H218" i="9"/>
  <c r="I218" i="9"/>
  <c r="J218" i="9"/>
  <c r="K218" i="9"/>
  <c r="L218" i="9"/>
  <c r="M218" i="9"/>
  <c r="N218" i="9"/>
  <c r="O218" i="9"/>
  <c r="P218" i="9"/>
  <c r="Q218" i="9"/>
  <c r="D219" i="9"/>
  <c r="E219" i="9"/>
  <c r="F219" i="9"/>
  <c r="G219" i="9"/>
  <c r="H219" i="9"/>
  <c r="I219" i="9"/>
  <c r="J219" i="9"/>
  <c r="K219" i="9"/>
  <c r="L219" i="9"/>
  <c r="M219" i="9"/>
  <c r="N219" i="9"/>
  <c r="O219" i="9"/>
  <c r="P219" i="9"/>
  <c r="Q219" i="9"/>
  <c r="D220" i="9"/>
  <c r="E220" i="9"/>
  <c r="F220" i="9"/>
  <c r="G220" i="9"/>
  <c r="H220" i="9"/>
  <c r="I220" i="9"/>
  <c r="J220" i="9"/>
  <c r="K220" i="9"/>
  <c r="L220" i="9"/>
  <c r="M220" i="9"/>
  <c r="N220" i="9"/>
  <c r="O220" i="9"/>
  <c r="P220" i="9"/>
  <c r="Q220" i="9"/>
  <c r="D221" i="9"/>
  <c r="E221" i="9"/>
  <c r="F221" i="9"/>
  <c r="G221" i="9"/>
  <c r="H221" i="9"/>
  <c r="I221" i="9"/>
  <c r="J221" i="9"/>
  <c r="K221" i="9"/>
  <c r="L221" i="9"/>
  <c r="M221" i="9"/>
  <c r="N221" i="9"/>
  <c r="O221" i="9"/>
  <c r="P221" i="9"/>
  <c r="Q221" i="9"/>
  <c r="D222" i="9"/>
  <c r="E222" i="9"/>
  <c r="F222" i="9"/>
  <c r="G222" i="9"/>
  <c r="H222" i="9"/>
  <c r="I222" i="9"/>
  <c r="J222" i="9"/>
  <c r="K222" i="9"/>
  <c r="L222" i="9"/>
  <c r="M222" i="9"/>
  <c r="N222" i="9"/>
  <c r="O222" i="9"/>
  <c r="P222" i="9"/>
  <c r="Q222" i="9"/>
  <c r="D223" i="9"/>
  <c r="E223" i="9"/>
  <c r="F223" i="9"/>
  <c r="G223" i="9"/>
  <c r="H223" i="9"/>
  <c r="I223" i="9"/>
  <c r="J223" i="9"/>
  <c r="K223" i="9"/>
  <c r="L223" i="9"/>
  <c r="M223" i="9"/>
  <c r="N223" i="9"/>
  <c r="O223" i="9"/>
  <c r="P223" i="9"/>
  <c r="Q223" i="9"/>
  <c r="D224" i="9"/>
  <c r="E224" i="9"/>
  <c r="F224" i="9"/>
  <c r="G224" i="9"/>
  <c r="H224" i="9"/>
  <c r="I224" i="9"/>
  <c r="J224" i="9"/>
  <c r="K224" i="9"/>
  <c r="L224" i="9"/>
  <c r="M224" i="9"/>
  <c r="N224" i="9"/>
  <c r="O224" i="9"/>
  <c r="P224" i="9"/>
  <c r="Q224" i="9"/>
  <c r="D225" i="9"/>
  <c r="E225" i="9"/>
  <c r="F225" i="9"/>
  <c r="G225" i="9"/>
  <c r="H225" i="9"/>
  <c r="I225" i="9"/>
  <c r="J225" i="9"/>
  <c r="K225" i="9"/>
  <c r="L225" i="9"/>
  <c r="M225" i="9"/>
  <c r="N225" i="9"/>
  <c r="O225" i="9"/>
  <c r="P225" i="9"/>
  <c r="Q225" i="9"/>
  <c r="D226" i="9"/>
  <c r="E226" i="9"/>
  <c r="F226" i="9"/>
  <c r="G226" i="9"/>
  <c r="H226" i="9"/>
  <c r="I226" i="9"/>
  <c r="J226" i="9"/>
  <c r="K226" i="9"/>
  <c r="L226" i="9"/>
  <c r="M226" i="9"/>
  <c r="N226" i="9"/>
  <c r="O226" i="9"/>
  <c r="P226" i="9"/>
  <c r="Q226" i="9"/>
  <c r="D227" i="9"/>
  <c r="E227" i="9"/>
  <c r="F227" i="9"/>
  <c r="G227" i="9"/>
  <c r="H227" i="9"/>
  <c r="I227" i="9"/>
  <c r="J227" i="9"/>
  <c r="K227" i="9"/>
  <c r="L227" i="9"/>
  <c r="M227" i="9"/>
  <c r="N227" i="9"/>
  <c r="O227" i="9"/>
  <c r="P227" i="9"/>
  <c r="Q227" i="9"/>
  <c r="D228" i="9"/>
  <c r="E228" i="9"/>
  <c r="F228" i="9"/>
  <c r="G228" i="9"/>
  <c r="H228" i="9"/>
  <c r="I228" i="9"/>
  <c r="J228" i="9"/>
  <c r="K228" i="9"/>
  <c r="L228" i="9"/>
  <c r="M228" i="9"/>
  <c r="N228" i="9"/>
  <c r="O228" i="9"/>
  <c r="P228" i="9"/>
  <c r="Q228" i="9"/>
  <c r="D229" i="9"/>
  <c r="E229" i="9"/>
  <c r="F229" i="9"/>
  <c r="G229" i="9"/>
  <c r="H229" i="9"/>
  <c r="I229" i="9"/>
  <c r="J229" i="9"/>
  <c r="K229" i="9"/>
  <c r="L229" i="9"/>
  <c r="M229" i="9"/>
  <c r="N229" i="9"/>
  <c r="O229" i="9"/>
  <c r="P229" i="9"/>
  <c r="Q229" i="9"/>
  <c r="D230" i="9"/>
  <c r="E230" i="9"/>
  <c r="F230" i="9"/>
  <c r="G230" i="9"/>
  <c r="H230" i="9"/>
  <c r="I230" i="9"/>
  <c r="J230" i="9"/>
  <c r="K230" i="9"/>
  <c r="L230" i="9"/>
  <c r="M230" i="9"/>
  <c r="N230" i="9"/>
  <c r="O230" i="9"/>
  <c r="P230" i="9"/>
  <c r="Q230" i="9"/>
  <c r="D231" i="9"/>
  <c r="E231" i="9"/>
  <c r="F231" i="9"/>
  <c r="G231" i="9"/>
  <c r="H231" i="9"/>
  <c r="I231" i="9"/>
  <c r="J231" i="9"/>
  <c r="K231" i="9"/>
  <c r="L231" i="9"/>
  <c r="M231" i="9"/>
  <c r="N231" i="9"/>
  <c r="O231" i="9"/>
  <c r="P231" i="9"/>
  <c r="Q231" i="9"/>
  <c r="D232" i="9"/>
  <c r="E232" i="9"/>
  <c r="F232" i="9"/>
  <c r="G232" i="9"/>
  <c r="H232" i="9"/>
  <c r="I232" i="9"/>
  <c r="J232" i="9"/>
  <c r="K232" i="9"/>
  <c r="L232" i="9"/>
  <c r="M232" i="9"/>
  <c r="N232" i="9"/>
  <c r="O232" i="9"/>
  <c r="P232" i="9"/>
  <c r="Q232" i="9"/>
  <c r="D233" i="9"/>
  <c r="E233" i="9"/>
  <c r="F233" i="9"/>
  <c r="G233" i="9"/>
  <c r="H233" i="9"/>
  <c r="I233" i="9"/>
  <c r="J233" i="9"/>
  <c r="K233" i="9"/>
  <c r="L233" i="9"/>
  <c r="M233" i="9"/>
  <c r="N233" i="9"/>
  <c r="O233" i="9"/>
  <c r="P233" i="9"/>
  <c r="Q233" i="9"/>
  <c r="D234" i="9"/>
  <c r="E234" i="9"/>
  <c r="F234" i="9"/>
  <c r="G234" i="9"/>
  <c r="H234" i="9"/>
  <c r="I234" i="9"/>
  <c r="J234" i="9"/>
  <c r="K234" i="9"/>
  <c r="L234" i="9"/>
  <c r="M234" i="9"/>
  <c r="N234" i="9"/>
  <c r="O234" i="9"/>
  <c r="P234" i="9"/>
  <c r="Q234" i="9"/>
  <c r="D235" i="9"/>
  <c r="E235" i="9"/>
  <c r="F235" i="9"/>
  <c r="G235" i="9"/>
  <c r="H235" i="9"/>
  <c r="I235" i="9"/>
  <c r="J235" i="9"/>
  <c r="K235" i="9"/>
  <c r="L235" i="9"/>
  <c r="M235" i="9"/>
  <c r="N235" i="9"/>
  <c r="O235" i="9"/>
  <c r="P235" i="9"/>
  <c r="Q235" i="9"/>
  <c r="D236" i="9"/>
  <c r="E236" i="9"/>
  <c r="F236" i="9"/>
  <c r="G236" i="9"/>
  <c r="H236" i="9"/>
  <c r="I236" i="9"/>
  <c r="J236" i="9"/>
  <c r="K236" i="9"/>
  <c r="L236" i="9"/>
  <c r="M236" i="9"/>
  <c r="N236" i="9"/>
  <c r="O236" i="9"/>
  <c r="P236" i="9"/>
  <c r="Q236" i="9"/>
  <c r="D237" i="9"/>
  <c r="E237" i="9"/>
  <c r="F237" i="9"/>
  <c r="G237" i="9"/>
  <c r="H237" i="9"/>
  <c r="I237" i="9"/>
  <c r="J237" i="9"/>
  <c r="K237" i="9"/>
  <c r="L237" i="9"/>
  <c r="M237" i="9"/>
  <c r="N237" i="9"/>
  <c r="O237" i="9"/>
  <c r="P237" i="9"/>
  <c r="Q237" i="9"/>
  <c r="D238" i="9"/>
  <c r="E238" i="9"/>
  <c r="F238" i="9"/>
  <c r="G238" i="9"/>
  <c r="H238" i="9"/>
  <c r="I238" i="9"/>
  <c r="J238" i="9"/>
  <c r="K238" i="9"/>
  <c r="L238" i="9"/>
  <c r="M238" i="9"/>
  <c r="N238" i="9"/>
  <c r="O238" i="9"/>
  <c r="P238" i="9"/>
  <c r="Q238" i="9"/>
  <c r="D239" i="9"/>
  <c r="E239" i="9"/>
  <c r="F239" i="9"/>
  <c r="G239" i="9"/>
  <c r="H239" i="9"/>
  <c r="I239" i="9"/>
  <c r="J239" i="9"/>
  <c r="K239" i="9"/>
  <c r="L239" i="9"/>
  <c r="M239" i="9"/>
  <c r="N239" i="9"/>
  <c r="O239" i="9"/>
  <c r="P239" i="9"/>
  <c r="Q239" i="9"/>
  <c r="D240" i="9"/>
  <c r="E240" i="9"/>
  <c r="F240" i="9"/>
  <c r="G240" i="9"/>
  <c r="H240" i="9"/>
  <c r="I240" i="9"/>
  <c r="J240" i="9"/>
  <c r="K240" i="9"/>
  <c r="L240" i="9"/>
  <c r="M240" i="9"/>
  <c r="N240" i="9"/>
  <c r="O240" i="9"/>
  <c r="P240" i="9"/>
  <c r="Q240" i="9"/>
  <c r="Q208" i="9"/>
  <c r="P208" i="9"/>
  <c r="O208" i="9"/>
  <c r="N208" i="9"/>
  <c r="M208" i="9"/>
  <c r="L208" i="9"/>
  <c r="K208" i="9"/>
  <c r="J208" i="9"/>
  <c r="I208" i="9"/>
  <c r="H208" i="9"/>
  <c r="G208" i="9"/>
  <c r="F208" i="9"/>
  <c r="E208" i="9"/>
  <c r="D208" i="9"/>
  <c r="D175" i="9"/>
  <c r="E175" i="9"/>
  <c r="F175" i="9"/>
  <c r="G175" i="9"/>
  <c r="H175" i="9"/>
  <c r="I175" i="9"/>
  <c r="J175" i="9"/>
  <c r="K175" i="9"/>
  <c r="L175" i="9"/>
  <c r="M175" i="9"/>
  <c r="N175" i="9"/>
  <c r="O175" i="9"/>
  <c r="P175" i="9"/>
  <c r="Q175" i="9"/>
  <c r="D176" i="9"/>
  <c r="E176" i="9"/>
  <c r="F176" i="9"/>
  <c r="G176" i="9"/>
  <c r="H176" i="9"/>
  <c r="I176" i="9"/>
  <c r="J176" i="9"/>
  <c r="K176" i="9"/>
  <c r="L176" i="9"/>
  <c r="M176" i="9"/>
  <c r="N176" i="9"/>
  <c r="O176" i="9"/>
  <c r="P176" i="9"/>
  <c r="Q176" i="9"/>
  <c r="D177" i="9"/>
  <c r="E177" i="9"/>
  <c r="F177" i="9"/>
  <c r="G177" i="9"/>
  <c r="H177" i="9"/>
  <c r="I177" i="9"/>
  <c r="J177" i="9"/>
  <c r="K177" i="9"/>
  <c r="L177" i="9"/>
  <c r="M177" i="9"/>
  <c r="N177" i="9"/>
  <c r="O177" i="9"/>
  <c r="P177" i="9"/>
  <c r="Q177" i="9"/>
  <c r="D178" i="9"/>
  <c r="E178" i="9"/>
  <c r="F178" i="9"/>
  <c r="G178" i="9"/>
  <c r="H178" i="9"/>
  <c r="I178" i="9"/>
  <c r="J178" i="9"/>
  <c r="K178" i="9"/>
  <c r="L178" i="9"/>
  <c r="M178" i="9"/>
  <c r="N178" i="9"/>
  <c r="O178" i="9"/>
  <c r="P178" i="9"/>
  <c r="Q178" i="9"/>
  <c r="D179" i="9"/>
  <c r="E179" i="9"/>
  <c r="F179" i="9"/>
  <c r="G179" i="9"/>
  <c r="H179" i="9"/>
  <c r="I179" i="9"/>
  <c r="J179" i="9"/>
  <c r="K179" i="9"/>
  <c r="L179" i="9"/>
  <c r="M179" i="9"/>
  <c r="N179" i="9"/>
  <c r="O179" i="9"/>
  <c r="P179" i="9"/>
  <c r="Q179" i="9"/>
  <c r="D180" i="9"/>
  <c r="E180" i="9"/>
  <c r="F180" i="9"/>
  <c r="G180" i="9"/>
  <c r="H180" i="9"/>
  <c r="I180" i="9"/>
  <c r="J180" i="9"/>
  <c r="K180" i="9"/>
  <c r="L180" i="9"/>
  <c r="M180" i="9"/>
  <c r="N180" i="9"/>
  <c r="O180" i="9"/>
  <c r="P180" i="9"/>
  <c r="Q180" i="9"/>
  <c r="D181" i="9"/>
  <c r="E181" i="9"/>
  <c r="F181" i="9"/>
  <c r="G181" i="9"/>
  <c r="H181" i="9"/>
  <c r="I181" i="9"/>
  <c r="J181" i="9"/>
  <c r="K181" i="9"/>
  <c r="L181" i="9"/>
  <c r="M181" i="9"/>
  <c r="N181" i="9"/>
  <c r="O181" i="9"/>
  <c r="P181" i="9"/>
  <c r="Q181" i="9"/>
  <c r="D182" i="9"/>
  <c r="E182" i="9"/>
  <c r="F182" i="9"/>
  <c r="G182" i="9"/>
  <c r="H182" i="9"/>
  <c r="I182" i="9"/>
  <c r="J182" i="9"/>
  <c r="K182" i="9"/>
  <c r="L182" i="9"/>
  <c r="M182" i="9"/>
  <c r="N182" i="9"/>
  <c r="O182" i="9"/>
  <c r="P182" i="9"/>
  <c r="Q182" i="9"/>
  <c r="D183" i="9"/>
  <c r="E183" i="9"/>
  <c r="F183" i="9"/>
  <c r="G183" i="9"/>
  <c r="H183" i="9"/>
  <c r="I183" i="9"/>
  <c r="J183" i="9"/>
  <c r="K183" i="9"/>
  <c r="L183" i="9"/>
  <c r="M183" i="9"/>
  <c r="N183" i="9"/>
  <c r="O183" i="9"/>
  <c r="P183" i="9"/>
  <c r="Q183" i="9"/>
  <c r="D184" i="9"/>
  <c r="E184" i="9"/>
  <c r="F184" i="9"/>
  <c r="G184" i="9"/>
  <c r="H184" i="9"/>
  <c r="I184" i="9"/>
  <c r="J184" i="9"/>
  <c r="K184" i="9"/>
  <c r="L184" i="9"/>
  <c r="M184" i="9"/>
  <c r="N184" i="9"/>
  <c r="O184" i="9"/>
  <c r="P184" i="9"/>
  <c r="Q184" i="9"/>
  <c r="D185" i="9"/>
  <c r="E185" i="9"/>
  <c r="F185" i="9"/>
  <c r="G185" i="9"/>
  <c r="H185" i="9"/>
  <c r="I185" i="9"/>
  <c r="J185" i="9"/>
  <c r="K185" i="9"/>
  <c r="L185" i="9"/>
  <c r="M185" i="9"/>
  <c r="N185" i="9"/>
  <c r="O185" i="9"/>
  <c r="P185" i="9"/>
  <c r="Q185" i="9"/>
  <c r="D186" i="9"/>
  <c r="E186" i="9"/>
  <c r="F186" i="9"/>
  <c r="G186" i="9"/>
  <c r="H186" i="9"/>
  <c r="I186" i="9"/>
  <c r="J186" i="9"/>
  <c r="K186" i="9"/>
  <c r="L186" i="9"/>
  <c r="M186" i="9"/>
  <c r="N186" i="9"/>
  <c r="O186" i="9"/>
  <c r="P186" i="9"/>
  <c r="Q186" i="9"/>
  <c r="D187" i="9"/>
  <c r="E187" i="9"/>
  <c r="F187" i="9"/>
  <c r="G187" i="9"/>
  <c r="H187" i="9"/>
  <c r="I187" i="9"/>
  <c r="J187" i="9"/>
  <c r="K187" i="9"/>
  <c r="L187" i="9"/>
  <c r="M187" i="9"/>
  <c r="N187" i="9"/>
  <c r="O187" i="9"/>
  <c r="P187" i="9"/>
  <c r="Q187" i="9"/>
  <c r="D188" i="9"/>
  <c r="E188" i="9"/>
  <c r="F188" i="9"/>
  <c r="G188" i="9"/>
  <c r="H188" i="9"/>
  <c r="I188" i="9"/>
  <c r="J188" i="9"/>
  <c r="K188" i="9"/>
  <c r="L188" i="9"/>
  <c r="M188" i="9"/>
  <c r="N188" i="9"/>
  <c r="O188" i="9"/>
  <c r="P188" i="9"/>
  <c r="Q188" i="9"/>
  <c r="D189" i="9"/>
  <c r="E189" i="9"/>
  <c r="F189" i="9"/>
  <c r="G189" i="9"/>
  <c r="H189" i="9"/>
  <c r="I189" i="9"/>
  <c r="J189" i="9"/>
  <c r="K189" i="9"/>
  <c r="L189" i="9"/>
  <c r="M189" i="9"/>
  <c r="N189" i="9"/>
  <c r="O189" i="9"/>
  <c r="P189" i="9"/>
  <c r="Q189" i="9"/>
  <c r="D190" i="9"/>
  <c r="E190" i="9"/>
  <c r="F190" i="9"/>
  <c r="G190" i="9"/>
  <c r="H190" i="9"/>
  <c r="I190" i="9"/>
  <c r="J190" i="9"/>
  <c r="K190" i="9"/>
  <c r="L190" i="9"/>
  <c r="M190" i="9"/>
  <c r="N190" i="9"/>
  <c r="O190" i="9"/>
  <c r="P190" i="9"/>
  <c r="Q190" i="9"/>
  <c r="D191" i="9"/>
  <c r="E191" i="9"/>
  <c r="F191" i="9"/>
  <c r="G191" i="9"/>
  <c r="H191" i="9"/>
  <c r="I191" i="9"/>
  <c r="J191" i="9"/>
  <c r="K191" i="9"/>
  <c r="L191" i="9"/>
  <c r="M191" i="9"/>
  <c r="N191" i="9"/>
  <c r="O191" i="9"/>
  <c r="P191" i="9"/>
  <c r="Q191" i="9"/>
  <c r="D192" i="9"/>
  <c r="E192" i="9"/>
  <c r="F192" i="9"/>
  <c r="G192" i="9"/>
  <c r="H192" i="9"/>
  <c r="I192" i="9"/>
  <c r="J192" i="9"/>
  <c r="K192" i="9"/>
  <c r="L192" i="9"/>
  <c r="M192" i="9"/>
  <c r="N192" i="9"/>
  <c r="O192" i="9"/>
  <c r="P192" i="9"/>
  <c r="Q192" i="9"/>
  <c r="D193" i="9"/>
  <c r="E193" i="9"/>
  <c r="F193" i="9"/>
  <c r="G193" i="9"/>
  <c r="H193" i="9"/>
  <c r="I193" i="9"/>
  <c r="J193" i="9"/>
  <c r="K193" i="9"/>
  <c r="L193" i="9"/>
  <c r="M193" i="9"/>
  <c r="N193" i="9"/>
  <c r="O193" i="9"/>
  <c r="P193" i="9"/>
  <c r="Q193" i="9"/>
  <c r="D194" i="9"/>
  <c r="E194" i="9"/>
  <c r="F194" i="9"/>
  <c r="G194" i="9"/>
  <c r="H194" i="9"/>
  <c r="I194" i="9"/>
  <c r="J194" i="9"/>
  <c r="K194" i="9"/>
  <c r="L194" i="9"/>
  <c r="M194" i="9"/>
  <c r="N194" i="9"/>
  <c r="O194" i="9"/>
  <c r="P194" i="9"/>
  <c r="Q194" i="9"/>
  <c r="D195" i="9"/>
  <c r="E195" i="9"/>
  <c r="F195" i="9"/>
  <c r="G195" i="9"/>
  <c r="H195" i="9"/>
  <c r="I195" i="9"/>
  <c r="J195" i="9"/>
  <c r="K195" i="9"/>
  <c r="L195" i="9"/>
  <c r="M195" i="9"/>
  <c r="N195" i="9"/>
  <c r="O195" i="9"/>
  <c r="P195" i="9"/>
  <c r="Q195" i="9"/>
  <c r="D196" i="9"/>
  <c r="E196" i="9"/>
  <c r="F196" i="9"/>
  <c r="G196" i="9"/>
  <c r="H196" i="9"/>
  <c r="I196" i="9"/>
  <c r="J196" i="9"/>
  <c r="K196" i="9"/>
  <c r="L196" i="9"/>
  <c r="M196" i="9"/>
  <c r="N196" i="9"/>
  <c r="O196" i="9"/>
  <c r="P196" i="9"/>
  <c r="Q196" i="9"/>
  <c r="D197" i="9"/>
  <c r="E197" i="9"/>
  <c r="F197" i="9"/>
  <c r="G197" i="9"/>
  <c r="H197" i="9"/>
  <c r="I197" i="9"/>
  <c r="J197" i="9"/>
  <c r="K197" i="9"/>
  <c r="L197" i="9"/>
  <c r="M197" i="9"/>
  <c r="N197" i="9"/>
  <c r="O197" i="9"/>
  <c r="P197" i="9"/>
  <c r="Q197" i="9"/>
  <c r="D198" i="9"/>
  <c r="E198" i="9"/>
  <c r="F198" i="9"/>
  <c r="G198" i="9"/>
  <c r="H198" i="9"/>
  <c r="I198" i="9"/>
  <c r="J198" i="9"/>
  <c r="K198" i="9"/>
  <c r="L198" i="9"/>
  <c r="M198" i="9"/>
  <c r="N198" i="9"/>
  <c r="O198" i="9"/>
  <c r="P198" i="9"/>
  <c r="Q198" i="9"/>
  <c r="D199" i="9"/>
  <c r="E199" i="9"/>
  <c r="F199" i="9"/>
  <c r="G199" i="9"/>
  <c r="H199" i="9"/>
  <c r="I199" i="9"/>
  <c r="J199" i="9"/>
  <c r="K199" i="9"/>
  <c r="L199" i="9"/>
  <c r="M199" i="9"/>
  <c r="N199" i="9"/>
  <c r="O199" i="9"/>
  <c r="P199" i="9"/>
  <c r="Q199" i="9"/>
  <c r="D200" i="9"/>
  <c r="E200" i="9"/>
  <c r="F200" i="9"/>
  <c r="G200" i="9"/>
  <c r="H200" i="9"/>
  <c r="I200" i="9"/>
  <c r="J200" i="9"/>
  <c r="K200" i="9"/>
  <c r="L200" i="9"/>
  <c r="M200" i="9"/>
  <c r="N200" i="9"/>
  <c r="O200" i="9"/>
  <c r="P200" i="9"/>
  <c r="Q200" i="9"/>
  <c r="D201" i="9"/>
  <c r="E201" i="9"/>
  <c r="F201" i="9"/>
  <c r="G201" i="9"/>
  <c r="H201" i="9"/>
  <c r="I201" i="9"/>
  <c r="J201" i="9"/>
  <c r="K201" i="9"/>
  <c r="L201" i="9"/>
  <c r="M201" i="9"/>
  <c r="N201" i="9"/>
  <c r="O201" i="9"/>
  <c r="P201" i="9"/>
  <c r="Q201" i="9"/>
  <c r="D202" i="9"/>
  <c r="E202" i="9"/>
  <c r="F202" i="9"/>
  <c r="G202" i="9"/>
  <c r="H202" i="9"/>
  <c r="I202" i="9"/>
  <c r="J202" i="9"/>
  <c r="K202" i="9"/>
  <c r="L202" i="9"/>
  <c r="M202" i="9"/>
  <c r="N202" i="9"/>
  <c r="O202" i="9"/>
  <c r="P202" i="9"/>
  <c r="Q202" i="9"/>
  <c r="D203" i="9"/>
  <c r="E203" i="9"/>
  <c r="F203" i="9"/>
  <c r="G203" i="9"/>
  <c r="H203" i="9"/>
  <c r="I203" i="9"/>
  <c r="J203" i="9"/>
  <c r="K203" i="9"/>
  <c r="L203" i="9"/>
  <c r="M203" i="9"/>
  <c r="N203" i="9"/>
  <c r="O203" i="9"/>
  <c r="P203" i="9"/>
  <c r="Q203" i="9"/>
  <c r="D204" i="9"/>
  <c r="E204" i="9"/>
  <c r="F204" i="9"/>
  <c r="G204" i="9"/>
  <c r="H204" i="9"/>
  <c r="I204" i="9"/>
  <c r="J204" i="9"/>
  <c r="K204" i="9"/>
  <c r="L204" i="9"/>
  <c r="M204" i="9"/>
  <c r="N204" i="9"/>
  <c r="O204" i="9"/>
  <c r="P204" i="9"/>
  <c r="Q204" i="9"/>
  <c r="D205" i="9"/>
  <c r="E205" i="9"/>
  <c r="F205" i="9"/>
  <c r="G205" i="9"/>
  <c r="H205" i="9"/>
  <c r="I205" i="9"/>
  <c r="J205" i="9"/>
  <c r="K205" i="9"/>
  <c r="L205" i="9"/>
  <c r="M205" i="9"/>
  <c r="N205" i="9"/>
  <c r="O205" i="9"/>
  <c r="P205" i="9"/>
  <c r="Q205" i="9"/>
  <c r="D206" i="9"/>
  <c r="E206" i="9"/>
  <c r="F206" i="9"/>
  <c r="G206" i="9"/>
  <c r="H206" i="9"/>
  <c r="I206" i="9"/>
  <c r="J206" i="9"/>
  <c r="K206" i="9"/>
  <c r="L206" i="9"/>
  <c r="M206" i="9"/>
  <c r="N206" i="9"/>
  <c r="O206" i="9"/>
  <c r="P206" i="9"/>
  <c r="Q206" i="9"/>
  <c r="Q174" i="9"/>
  <c r="P174" i="9"/>
  <c r="O174" i="9"/>
  <c r="N174" i="9"/>
  <c r="M174" i="9"/>
  <c r="L174" i="9"/>
  <c r="K174" i="9"/>
  <c r="J174" i="9"/>
  <c r="I174" i="9"/>
  <c r="H174" i="9"/>
  <c r="G174" i="9"/>
  <c r="F174" i="9"/>
  <c r="E174" i="9"/>
  <c r="D174" i="9"/>
  <c r="D141" i="9"/>
  <c r="E141" i="9"/>
  <c r="F141" i="9"/>
  <c r="G141" i="9"/>
  <c r="H141" i="9"/>
  <c r="I141" i="9"/>
  <c r="J141" i="9"/>
  <c r="K141" i="9"/>
  <c r="L141" i="9"/>
  <c r="M141" i="9"/>
  <c r="N141" i="9"/>
  <c r="O141" i="9"/>
  <c r="P141" i="9"/>
  <c r="Q141" i="9"/>
  <c r="D142" i="9"/>
  <c r="E142" i="9"/>
  <c r="F142" i="9"/>
  <c r="G142" i="9"/>
  <c r="H142" i="9"/>
  <c r="I142" i="9"/>
  <c r="J142" i="9"/>
  <c r="K142" i="9"/>
  <c r="L142" i="9"/>
  <c r="M142" i="9"/>
  <c r="N142" i="9"/>
  <c r="O142" i="9"/>
  <c r="P142" i="9"/>
  <c r="Q142" i="9"/>
  <c r="D143" i="9"/>
  <c r="E143" i="9"/>
  <c r="F143" i="9"/>
  <c r="G143" i="9"/>
  <c r="H143" i="9"/>
  <c r="I143" i="9"/>
  <c r="J143" i="9"/>
  <c r="K143" i="9"/>
  <c r="L143" i="9"/>
  <c r="M143" i="9"/>
  <c r="N143" i="9"/>
  <c r="O143" i="9"/>
  <c r="P143" i="9"/>
  <c r="Q143" i="9"/>
  <c r="D144" i="9"/>
  <c r="E144" i="9"/>
  <c r="F144" i="9"/>
  <c r="G144" i="9"/>
  <c r="H144" i="9"/>
  <c r="I144" i="9"/>
  <c r="J144" i="9"/>
  <c r="K144" i="9"/>
  <c r="L144" i="9"/>
  <c r="M144" i="9"/>
  <c r="N144" i="9"/>
  <c r="O144" i="9"/>
  <c r="P144" i="9"/>
  <c r="Q144" i="9"/>
  <c r="D145" i="9"/>
  <c r="E145" i="9"/>
  <c r="F145" i="9"/>
  <c r="G145" i="9"/>
  <c r="H145" i="9"/>
  <c r="I145" i="9"/>
  <c r="J145" i="9"/>
  <c r="K145" i="9"/>
  <c r="L145" i="9"/>
  <c r="M145" i="9"/>
  <c r="N145" i="9"/>
  <c r="O145" i="9"/>
  <c r="P145" i="9"/>
  <c r="Q145" i="9"/>
  <c r="D146" i="9"/>
  <c r="E146" i="9"/>
  <c r="F146" i="9"/>
  <c r="G146" i="9"/>
  <c r="H146" i="9"/>
  <c r="I146" i="9"/>
  <c r="J146" i="9"/>
  <c r="K146" i="9"/>
  <c r="L146" i="9"/>
  <c r="M146" i="9"/>
  <c r="N146" i="9"/>
  <c r="O146" i="9"/>
  <c r="P146" i="9"/>
  <c r="Q146" i="9"/>
  <c r="D147" i="9"/>
  <c r="E147" i="9"/>
  <c r="F147" i="9"/>
  <c r="G147" i="9"/>
  <c r="H147" i="9"/>
  <c r="I147" i="9"/>
  <c r="J147" i="9"/>
  <c r="K147" i="9"/>
  <c r="L147" i="9"/>
  <c r="M147" i="9"/>
  <c r="N147" i="9"/>
  <c r="O147" i="9"/>
  <c r="P147" i="9"/>
  <c r="Q147" i="9"/>
  <c r="D148" i="9"/>
  <c r="E148" i="9"/>
  <c r="F148" i="9"/>
  <c r="G148" i="9"/>
  <c r="H148" i="9"/>
  <c r="I148" i="9"/>
  <c r="J148" i="9"/>
  <c r="K148" i="9"/>
  <c r="L148" i="9"/>
  <c r="M148" i="9"/>
  <c r="N148" i="9"/>
  <c r="O148" i="9"/>
  <c r="P148" i="9"/>
  <c r="Q148" i="9"/>
  <c r="D149" i="9"/>
  <c r="E149" i="9"/>
  <c r="F149" i="9"/>
  <c r="G149" i="9"/>
  <c r="H149" i="9"/>
  <c r="I149" i="9"/>
  <c r="J149" i="9"/>
  <c r="K149" i="9"/>
  <c r="L149" i="9"/>
  <c r="M149" i="9"/>
  <c r="N149" i="9"/>
  <c r="O149" i="9"/>
  <c r="P149" i="9"/>
  <c r="Q149" i="9"/>
  <c r="D150" i="9"/>
  <c r="E150" i="9"/>
  <c r="F150" i="9"/>
  <c r="G150" i="9"/>
  <c r="H150" i="9"/>
  <c r="I150" i="9"/>
  <c r="J150" i="9"/>
  <c r="K150" i="9"/>
  <c r="L150" i="9"/>
  <c r="M150" i="9"/>
  <c r="N150" i="9"/>
  <c r="O150" i="9"/>
  <c r="P150" i="9"/>
  <c r="Q150" i="9"/>
  <c r="D151" i="9"/>
  <c r="E151" i="9"/>
  <c r="F151" i="9"/>
  <c r="G151" i="9"/>
  <c r="H151" i="9"/>
  <c r="I151" i="9"/>
  <c r="J151" i="9"/>
  <c r="K151" i="9"/>
  <c r="L151" i="9"/>
  <c r="M151" i="9"/>
  <c r="N151" i="9"/>
  <c r="O151" i="9"/>
  <c r="P151" i="9"/>
  <c r="Q151" i="9"/>
  <c r="D152" i="9"/>
  <c r="E152" i="9"/>
  <c r="F152" i="9"/>
  <c r="G152" i="9"/>
  <c r="H152" i="9"/>
  <c r="I152" i="9"/>
  <c r="J152" i="9"/>
  <c r="K152" i="9"/>
  <c r="L152" i="9"/>
  <c r="M152" i="9"/>
  <c r="N152" i="9"/>
  <c r="O152" i="9"/>
  <c r="P152" i="9"/>
  <c r="Q152" i="9"/>
  <c r="D153" i="9"/>
  <c r="E153" i="9"/>
  <c r="F153" i="9"/>
  <c r="G153" i="9"/>
  <c r="H153" i="9"/>
  <c r="I153" i="9"/>
  <c r="J153" i="9"/>
  <c r="K153" i="9"/>
  <c r="L153" i="9"/>
  <c r="M153" i="9"/>
  <c r="N153" i="9"/>
  <c r="O153" i="9"/>
  <c r="P153" i="9"/>
  <c r="Q153" i="9"/>
  <c r="D154" i="9"/>
  <c r="E154" i="9"/>
  <c r="F154" i="9"/>
  <c r="G154" i="9"/>
  <c r="H154" i="9"/>
  <c r="I154" i="9"/>
  <c r="J154" i="9"/>
  <c r="K154" i="9"/>
  <c r="L154" i="9"/>
  <c r="M154" i="9"/>
  <c r="N154" i="9"/>
  <c r="O154" i="9"/>
  <c r="P154" i="9"/>
  <c r="Q154" i="9"/>
  <c r="D155" i="9"/>
  <c r="E155" i="9"/>
  <c r="F155" i="9"/>
  <c r="G155" i="9"/>
  <c r="H155" i="9"/>
  <c r="I155" i="9"/>
  <c r="J155" i="9"/>
  <c r="K155" i="9"/>
  <c r="L155" i="9"/>
  <c r="M155" i="9"/>
  <c r="N155" i="9"/>
  <c r="O155" i="9"/>
  <c r="P155" i="9"/>
  <c r="Q155" i="9"/>
  <c r="D156" i="9"/>
  <c r="E156" i="9"/>
  <c r="F156" i="9"/>
  <c r="G156" i="9"/>
  <c r="H156" i="9"/>
  <c r="I156" i="9"/>
  <c r="J156" i="9"/>
  <c r="K156" i="9"/>
  <c r="L156" i="9"/>
  <c r="M156" i="9"/>
  <c r="N156" i="9"/>
  <c r="O156" i="9"/>
  <c r="P156" i="9"/>
  <c r="Q156" i="9"/>
  <c r="D157" i="9"/>
  <c r="E157" i="9"/>
  <c r="F157" i="9"/>
  <c r="G157" i="9"/>
  <c r="H157" i="9"/>
  <c r="I157" i="9"/>
  <c r="J157" i="9"/>
  <c r="K157" i="9"/>
  <c r="L157" i="9"/>
  <c r="M157" i="9"/>
  <c r="N157" i="9"/>
  <c r="O157" i="9"/>
  <c r="P157" i="9"/>
  <c r="Q157" i="9"/>
  <c r="D158" i="9"/>
  <c r="E158" i="9"/>
  <c r="F158" i="9"/>
  <c r="G158" i="9"/>
  <c r="H158" i="9"/>
  <c r="I158" i="9"/>
  <c r="J158" i="9"/>
  <c r="K158" i="9"/>
  <c r="L158" i="9"/>
  <c r="M158" i="9"/>
  <c r="N158" i="9"/>
  <c r="O158" i="9"/>
  <c r="P158" i="9"/>
  <c r="Q158" i="9"/>
  <c r="D159" i="9"/>
  <c r="E159" i="9"/>
  <c r="F159" i="9"/>
  <c r="G159" i="9"/>
  <c r="H159" i="9"/>
  <c r="I159" i="9"/>
  <c r="J159" i="9"/>
  <c r="K159" i="9"/>
  <c r="L159" i="9"/>
  <c r="M159" i="9"/>
  <c r="N159" i="9"/>
  <c r="O159" i="9"/>
  <c r="P159" i="9"/>
  <c r="Q159" i="9"/>
  <c r="D160" i="9"/>
  <c r="E160" i="9"/>
  <c r="F160" i="9"/>
  <c r="G160" i="9"/>
  <c r="H160" i="9"/>
  <c r="I160" i="9"/>
  <c r="J160" i="9"/>
  <c r="K160" i="9"/>
  <c r="L160" i="9"/>
  <c r="M160" i="9"/>
  <c r="N160" i="9"/>
  <c r="O160" i="9"/>
  <c r="P160" i="9"/>
  <c r="Q160" i="9"/>
  <c r="D161" i="9"/>
  <c r="E161" i="9"/>
  <c r="F161" i="9"/>
  <c r="G161" i="9"/>
  <c r="H161" i="9"/>
  <c r="I161" i="9"/>
  <c r="J161" i="9"/>
  <c r="K161" i="9"/>
  <c r="L161" i="9"/>
  <c r="M161" i="9"/>
  <c r="N161" i="9"/>
  <c r="O161" i="9"/>
  <c r="P161" i="9"/>
  <c r="Q161" i="9"/>
  <c r="D162" i="9"/>
  <c r="E162" i="9"/>
  <c r="F162" i="9"/>
  <c r="G162" i="9"/>
  <c r="H162" i="9"/>
  <c r="I162" i="9"/>
  <c r="J162" i="9"/>
  <c r="K162" i="9"/>
  <c r="L162" i="9"/>
  <c r="M162" i="9"/>
  <c r="N162" i="9"/>
  <c r="O162" i="9"/>
  <c r="P162" i="9"/>
  <c r="Q162" i="9"/>
  <c r="D163" i="9"/>
  <c r="E163" i="9"/>
  <c r="F163" i="9"/>
  <c r="G163" i="9"/>
  <c r="H163" i="9"/>
  <c r="I163" i="9"/>
  <c r="J163" i="9"/>
  <c r="K163" i="9"/>
  <c r="L163" i="9"/>
  <c r="M163" i="9"/>
  <c r="N163" i="9"/>
  <c r="O163" i="9"/>
  <c r="P163" i="9"/>
  <c r="Q163" i="9"/>
  <c r="D164" i="9"/>
  <c r="E164" i="9"/>
  <c r="F164" i="9"/>
  <c r="G164" i="9"/>
  <c r="H164" i="9"/>
  <c r="I164" i="9"/>
  <c r="J164" i="9"/>
  <c r="K164" i="9"/>
  <c r="L164" i="9"/>
  <c r="M164" i="9"/>
  <c r="N164" i="9"/>
  <c r="O164" i="9"/>
  <c r="P164" i="9"/>
  <c r="Q164" i="9"/>
  <c r="D165" i="9"/>
  <c r="E165" i="9"/>
  <c r="F165" i="9"/>
  <c r="G165" i="9"/>
  <c r="H165" i="9"/>
  <c r="I165" i="9"/>
  <c r="J165" i="9"/>
  <c r="K165" i="9"/>
  <c r="L165" i="9"/>
  <c r="M165" i="9"/>
  <c r="N165" i="9"/>
  <c r="O165" i="9"/>
  <c r="P165" i="9"/>
  <c r="Q165" i="9"/>
  <c r="D166" i="9"/>
  <c r="E166" i="9"/>
  <c r="F166" i="9"/>
  <c r="G166" i="9"/>
  <c r="H166" i="9"/>
  <c r="I166" i="9"/>
  <c r="J166" i="9"/>
  <c r="K166" i="9"/>
  <c r="L166" i="9"/>
  <c r="M166" i="9"/>
  <c r="N166" i="9"/>
  <c r="O166" i="9"/>
  <c r="P166" i="9"/>
  <c r="Q166" i="9"/>
  <c r="D167" i="9"/>
  <c r="E167" i="9"/>
  <c r="F167" i="9"/>
  <c r="G167" i="9"/>
  <c r="H167" i="9"/>
  <c r="I167" i="9"/>
  <c r="J167" i="9"/>
  <c r="K167" i="9"/>
  <c r="L167" i="9"/>
  <c r="M167" i="9"/>
  <c r="N167" i="9"/>
  <c r="O167" i="9"/>
  <c r="P167" i="9"/>
  <c r="Q167" i="9"/>
  <c r="D168" i="9"/>
  <c r="E168" i="9"/>
  <c r="F168" i="9"/>
  <c r="G168" i="9"/>
  <c r="H168" i="9"/>
  <c r="I168" i="9"/>
  <c r="J168" i="9"/>
  <c r="K168" i="9"/>
  <c r="L168" i="9"/>
  <c r="M168" i="9"/>
  <c r="N168" i="9"/>
  <c r="O168" i="9"/>
  <c r="P168" i="9"/>
  <c r="Q168" i="9"/>
  <c r="D169" i="9"/>
  <c r="E169" i="9"/>
  <c r="F169" i="9"/>
  <c r="G169" i="9"/>
  <c r="H169" i="9"/>
  <c r="I169" i="9"/>
  <c r="J169" i="9"/>
  <c r="K169" i="9"/>
  <c r="L169" i="9"/>
  <c r="M169" i="9"/>
  <c r="N169" i="9"/>
  <c r="O169" i="9"/>
  <c r="P169" i="9"/>
  <c r="Q169" i="9"/>
  <c r="D170" i="9"/>
  <c r="E170" i="9"/>
  <c r="F170" i="9"/>
  <c r="G170" i="9"/>
  <c r="H170" i="9"/>
  <c r="I170" i="9"/>
  <c r="J170" i="9"/>
  <c r="K170" i="9"/>
  <c r="L170" i="9"/>
  <c r="M170" i="9"/>
  <c r="N170" i="9"/>
  <c r="O170" i="9"/>
  <c r="P170" i="9"/>
  <c r="Q170" i="9"/>
  <c r="D171" i="9"/>
  <c r="E171" i="9"/>
  <c r="F171" i="9"/>
  <c r="G171" i="9"/>
  <c r="H171" i="9"/>
  <c r="I171" i="9"/>
  <c r="J171" i="9"/>
  <c r="K171" i="9"/>
  <c r="L171" i="9"/>
  <c r="M171" i="9"/>
  <c r="N171" i="9"/>
  <c r="O171" i="9"/>
  <c r="P171" i="9"/>
  <c r="Q171" i="9"/>
  <c r="D172" i="9"/>
  <c r="E172" i="9"/>
  <c r="F172" i="9"/>
  <c r="G172" i="9"/>
  <c r="H172" i="9"/>
  <c r="I172" i="9"/>
  <c r="J172" i="9"/>
  <c r="K172" i="9"/>
  <c r="L172" i="9"/>
  <c r="M172" i="9"/>
  <c r="N172" i="9"/>
  <c r="O172" i="9"/>
  <c r="P172" i="9"/>
  <c r="Q172" i="9"/>
  <c r="Q140" i="9"/>
  <c r="P140" i="9"/>
  <c r="O140" i="9"/>
  <c r="N140" i="9"/>
  <c r="M140" i="9"/>
  <c r="L140" i="9"/>
  <c r="K140" i="9"/>
  <c r="J140" i="9"/>
  <c r="I140" i="9"/>
  <c r="H140" i="9"/>
  <c r="G140" i="9"/>
  <c r="F140" i="9"/>
  <c r="E140" i="9"/>
  <c r="D140" i="9"/>
  <c r="D107" i="9"/>
  <c r="E107" i="9"/>
  <c r="F107" i="9"/>
  <c r="G107" i="9"/>
  <c r="H107" i="9"/>
  <c r="I107" i="9"/>
  <c r="J107" i="9"/>
  <c r="K107" i="9"/>
  <c r="L107" i="9"/>
  <c r="M107" i="9"/>
  <c r="N107" i="9"/>
  <c r="O107" i="9"/>
  <c r="P107" i="9"/>
  <c r="Q107" i="9"/>
  <c r="D108" i="9"/>
  <c r="E108" i="9"/>
  <c r="F108" i="9"/>
  <c r="G108" i="9"/>
  <c r="H108" i="9"/>
  <c r="I108" i="9"/>
  <c r="J108" i="9"/>
  <c r="K108" i="9"/>
  <c r="L108" i="9"/>
  <c r="M108" i="9"/>
  <c r="N108" i="9"/>
  <c r="O108" i="9"/>
  <c r="P108" i="9"/>
  <c r="Q108" i="9"/>
  <c r="D109" i="9"/>
  <c r="E109" i="9"/>
  <c r="F109" i="9"/>
  <c r="G109" i="9"/>
  <c r="H109" i="9"/>
  <c r="I109" i="9"/>
  <c r="J109" i="9"/>
  <c r="K109" i="9"/>
  <c r="L109" i="9"/>
  <c r="M109" i="9"/>
  <c r="N109" i="9"/>
  <c r="O109" i="9"/>
  <c r="P109" i="9"/>
  <c r="Q109" i="9"/>
  <c r="D110" i="9"/>
  <c r="E110" i="9"/>
  <c r="F110" i="9"/>
  <c r="G110" i="9"/>
  <c r="H110" i="9"/>
  <c r="I110" i="9"/>
  <c r="J110" i="9"/>
  <c r="K110" i="9"/>
  <c r="L110" i="9"/>
  <c r="M110" i="9"/>
  <c r="N110" i="9"/>
  <c r="O110" i="9"/>
  <c r="P110" i="9"/>
  <c r="Q110" i="9"/>
  <c r="D111" i="9"/>
  <c r="E111" i="9"/>
  <c r="F111" i="9"/>
  <c r="G111" i="9"/>
  <c r="H111" i="9"/>
  <c r="I111" i="9"/>
  <c r="J111" i="9"/>
  <c r="K111" i="9"/>
  <c r="L111" i="9"/>
  <c r="M111" i="9"/>
  <c r="N111" i="9"/>
  <c r="O111" i="9"/>
  <c r="P111" i="9"/>
  <c r="Q111" i="9"/>
  <c r="D112" i="9"/>
  <c r="E112" i="9"/>
  <c r="F112" i="9"/>
  <c r="G112" i="9"/>
  <c r="H112" i="9"/>
  <c r="I112" i="9"/>
  <c r="J112" i="9"/>
  <c r="K112" i="9"/>
  <c r="L112" i="9"/>
  <c r="M112" i="9"/>
  <c r="N112" i="9"/>
  <c r="O112" i="9"/>
  <c r="P112" i="9"/>
  <c r="Q112" i="9"/>
  <c r="D113" i="9"/>
  <c r="E113" i="9"/>
  <c r="F113" i="9"/>
  <c r="G113" i="9"/>
  <c r="H113" i="9"/>
  <c r="I113" i="9"/>
  <c r="J113" i="9"/>
  <c r="K113" i="9"/>
  <c r="L113" i="9"/>
  <c r="M113" i="9"/>
  <c r="N113" i="9"/>
  <c r="O113" i="9"/>
  <c r="P113" i="9"/>
  <c r="Q113" i="9"/>
  <c r="D114" i="9"/>
  <c r="E114" i="9"/>
  <c r="F114" i="9"/>
  <c r="G114" i="9"/>
  <c r="H114" i="9"/>
  <c r="I114" i="9"/>
  <c r="J114" i="9"/>
  <c r="K114" i="9"/>
  <c r="L114" i="9"/>
  <c r="M114" i="9"/>
  <c r="N114" i="9"/>
  <c r="O114" i="9"/>
  <c r="P114" i="9"/>
  <c r="Q114" i="9"/>
  <c r="D115" i="9"/>
  <c r="E115" i="9"/>
  <c r="F115" i="9"/>
  <c r="G115" i="9"/>
  <c r="H115" i="9"/>
  <c r="I115" i="9"/>
  <c r="J115" i="9"/>
  <c r="K115" i="9"/>
  <c r="L115" i="9"/>
  <c r="M115" i="9"/>
  <c r="N115" i="9"/>
  <c r="O115" i="9"/>
  <c r="P115" i="9"/>
  <c r="Q115" i="9"/>
  <c r="D116" i="9"/>
  <c r="E116" i="9"/>
  <c r="F116" i="9"/>
  <c r="G116" i="9"/>
  <c r="H116" i="9"/>
  <c r="I116" i="9"/>
  <c r="J116" i="9"/>
  <c r="K116" i="9"/>
  <c r="L116" i="9"/>
  <c r="M116" i="9"/>
  <c r="N116" i="9"/>
  <c r="O116" i="9"/>
  <c r="P116" i="9"/>
  <c r="Q116" i="9"/>
  <c r="D117" i="9"/>
  <c r="E117" i="9"/>
  <c r="F117" i="9"/>
  <c r="G117" i="9"/>
  <c r="H117" i="9"/>
  <c r="I117" i="9"/>
  <c r="J117" i="9"/>
  <c r="K117" i="9"/>
  <c r="L117" i="9"/>
  <c r="M117" i="9"/>
  <c r="N117" i="9"/>
  <c r="O117" i="9"/>
  <c r="P117" i="9"/>
  <c r="Q117" i="9"/>
  <c r="D118" i="9"/>
  <c r="E118" i="9"/>
  <c r="F118" i="9"/>
  <c r="G118" i="9"/>
  <c r="H118" i="9"/>
  <c r="I118" i="9"/>
  <c r="J118" i="9"/>
  <c r="K118" i="9"/>
  <c r="L118" i="9"/>
  <c r="M118" i="9"/>
  <c r="N118" i="9"/>
  <c r="O118" i="9"/>
  <c r="P118" i="9"/>
  <c r="Q118" i="9"/>
  <c r="D119" i="9"/>
  <c r="E119" i="9"/>
  <c r="F119" i="9"/>
  <c r="G119" i="9"/>
  <c r="H119" i="9"/>
  <c r="I119" i="9"/>
  <c r="J119" i="9"/>
  <c r="K119" i="9"/>
  <c r="L119" i="9"/>
  <c r="M119" i="9"/>
  <c r="N119" i="9"/>
  <c r="O119" i="9"/>
  <c r="P119" i="9"/>
  <c r="Q119" i="9"/>
  <c r="D120" i="9"/>
  <c r="E120" i="9"/>
  <c r="F120" i="9"/>
  <c r="G120" i="9"/>
  <c r="H120" i="9"/>
  <c r="I120" i="9"/>
  <c r="J120" i="9"/>
  <c r="K120" i="9"/>
  <c r="L120" i="9"/>
  <c r="M120" i="9"/>
  <c r="N120" i="9"/>
  <c r="O120" i="9"/>
  <c r="P120" i="9"/>
  <c r="Q120" i="9"/>
  <c r="D121" i="9"/>
  <c r="E121" i="9"/>
  <c r="F121" i="9"/>
  <c r="G121" i="9"/>
  <c r="H121" i="9"/>
  <c r="I121" i="9"/>
  <c r="J121" i="9"/>
  <c r="K121" i="9"/>
  <c r="L121" i="9"/>
  <c r="M121" i="9"/>
  <c r="N121" i="9"/>
  <c r="O121" i="9"/>
  <c r="P121" i="9"/>
  <c r="Q121" i="9"/>
  <c r="D122" i="9"/>
  <c r="E122" i="9"/>
  <c r="F122" i="9"/>
  <c r="G122" i="9"/>
  <c r="H122" i="9"/>
  <c r="I122" i="9"/>
  <c r="J122" i="9"/>
  <c r="K122" i="9"/>
  <c r="L122" i="9"/>
  <c r="M122" i="9"/>
  <c r="N122" i="9"/>
  <c r="O122" i="9"/>
  <c r="P122" i="9"/>
  <c r="Q122" i="9"/>
  <c r="D123" i="9"/>
  <c r="E123" i="9"/>
  <c r="F123" i="9"/>
  <c r="G123" i="9"/>
  <c r="H123" i="9"/>
  <c r="I123" i="9"/>
  <c r="J123" i="9"/>
  <c r="K123" i="9"/>
  <c r="L123" i="9"/>
  <c r="M123" i="9"/>
  <c r="N123" i="9"/>
  <c r="O123" i="9"/>
  <c r="P123" i="9"/>
  <c r="Q123" i="9"/>
  <c r="D124" i="9"/>
  <c r="E124" i="9"/>
  <c r="F124" i="9"/>
  <c r="G124" i="9"/>
  <c r="H124" i="9"/>
  <c r="I124" i="9"/>
  <c r="J124" i="9"/>
  <c r="K124" i="9"/>
  <c r="L124" i="9"/>
  <c r="M124" i="9"/>
  <c r="N124" i="9"/>
  <c r="O124" i="9"/>
  <c r="P124" i="9"/>
  <c r="Q124" i="9"/>
  <c r="D125" i="9"/>
  <c r="E125" i="9"/>
  <c r="F125" i="9"/>
  <c r="G125" i="9"/>
  <c r="H125" i="9"/>
  <c r="I125" i="9"/>
  <c r="J125" i="9"/>
  <c r="K125" i="9"/>
  <c r="L125" i="9"/>
  <c r="M125" i="9"/>
  <c r="N125" i="9"/>
  <c r="O125" i="9"/>
  <c r="P125" i="9"/>
  <c r="Q125" i="9"/>
  <c r="D126" i="9"/>
  <c r="E126" i="9"/>
  <c r="F126" i="9"/>
  <c r="G126" i="9"/>
  <c r="H126" i="9"/>
  <c r="I126" i="9"/>
  <c r="J126" i="9"/>
  <c r="K126" i="9"/>
  <c r="L126" i="9"/>
  <c r="M126" i="9"/>
  <c r="N126" i="9"/>
  <c r="O126" i="9"/>
  <c r="P126" i="9"/>
  <c r="Q126" i="9"/>
  <c r="D127" i="9"/>
  <c r="E127" i="9"/>
  <c r="F127" i="9"/>
  <c r="G127" i="9"/>
  <c r="H127" i="9"/>
  <c r="I127" i="9"/>
  <c r="J127" i="9"/>
  <c r="K127" i="9"/>
  <c r="L127" i="9"/>
  <c r="M127" i="9"/>
  <c r="N127" i="9"/>
  <c r="O127" i="9"/>
  <c r="P127" i="9"/>
  <c r="Q127" i="9"/>
  <c r="D128" i="9"/>
  <c r="E128" i="9"/>
  <c r="F128" i="9"/>
  <c r="G128" i="9"/>
  <c r="H128" i="9"/>
  <c r="I128" i="9"/>
  <c r="J128" i="9"/>
  <c r="K128" i="9"/>
  <c r="L128" i="9"/>
  <c r="M128" i="9"/>
  <c r="N128" i="9"/>
  <c r="O128" i="9"/>
  <c r="P128" i="9"/>
  <c r="Q128" i="9"/>
  <c r="D129" i="9"/>
  <c r="E129" i="9"/>
  <c r="F129" i="9"/>
  <c r="G129" i="9"/>
  <c r="H129" i="9"/>
  <c r="I129" i="9"/>
  <c r="J129" i="9"/>
  <c r="K129" i="9"/>
  <c r="L129" i="9"/>
  <c r="M129" i="9"/>
  <c r="N129" i="9"/>
  <c r="O129" i="9"/>
  <c r="P129" i="9"/>
  <c r="Q129" i="9"/>
  <c r="D130" i="9"/>
  <c r="E130" i="9"/>
  <c r="F130" i="9"/>
  <c r="G130" i="9"/>
  <c r="H130" i="9"/>
  <c r="I130" i="9"/>
  <c r="J130" i="9"/>
  <c r="K130" i="9"/>
  <c r="L130" i="9"/>
  <c r="M130" i="9"/>
  <c r="N130" i="9"/>
  <c r="O130" i="9"/>
  <c r="P130" i="9"/>
  <c r="Q130" i="9"/>
  <c r="D131" i="9"/>
  <c r="E131" i="9"/>
  <c r="F131" i="9"/>
  <c r="G131" i="9"/>
  <c r="H131" i="9"/>
  <c r="I131" i="9"/>
  <c r="J131" i="9"/>
  <c r="K131" i="9"/>
  <c r="L131" i="9"/>
  <c r="M131" i="9"/>
  <c r="N131" i="9"/>
  <c r="O131" i="9"/>
  <c r="P131" i="9"/>
  <c r="Q131" i="9"/>
  <c r="D132" i="9"/>
  <c r="E132" i="9"/>
  <c r="F132" i="9"/>
  <c r="G132" i="9"/>
  <c r="H132" i="9"/>
  <c r="I132" i="9"/>
  <c r="J132" i="9"/>
  <c r="K132" i="9"/>
  <c r="L132" i="9"/>
  <c r="M132" i="9"/>
  <c r="N132" i="9"/>
  <c r="O132" i="9"/>
  <c r="P132" i="9"/>
  <c r="Q132" i="9"/>
  <c r="D133" i="9"/>
  <c r="E133" i="9"/>
  <c r="F133" i="9"/>
  <c r="G133" i="9"/>
  <c r="H133" i="9"/>
  <c r="I133" i="9"/>
  <c r="J133" i="9"/>
  <c r="K133" i="9"/>
  <c r="L133" i="9"/>
  <c r="M133" i="9"/>
  <c r="N133" i="9"/>
  <c r="O133" i="9"/>
  <c r="P133" i="9"/>
  <c r="Q133" i="9"/>
  <c r="D134" i="9"/>
  <c r="E134" i="9"/>
  <c r="F134" i="9"/>
  <c r="G134" i="9"/>
  <c r="H134" i="9"/>
  <c r="I134" i="9"/>
  <c r="J134" i="9"/>
  <c r="K134" i="9"/>
  <c r="L134" i="9"/>
  <c r="M134" i="9"/>
  <c r="N134" i="9"/>
  <c r="O134" i="9"/>
  <c r="P134" i="9"/>
  <c r="Q134" i="9"/>
  <c r="D135" i="9"/>
  <c r="E135" i="9"/>
  <c r="F135" i="9"/>
  <c r="G135" i="9"/>
  <c r="H135" i="9"/>
  <c r="I135" i="9"/>
  <c r="J135" i="9"/>
  <c r="K135" i="9"/>
  <c r="L135" i="9"/>
  <c r="M135" i="9"/>
  <c r="N135" i="9"/>
  <c r="O135" i="9"/>
  <c r="P135" i="9"/>
  <c r="Q135" i="9"/>
  <c r="D136" i="9"/>
  <c r="E136" i="9"/>
  <c r="F136" i="9"/>
  <c r="G136" i="9"/>
  <c r="H136" i="9"/>
  <c r="I136" i="9"/>
  <c r="J136" i="9"/>
  <c r="K136" i="9"/>
  <c r="L136" i="9"/>
  <c r="M136" i="9"/>
  <c r="N136" i="9"/>
  <c r="O136" i="9"/>
  <c r="P136" i="9"/>
  <c r="Q136" i="9"/>
  <c r="D137" i="9"/>
  <c r="E137" i="9"/>
  <c r="F137" i="9"/>
  <c r="G137" i="9"/>
  <c r="H137" i="9"/>
  <c r="I137" i="9"/>
  <c r="J137" i="9"/>
  <c r="K137" i="9"/>
  <c r="L137" i="9"/>
  <c r="M137" i="9"/>
  <c r="N137" i="9"/>
  <c r="O137" i="9"/>
  <c r="P137" i="9"/>
  <c r="Q137" i="9"/>
  <c r="D138" i="9"/>
  <c r="E138" i="9"/>
  <c r="F138" i="9"/>
  <c r="G138" i="9"/>
  <c r="H138" i="9"/>
  <c r="I138" i="9"/>
  <c r="J138" i="9"/>
  <c r="K138" i="9"/>
  <c r="L138" i="9"/>
  <c r="M138" i="9"/>
  <c r="N138" i="9"/>
  <c r="O138" i="9"/>
  <c r="P138" i="9"/>
  <c r="Q138" i="9"/>
  <c r="Q106" i="9"/>
  <c r="P106" i="9"/>
  <c r="O106" i="9"/>
  <c r="N106" i="9"/>
  <c r="M106" i="9"/>
  <c r="L106" i="9"/>
  <c r="K106" i="9"/>
  <c r="J106" i="9"/>
  <c r="I106" i="9"/>
  <c r="H106" i="9"/>
  <c r="G106" i="9"/>
  <c r="F106" i="9"/>
  <c r="E106" i="9"/>
  <c r="D106" i="9"/>
  <c r="D73" i="9"/>
  <c r="E73" i="9"/>
  <c r="F73" i="9"/>
  <c r="G73" i="9"/>
  <c r="H73" i="9"/>
  <c r="I73" i="9"/>
  <c r="J73" i="9"/>
  <c r="K73" i="9"/>
  <c r="L73" i="9"/>
  <c r="M73" i="9"/>
  <c r="N73" i="9"/>
  <c r="O73" i="9"/>
  <c r="P73" i="9"/>
  <c r="D74" i="9"/>
  <c r="E74" i="9"/>
  <c r="F74" i="9"/>
  <c r="G74" i="9"/>
  <c r="H74" i="9"/>
  <c r="I74" i="9"/>
  <c r="J74" i="9"/>
  <c r="K74" i="9"/>
  <c r="L74" i="9"/>
  <c r="M74" i="9"/>
  <c r="N74" i="9"/>
  <c r="O74" i="9"/>
  <c r="P74" i="9"/>
  <c r="D75" i="9"/>
  <c r="E75" i="9"/>
  <c r="F75" i="9"/>
  <c r="G75" i="9"/>
  <c r="H75" i="9"/>
  <c r="I75" i="9"/>
  <c r="J75" i="9"/>
  <c r="K75" i="9"/>
  <c r="L75" i="9"/>
  <c r="M75" i="9"/>
  <c r="N75" i="9"/>
  <c r="O75" i="9"/>
  <c r="P75" i="9"/>
  <c r="D76" i="9"/>
  <c r="E76" i="9"/>
  <c r="F76" i="9"/>
  <c r="G76" i="9"/>
  <c r="H76" i="9"/>
  <c r="I76" i="9"/>
  <c r="J76" i="9"/>
  <c r="K76" i="9"/>
  <c r="L76" i="9"/>
  <c r="M76" i="9"/>
  <c r="N76" i="9"/>
  <c r="O76" i="9"/>
  <c r="P76" i="9"/>
  <c r="D77" i="9"/>
  <c r="E77" i="9"/>
  <c r="F77" i="9"/>
  <c r="G77" i="9"/>
  <c r="H77" i="9"/>
  <c r="I77" i="9"/>
  <c r="J77" i="9"/>
  <c r="K77" i="9"/>
  <c r="L77" i="9"/>
  <c r="M77" i="9"/>
  <c r="N77" i="9"/>
  <c r="O77" i="9"/>
  <c r="P77" i="9"/>
  <c r="D78" i="9"/>
  <c r="E78" i="9"/>
  <c r="F78" i="9"/>
  <c r="G78" i="9"/>
  <c r="H78" i="9"/>
  <c r="I78" i="9"/>
  <c r="J78" i="9"/>
  <c r="K78" i="9"/>
  <c r="L78" i="9"/>
  <c r="M78" i="9"/>
  <c r="N78" i="9"/>
  <c r="O78" i="9"/>
  <c r="P78" i="9"/>
  <c r="D79" i="9"/>
  <c r="E79" i="9"/>
  <c r="F79" i="9"/>
  <c r="G79" i="9"/>
  <c r="H79" i="9"/>
  <c r="I79" i="9"/>
  <c r="J79" i="9"/>
  <c r="K79" i="9"/>
  <c r="L79" i="9"/>
  <c r="M79" i="9"/>
  <c r="N79" i="9"/>
  <c r="O79" i="9"/>
  <c r="P79" i="9"/>
  <c r="D80" i="9"/>
  <c r="E80" i="9"/>
  <c r="F80" i="9"/>
  <c r="G80" i="9"/>
  <c r="H80" i="9"/>
  <c r="I80" i="9"/>
  <c r="J80" i="9"/>
  <c r="K80" i="9"/>
  <c r="L80" i="9"/>
  <c r="M80" i="9"/>
  <c r="N80" i="9"/>
  <c r="O80" i="9"/>
  <c r="P80" i="9"/>
  <c r="D81" i="9"/>
  <c r="E81" i="9"/>
  <c r="F81" i="9"/>
  <c r="G81" i="9"/>
  <c r="H81" i="9"/>
  <c r="I81" i="9"/>
  <c r="J81" i="9"/>
  <c r="K81" i="9"/>
  <c r="L81" i="9"/>
  <c r="M81" i="9"/>
  <c r="N81" i="9"/>
  <c r="O81" i="9"/>
  <c r="P81" i="9"/>
  <c r="D82" i="9"/>
  <c r="E82" i="9"/>
  <c r="F82" i="9"/>
  <c r="G82" i="9"/>
  <c r="H82" i="9"/>
  <c r="I82" i="9"/>
  <c r="J82" i="9"/>
  <c r="K82" i="9"/>
  <c r="L82" i="9"/>
  <c r="M82" i="9"/>
  <c r="N82" i="9"/>
  <c r="O82" i="9"/>
  <c r="P82" i="9"/>
  <c r="D83" i="9"/>
  <c r="E83" i="9"/>
  <c r="F83" i="9"/>
  <c r="G83" i="9"/>
  <c r="H83" i="9"/>
  <c r="I83" i="9"/>
  <c r="J83" i="9"/>
  <c r="K83" i="9"/>
  <c r="L83" i="9"/>
  <c r="M83" i="9"/>
  <c r="N83" i="9"/>
  <c r="O83" i="9"/>
  <c r="P83" i="9"/>
  <c r="D84" i="9"/>
  <c r="E84" i="9"/>
  <c r="F84" i="9"/>
  <c r="G84" i="9"/>
  <c r="H84" i="9"/>
  <c r="I84" i="9"/>
  <c r="J84" i="9"/>
  <c r="K84" i="9"/>
  <c r="L84" i="9"/>
  <c r="M84" i="9"/>
  <c r="N84" i="9"/>
  <c r="O84" i="9"/>
  <c r="P84" i="9"/>
  <c r="D85" i="9"/>
  <c r="E85" i="9"/>
  <c r="F85" i="9"/>
  <c r="G85" i="9"/>
  <c r="H85" i="9"/>
  <c r="I85" i="9"/>
  <c r="J85" i="9"/>
  <c r="K85" i="9"/>
  <c r="L85" i="9"/>
  <c r="M85" i="9"/>
  <c r="N85" i="9"/>
  <c r="O85" i="9"/>
  <c r="P85" i="9"/>
  <c r="D86" i="9"/>
  <c r="E86" i="9"/>
  <c r="F86" i="9"/>
  <c r="G86" i="9"/>
  <c r="H86" i="9"/>
  <c r="I86" i="9"/>
  <c r="J86" i="9"/>
  <c r="K86" i="9"/>
  <c r="L86" i="9"/>
  <c r="M86" i="9"/>
  <c r="N86" i="9"/>
  <c r="O86" i="9"/>
  <c r="P86" i="9"/>
  <c r="D87" i="9"/>
  <c r="E87" i="9"/>
  <c r="F87" i="9"/>
  <c r="G87" i="9"/>
  <c r="H87" i="9"/>
  <c r="I87" i="9"/>
  <c r="J87" i="9"/>
  <c r="K87" i="9"/>
  <c r="L87" i="9"/>
  <c r="M87" i="9"/>
  <c r="N87" i="9"/>
  <c r="O87" i="9"/>
  <c r="P87" i="9"/>
  <c r="D88" i="9"/>
  <c r="E88" i="9"/>
  <c r="F88" i="9"/>
  <c r="G88" i="9"/>
  <c r="H88" i="9"/>
  <c r="I88" i="9"/>
  <c r="J88" i="9"/>
  <c r="K88" i="9"/>
  <c r="L88" i="9"/>
  <c r="M88" i="9"/>
  <c r="N88" i="9"/>
  <c r="O88" i="9"/>
  <c r="P88" i="9"/>
  <c r="D89" i="9"/>
  <c r="E89" i="9"/>
  <c r="F89" i="9"/>
  <c r="G89" i="9"/>
  <c r="H89" i="9"/>
  <c r="I89" i="9"/>
  <c r="J89" i="9"/>
  <c r="K89" i="9"/>
  <c r="L89" i="9"/>
  <c r="M89" i="9"/>
  <c r="N89" i="9"/>
  <c r="O89" i="9"/>
  <c r="P89" i="9"/>
  <c r="D90" i="9"/>
  <c r="E90" i="9"/>
  <c r="F90" i="9"/>
  <c r="G90" i="9"/>
  <c r="H90" i="9"/>
  <c r="I90" i="9"/>
  <c r="J90" i="9"/>
  <c r="K90" i="9"/>
  <c r="L90" i="9"/>
  <c r="M90" i="9"/>
  <c r="N90" i="9"/>
  <c r="O90" i="9"/>
  <c r="P90" i="9"/>
  <c r="D91" i="9"/>
  <c r="E91" i="9"/>
  <c r="F91" i="9"/>
  <c r="G91" i="9"/>
  <c r="H91" i="9"/>
  <c r="I91" i="9"/>
  <c r="J91" i="9"/>
  <c r="K91" i="9"/>
  <c r="L91" i="9"/>
  <c r="M91" i="9"/>
  <c r="N91" i="9"/>
  <c r="O91" i="9"/>
  <c r="P91" i="9"/>
  <c r="D92" i="9"/>
  <c r="E92" i="9"/>
  <c r="F92" i="9"/>
  <c r="G92" i="9"/>
  <c r="H92" i="9"/>
  <c r="I92" i="9"/>
  <c r="J92" i="9"/>
  <c r="K92" i="9"/>
  <c r="L92" i="9"/>
  <c r="M92" i="9"/>
  <c r="N92" i="9"/>
  <c r="O92" i="9"/>
  <c r="P92" i="9"/>
  <c r="D93" i="9"/>
  <c r="E93" i="9"/>
  <c r="F93" i="9"/>
  <c r="G93" i="9"/>
  <c r="H93" i="9"/>
  <c r="I93" i="9"/>
  <c r="J93" i="9"/>
  <c r="K93" i="9"/>
  <c r="L93" i="9"/>
  <c r="M93" i="9"/>
  <c r="N93" i="9"/>
  <c r="O93" i="9"/>
  <c r="P93" i="9"/>
  <c r="D94" i="9"/>
  <c r="E94" i="9"/>
  <c r="F94" i="9"/>
  <c r="G94" i="9"/>
  <c r="H94" i="9"/>
  <c r="I94" i="9"/>
  <c r="J94" i="9"/>
  <c r="K94" i="9"/>
  <c r="L94" i="9"/>
  <c r="M94" i="9"/>
  <c r="N94" i="9"/>
  <c r="O94" i="9"/>
  <c r="P94" i="9"/>
  <c r="D95" i="9"/>
  <c r="E95" i="9"/>
  <c r="F95" i="9"/>
  <c r="G95" i="9"/>
  <c r="H95" i="9"/>
  <c r="I95" i="9"/>
  <c r="J95" i="9"/>
  <c r="K95" i="9"/>
  <c r="L95" i="9"/>
  <c r="M95" i="9"/>
  <c r="N95" i="9"/>
  <c r="O95" i="9"/>
  <c r="P95" i="9"/>
  <c r="D96" i="9"/>
  <c r="E96" i="9"/>
  <c r="F96" i="9"/>
  <c r="G96" i="9"/>
  <c r="H96" i="9"/>
  <c r="I96" i="9"/>
  <c r="J96" i="9"/>
  <c r="K96" i="9"/>
  <c r="L96" i="9"/>
  <c r="M96" i="9"/>
  <c r="N96" i="9"/>
  <c r="O96" i="9"/>
  <c r="P96" i="9"/>
  <c r="E97" i="9"/>
  <c r="F97" i="9"/>
  <c r="G97" i="9"/>
  <c r="H97" i="9"/>
  <c r="I97" i="9"/>
  <c r="J97" i="9"/>
  <c r="K97" i="9"/>
  <c r="L97" i="9"/>
  <c r="M97" i="9"/>
  <c r="N97" i="9"/>
  <c r="O97" i="9"/>
  <c r="P97" i="9"/>
  <c r="D98" i="9"/>
  <c r="E98" i="9"/>
  <c r="F98" i="9"/>
  <c r="G98" i="9"/>
  <c r="H98" i="9"/>
  <c r="I98" i="9"/>
  <c r="J98" i="9"/>
  <c r="K98" i="9"/>
  <c r="L98" i="9"/>
  <c r="M98" i="9"/>
  <c r="N98" i="9"/>
  <c r="O98" i="9"/>
  <c r="P98" i="9"/>
  <c r="D99" i="9"/>
  <c r="E99" i="9"/>
  <c r="F99" i="9"/>
  <c r="G99" i="9"/>
  <c r="H99" i="9"/>
  <c r="I99" i="9"/>
  <c r="J99" i="9"/>
  <c r="K99" i="9"/>
  <c r="L99" i="9"/>
  <c r="M99" i="9"/>
  <c r="N99" i="9"/>
  <c r="O99" i="9"/>
  <c r="P99" i="9"/>
  <c r="D100" i="9"/>
  <c r="E100" i="9"/>
  <c r="F100" i="9"/>
  <c r="G100" i="9"/>
  <c r="H100" i="9"/>
  <c r="I100" i="9"/>
  <c r="J100" i="9"/>
  <c r="K100" i="9"/>
  <c r="L100" i="9"/>
  <c r="M100" i="9"/>
  <c r="N100" i="9"/>
  <c r="O100" i="9"/>
  <c r="P100" i="9"/>
  <c r="D101" i="9"/>
  <c r="E101" i="9"/>
  <c r="F101" i="9"/>
  <c r="G101" i="9"/>
  <c r="H101" i="9"/>
  <c r="I101" i="9"/>
  <c r="J101" i="9"/>
  <c r="K101" i="9"/>
  <c r="L101" i="9"/>
  <c r="M101" i="9"/>
  <c r="N101" i="9"/>
  <c r="O101" i="9"/>
  <c r="P101" i="9"/>
  <c r="D102" i="9"/>
  <c r="E102" i="9"/>
  <c r="F102" i="9"/>
  <c r="G102" i="9"/>
  <c r="H102" i="9"/>
  <c r="I102" i="9"/>
  <c r="J102" i="9"/>
  <c r="K102" i="9"/>
  <c r="L102" i="9"/>
  <c r="M102" i="9"/>
  <c r="N102" i="9"/>
  <c r="O102" i="9"/>
  <c r="P102" i="9"/>
  <c r="D103" i="9"/>
  <c r="E103" i="9"/>
  <c r="F103" i="9"/>
  <c r="G103" i="9"/>
  <c r="H103" i="9"/>
  <c r="I103" i="9"/>
  <c r="J103" i="9"/>
  <c r="K103" i="9"/>
  <c r="L103" i="9"/>
  <c r="M103" i="9"/>
  <c r="N103" i="9"/>
  <c r="O103" i="9"/>
  <c r="P103" i="9"/>
  <c r="D104" i="9"/>
  <c r="E104" i="9"/>
  <c r="F104" i="9"/>
  <c r="G104" i="9"/>
  <c r="H104" i="9"/>
  <c r="I104" i="9"/>
  <c r="J104" i="9"/>
  <c r="K104" i="9"/>
  <c r="L104" i="9"/>
  <c r="M104" i="9"/>
  <c r="N104" i="9"/>
  <c r="O104" i="9"/>
  <c r="P104" i="9"/>
  <c r="P72" i="9"/>
  <c r="D72" i="9"/>
  <c r="D38" i="9"/>
  <c r="O72" i="9"/>
  <c r="N72" i="9"/>
  <c r="M72" i="9"/>
  <c r="L72" i="9"/>
  <c r="K72" i="9"/>
  <c r="J72" i="9"/>
  <c r="I72" i="9"/>
  <c r="H72" i="9"/>
  <c r="G72" i="9"/>
  <c r="F72" i="9"/>
  <c r="E72" i="9"/>
  <c r="D40" i="9"/>
  <c r="E40" i="9"/>
  <c r="F40" i="9"/>
  <c r="G40" i="9"/>
  <c r="H40" i="9"/>
  <c r="I40" i="9"/>
  <c r="J40" i="9"/>
  <c r="K40" i="9"/>
  <c r="L40" i="9"/>
  <c r="M40" i="9"/>
  <c r="N40" i="9"/>
  <c r="O40" i="9"/>
  <c r="P40" i="9"/>
  <c r="Q40" i="9"/>
  <c r="D41" i="9"/>
  <c r="E41" i="9"/>
  <c r="F41" i="9"/>
  <c r="G41" i="9"/>
  <c r="H41" i="9"/>
  <c r="I41" i="9"/>
  <c r="J41" i="9"/>
  <c r="K41" i="9"/>
  <c r="L41" i="9"/>
  <c r="M41" i="9"/>
  <c r="N41" i="9"/>
  <c r="O41" i="9"/>
  <c r="P41" i="9"/>
  <c r="Q41" i="9"/>
  <c r="D42" i="9"/>
  <c r="E42" i="9"/>
  <c r="F42" i="9"/>
  <c r="G42" i="9"/>
  <c r="H42" i="9"/>
  <c r="I42" i="9"/>
  <c r="J42" i="9"/>
  <c r="K42" i="9"/>
  <c r="L42" i="9"/>
  <c r="M42" i="9"/>
  <c r="N42" i="9"/>
  <c r="O42" i="9"/>
  <c r="P42" i="9"/>
  <c r="Q42" i="9"/>
  <c r="D43" i="9"/>
  <c r="E43" i="9"/>
  <c r="F43" i="9"/>
  <c r="G43" i="9"/>
  <c r="H43" i="9"/>
  <c r="I43" i="9"/>
  <c r="J43" i="9"/>
  <c r="K43" i="9"/>
  <c r="L43" i="9"/>
  <c r="M43" i="9"/>
  <c r="N43" i="9"/>
  <c r="O43" i="9"/>
  <c r="P43" i="9"/>
  <c r="Q43" i="9"/>
  <c r="D44" i="9"/>
  <c r="E44" i="9"/>
  <c r="F44" i="9"/>
  <c r="G44" i="9"/>
  <c r="H44" i="9"/>
  <c r="I44" i="9"/>
  <c r="J44" i="9"/>
  <c r="K44" i="9"/>
  <c r="L44" i="9"/>
  <c r="M44" i="9"/>
  <c r="N44" i="9"/>
  <c r="O44" i="9"/>
  <c r="P44" i="9"/>
  <c r="Q44" i="9"/>
  <c r="D45" i="9"/>
  <c r="E45" i="9"/>
  <c r="F45" i="9"/>
  <c r="G45" i="9"/>
  <c r="H45" i="9"/>
  <c r="I45" i="9"/>
  <c r="J45" i="9"/>
  <c r="K45" i="9"/>
  <c r="L45" i="9"/>
  <c r="M45" i="9"/>
  <c r="N45" i="9"/>
  <c r="O45" i="9"/>
  <c r="P45" i="9"/>
  <c r="Q45" i="9"/>
  <c r="D46" i="9"/>
  <c r="E46" i="9"/>
  <c r="F46" i="9"/>
  <c r="G46" i="9"/>
  <c r="H46" i="9"/>
  <c r="I46" i="9"/>
  <c r="J46" i="9"/>
  <c r="K46" i="9"/>
  <c r="L46" i="9"/>
  <c r="M46" i="9"/>
  <c r="N46" i="9"/>
  <c r="O46" i="9"/>
  <c r="P46" i="9"/>
  <c r="Q46" i="9"/>
  <c r="D47" i="9"/>
  <c r="E47" i="9"/>
  <c r="F47" i="9"/>
  <c r="G47" i="9"/>
  <c r="H47" i="9"/>
  <c r="I47" i="9"/>
  <c r="J47" i="9"/>
  <c r="K47" i="9"/>
  <c r="L47" i="9"/>
  <c r="M47" i="9"/>
  <c r="N47" i="9"/>
  <c r="O47" i="9"/>
  <c r="P47" i="9"/>
  <c r="Q47" i="9"/>
  <c r="D48" i="9"/>
  <c r="E48" i="9"/>
  <c r="F48" i="9"/>
  <c r="G48" i="9"/>
  <c r="H48" i="9"/>
  <c r="I48" i="9"/>
  <c r="J48" i="9"/>
  <c r="K48" i="9"/>
  <c r="L48" i="9"/>
  <c r="M48" i="9"/>
  <c r="N48" i="9"/>
  <c r="O48" i="9"/>
  <c r="P48" i="9"/>
  <c r="Q48" i="9"/>
  <c r="D49" i="9"/>
  <c r="E49" i="9"/>
  <c r="F49" i="9"/>
  <c r="G49" i="9"/>
  <c r="H49" i="9"/>
  <c r="I49" i="9"/>
  <c r="J49" i="9"/>
  <c r="K49" i="9"/>
  <c r="L49" i="9"/>
  <c r="M49" i="9"/>
  <c r="N49" i="9"/>
  <c r="O49" i="9"/>
  <c r="P49" i="9"/>
  <c r="Q49" i="9"/>
  <c r="D50" i="9"/>
  <c r="E50" i="9"/>
  <c r="F50" i="9"/>
  <c r="G50" i="9"/>
  <c r="H50" i="9"/>
  <c r="I50" i="9"/>
  <c r="J50" i="9"/>
  <c r="K50" i="9"/>
  <c r="L50" i="9"/>
  <c r="M50" i="9"/>
  <c r="N50" i="9"/>
  <c r="O50" i="9"/>
  <c r="P50" i="9"/>
  <c r="Q50" i="9"/>
  <c r="D51" i="9"/>
  <c r="E51" i="9"/>
  <c r="F51" i="9"/>
  <c r="G51" i="9"/>
  <c r="H51" i="9"/>
  <c r="I51" i="9"/>
  <c r="J51" i="9"/>
  <c r="K51" i="9"/>
  <c r="L51" i="9"/>
  <c r="M51" i="9"/>
  <c r="N51" i="9"/>
  <c r="O51" i="9"/>
  <c r="P51" i="9"/>
  <c r="Q51" i="9"/>
  <c r="D52" i="9"/>
  <c r="E52" i="9"/>
  <c r="F52" i="9"/>
  <c r="G52" i="9"/>
  <c r="H52" i="9"/>
  <c r="I52" i="9"/>
  <c r="J52" i="9"/>
  <c r="K52" i="9"/>
  <c r="L52" i="9"/>
  <c r="M52" i="9"/>
  <c r="N52" i="9"/>
  <c r="O52" i="9"/>
  <c r="P52" i="9"/>
  <c r="Q52" i="9"/>
  <c r="D53" i="9"/>
  <c r="E53" i="9"/>
  <c r="F53" i="9"/>
  <c r="G53" i="9"/>
  <c r="H53" i="9"/>
  <c r="I53" i="9"/>
  <c r="J53" i="9"/>
  <c r="K53" i="9"/>
  <c r="L53" i="9"/>
  <c r="M53" i="9"/>
  <c r="N53" i="9"/>
  <c r="O53" i="9"/>
  <c r="P53" i="9"/>
  <c r="Q53" i="9"/>
  <c r="D54" i="9"/>
  <c r="E54" i="9"/>
  <c r="F54" i="9"/>
  <c r="G54" i="9"/>
  <c r="H54" i="9"/>
  <c r="I54" i="9"/>
  <c r="J54" i="9"/>
  <c r="K54" i="9"/>
  <c r="L54" i="9"/>
  <c r="M54" i="9"/>
  <c r="N54" i="9"/>
  <c r="O54" i="9"/>
  <c r="P54" i="9"/>
  <c r="Q54" i="9"/>
  <c r="D55" i="9"/>
  <c r="E55" i="9"/>
  <c r="F55" i="9"/>
  <c r="G55" i="9"/>
  <c r="H55" i="9"/>
  <c r="I55" i="9"/>
  <c r="J55" i="9"/>
  <c r="K55" i="9"/>
  <c r="L55" i="9"/>
  <c r="M55" i="9"/>
  <c r="N55" i="9"/>
  <c r="O55" i="9"/>
  <c r="P55" i="9"/>
  <c r="Q55" i="9"/>
  <c r="D56" i="9"/>
  <c r="E56" i="9"/>
  <c r="F56" i="9"/>
  <c r="G56" i="9"/>
  <c r="H56" i="9"/>
  <c r="I56" i="9"/>
  <c r="J56" i="9"/>
  <c r="K56" i="9"/>
  <c r="L56" i="9"/>
  <c r="M56" i="9"/>
  <c r="N56" i="9"/>
  <c r="O56" i="9"/>
  <c r="P56" i="9"/>
  <c r="Q56" i="9"/>
  <c r="D57" i="9"/>
  <c r="E57" i="9"/>
  <c r="F57" i="9"/>
  <c r="G57" i="9"/>
  <c r="H57" i="9"/>
  <c r="I57" i="9"/>
  <c r="J57" i="9"/>
  <c r="K57" i="9"/>
  <c r="L57" i="9"/>
  <c r="M57" i="9"/>
  <c r="N57" i="9"/>
  <c r="O57" i="9"/>
  <c r="P57" i="9"/>
  <c r="Q57" i="9"/>
  <c r="D58" i="9"/>
  <c r="E58" i="9"/>
  <c r="F58" i="9"/>
  <c r="G58" i="9"/>
  <c r="H58" i="9"/>
  <c r="I58" i="9"/>
  <c r="J58" i="9"/>
  <c r="K58" i="9"/>
  <c r="L58" i="9"/>
  <c r="M58" i="9"/>
  <c r="N58" i="9"/>
  <c r="O58" i="9"/>
  <c r="P58" i="9"/>
  <c r="Q58" i="9"/>
  <c r="D59" i="9"/>
  <c r="E59" i="9"/>
  <c r="F59" i="9"/>
  <c r="G59" i="9"/>
  <c r="H59" i="9"/>
  <c r="I59" i="9"/>
  <c r="J59" i="9"/>
  <c r="K59" i="9"/>
  <c r="L59" i="9"/>
  <c r="M59" i="9"/>
  <c r="N59" i="9"/>
  <c r="O59" i="9"/>
  <c r="P59" i="9"/>
  <c r="Q59" i="9"/>
  <c r="D60" i="9"/>
  <c r="E60" i="9"/>
  <c r="F60" i="9"/>
  <c r="G60" i="9"/>
  <c r="H60" i="9"/>
  <c r="I60" i="9"/>
  <c r="J60" i="9"/>
  <c r="K60" i="9"/>
  <c r="L60" i="9"/>
  <c r="M60" i="9"/>
  <c r="N60" i="9"/>
  <c r="O60" i="9"/>
  <c r="P60" i="9"/>
  <c r="Q60" i="9"/>
  <c r="D61" i="9"/>
  <c r="E61" i="9"/>
  <c r="F61" i="9"/>
  <c r="G61" i="9"/>
  <c r="H61" i="9"/>
  <c r="I61" i="9"/>
  <c r="J61" i="9"/>
  <c r="K61" i="9"/>
  <c r="L61" i="9"/>
  <c r="M61" i="9"/>
  <c r="N61" i="9"/>
  <c r="O61" i="9"/>
  <c r="P61" i="9"/>
  <c r="Q61" i="9"/>
  <c r="D62" i="9"/>
  <c r="E62" i="9"/>
  <c r="F62" i="9"/>
  <c r="G62" i="9"/>
  <c r="H62" i="9"/>
  <c r="I62" i="9"/>
  <c r="J62" i="9"/>
  <c r="K62" i="9"/>
  <c r="L62" i="9"/>
  <c r="M62" i="9"/>
  <c r="N62" i="9"/>
  <c r="O62" i="9"/>
  <c r="P62" i="9"/>
  <c r="Q62" i="9"/>
  <c r="D63" i="9"/>
  <c r="E63" i="9"/>
  <c r="F63" i="9"/>
  <c r="G63" i="9"/>
  <c r="H63" i="9"/>
  <c r="I63" i="9"/>
  <c r="J63" i="9"/>
  <c r="K63" i="9"/>
  <c r="L63" i="9"/>
  <c r="M63" i="9"/>
  <c r="N63" i="9"/>
  <c r="O63" i="9"/>
  <c r="P63" i="9"/>
  <c r="Q63" i="9"/>
  <c r="D64" i="9"/>
  <c r="E64" i="9"/>
  <c r="F64" i="9"/>
  <c r="G64" i="9"/>
  <c r="H64" i="9"/>
  <c r="I64" i="9"/>
  <c r="J64" i="9"/>
  <c r="K64" i="9"/>
  <c r="L64" i="9"/>
  <c r="M64" i="9"/>
  <c r="N64" i="9"/>
  <c r="O64" i="9"/>
  <c r="P64" i="9"/>
  <c r="Q64" i="9"/>
  <c r="D65" i="9"/>
  <c r="E65" i="9"/>
  <c r="F65" i="9"/>
  <c r="G65" i="9"/>
  <c r="H65" i="9"/>
  <c r="I65" i="9"/>
  <c r="J65" i="9"/>
  <c r="K65" i="9"/>
  <c r="L65" i="9"/>
  <c r="M65" i="9"/>
  <c r="N65" i="9"/>
  <c r="O65" i="9"/>
  <c r="P65" i="9"/>
  <c r="Q65" i="9"/>
  <c r="D66" i="9"/>
  <c r="E66" i="9"/>
  <c r="F66" i="9"/>
  <c r="G66" i="9"/>
  <c r="H66" i="9"/>
  <c r="I66" i="9"/>
  <c r="J66" i="9"/>
  <c r="K66" i="9"/>
  <c r="L66" i="9"/>
  <c r="M66" i="9"/>
  <c r="N66" i="9"/>
  <c r="O66" i="9"/>
  <c r="P66" i="9"/>
  <c r="Q66" i="9"/>
  <c r="D67" i="9"/>
  <c r="E67" i="9"/>
  <c r="F67" i="9"/>
  <c r="G67" i="9"/>
  <c r="H67" i="9"/>
  <c r="I67" i="9"/>
  <c r="J67" i="9"/>
  <c r="K67" i="9"/>
  <c r="L67" i="9"/>
  <c r="M67" i="9"/>
  <c r="N67" i="9"/>
  <c r="O67" i="9"/>
  <c r="P67" i="9"/>
  <c r="Q67" i="9"/>
  <c r="D68" i="9"/>
  <c r="E68" i="9"/>
  <c r="F68" i="9"/>
  <c r="G68" i="9"/>
  <c r="H68" i="9"/>
  <c r="I68" i="9"/>
  <c r="J68" i="9"/>
  <c r="K68" i="9"/>
  <c r="L68" i="9"/>
  <c r="M68" i="9"/>
  <c r="N68" i="9"/>
  <c r="O68" i="9"/>
  <c r="P68" i="9"/>
  <c r="Q68" i="9"/>
  <c r="D69" i="9"/>
  <c r="E69" i="9"/>
  <c r="F69" i="9"/>
  <c r="G69" i="9"/>
  <c r="H69" i="9"/>
  <c r="I69" i="9"/>
  <c r="J69" i="9"/>
  <c r="K69" i="9"/>
  <c r="L69" i="9"/>
  <c r="M69" i="9"/>
  <c r="N69" i="9"/>
  <c r="O69" i="9"/>
  <c r="P69" i="9"/>
  <c r="Q69" i="9"/>
  <c r="D70" i="9"/>
  <c r="E70" i="9"/>
  <c r="F70" i="9"/>
  <c r="G70" i="9"/>
  <c r="H70" i="9"/>
  <c r="I70" i="9"/>
  <c r="J70" i="9"/>
  <c r="K70" i="9"/>
  <c r="L70" i="9"/>
  <c r="M70" i="9"/>
  <c r="N70" i="9"/>
  <c r="O70" i="9"/>
  <c r="P70" i="9"/>
  <c r="Q70" i="9"/>
  <c r="Q39" i="9"/>
  <c r="P39" i="9"/>
  <c r="O39" i="9"/>
  <c r="N39" i="9"/>
  <c r="M39" i="9"/>
  <c r="L39" i="9"/>
  <c r="K39" i="9"/>
  <c r="J39" i="9"/>
  <c r="I39" i="9"/>
  <c r="H39" i="9"/>
  <c r="G39" i="9"/>
  <c r="F39" i="9"/>
  <c r="E39" i="9"/>
  <c r="D39" i="9"/>
  <c r="Q38" i="9"/>
  <c r="P38" i="9"/>
  <c r="O38" i="9"/>
  <c r="N38" i="9"/>
  <c r="M38" i="9"/>
  <c r="L38" i="9"/>
  <c r="K38" i="9"/>
  <c r="J38" i="9"/>
  <c r="I38" i="9"/>
  <c r="H38" i="9"/>
  <c r="G38" i="9"/>
  <c r="F38" i="9"/>
  <c r="E38" i="9"/>
  <c r="D6" i="9"/>
  <c r="E6" i="9"/>
  <c r="F6" i="9"/>
  <c r="G6" i="9"/>
  <c r="H6" i="9"/>
  <c r="I6" i="9"/>
  <c r="J6" i="9"/>
  <c r="K6" i="9"/>
  <c r="L6" i="9"/>
  <c r="M6" i="9"/>
  <c r="N6" i="9"/>
  <c r="O6" i="9"/>
  <c r="P6" i="9"/>
  <c r="Q6" i="9"/>
  <c r="D7" i="9"/>
  <c r="E7" i="9"/>
  <c r="F7" i="9"/>
  <c r="G7" i="9"/>
  <c r="H7" i="9"/>
  <c r="I7" i="9"/>
  <c r="J7" i="9"/>
  <c r="K7" i="9"/>
  <c r="L7" i="9"/>
  <c r="M7" i="9"/>
  <c r="N7" i="9"/>
  <c r="O7" i="9"/>
  <c r="P7" i="9"/>
  <c r="Q7" i="9"/>
  <c r="D8" i="9"/>
  <c r="E8" i="9"/>
  <c r="F8" i="9"/>
  <c r="G8" i="9"/>
  <c r="H8" i="9"/>
  <c r="I8" i="9"/>
  <c r="J8" i="9"/>
  <c r="K8" i="9"/>
  <c r="L8" i="9"/>
  <c r="M8" i="9"/>
  <c r="N8" i="9"/>
  <c r="O8" i="9"/>
  <c r="P8" i="9"/>
  <c r="Q8" i="9"/>
  <c r="D9" i="9"/>
  <c r="E9" i="9"/>
  <c r="F9" i="9"/>
  <c r="G9" i="9"/>
  <c r="H9" i="9"/>
  <c r="I9" i="9"/>
  <c r="J9" i="9"/>
  <c r="K9" i="9"/>
  <c r="L9" i="9"/>
  <c r="M9" i="9"/>
  <c r="N9" i="9"/>
  <c r="O9" i="9"/>
  <c r="P9" i="9"/>
  <c r="Q9" i="9"/>
  <c r="D10" i="9"/>
  <c r="E10" i="9"/>
  <c r="F10" i="9"/>
  <c r="G10" i="9"/>
  <c r="H10" i="9"/>
  <c r="I10" i="9"/>
  <c r="J10" i="9"/>
  <c r="K10" i="9"/>
  <c r="L10" i="9"/>
  <c r="M10" i="9"/>
  <c r="N10" i="9"/>
  <c r="O10" i="9"/>
  <c r="P10" i="9"/>
  <c r="Q10" i="9"/>
  <c r="D11" i="9"/>
  <c r="E11" i="9"/>
  <c r="F11" i="9"/>
  <c r="G11" i="9"/>
  <c r="H11" i="9"/>
  <c r="I11" i="9"/>
  <c r="J11" i="9"/>
  <c r="K11" i="9"/>
  <c r="L11" i="9"/>
  <c r="M11" i="9"/>
  <c r="N11" i="9"/>
  <c r="O11" i="9"/>
  <c r="P11" i="9"/>
  <c r="Q11" i="9"/>
  <c r="D12" i="9"/>
  <c r="E12" i="9"/>
  <c r="F12" i="9"/>
  <c r="G12" i="9"/>
  <c r="H12" i="9"/>
  <c r="I12" i="9"/>
  <c r="J12" i="9"/>
  <c r="K12" i="9"/>
  <c r="L12" i="9"/>
  <c r="M12" i="9"/>
  <c r="N12" i="9"/>
  <c r="O12" i="9"/>
  <c r="P12" i="9"/>
  <c r="Q12" i="9"/>
  <c r="D13" i="9"/>
  <c r="E13" i="9"/>
  <c r="F13" i="9"/>
  <c r="G13" i="9"/>
  <c r="H13" i="9"/>
  <c r="I13" i="9"/>
  <c r="J13" i="9"/>
  <c r="K13" i="9"/>
  <c r="L13" i="9"/>
  <c r="M13" i="9"/>
  <c r="N13" i="9"/>
  <c r="O13" i="9"/>
  <c r="P13" i="9"/>
  <c r="Q13" i="9"/>
  <c r="D14" i="9"/>
  <c r="E14" i="9"/>
  <c r="F14" i="9"/>
  <c r="G14" i="9"/>
  <c r="H14" i="9"/>
  <c r="I14" i="9"/>
  <c r="J14" i="9"/>
  <c r="K14" i="9"/>
  <c r="L14" i="9"/>
  <c r="M14" i="9"/>
  <c r="N14" i="9"/>
  <c r="O14" i="9"/>
  <c r="P14" i="9"/>
  <c r="Q14" i="9"/>
  <c r="D15" i="9"/>
  <c r="E15" i="9"/>
  <c r="F15" i="9"/>
  <c r="G15" i="9"/>
  <c r="H15" i="9"/>
  <c r="I15" i="9"/>
  <c r="J15" i="9"/>
  <c r="K15" i="9"/>
  <c r="L15" i="9"/>
  <c r="M15" i="9"/>
  <c r="N15" i="9"/>
  <c r="O15" i="9"/>
  <c r="P15" i="9"/>
  <c r="Q15" i="9"/>
  <c r="D16" i="9"/>
  <c r="E16" i="9"/>
  <c r="F16" i="9"/>
  <c r="G16" i="9"/>
  <c r="H16" i="9"/>
  <c r="I16" i="9"/>
  <c r="J16" i="9"/>
  <c r="K16" i="9"/>
  <c r="L16" i="9"/>
  <c r="M16" i="9"/>
  <c r="N16" i="9"/>
  <c r="O16" i="9"/>
  <c r="P16" i="9"/>
  <c r="Q16" i="9"/>
  <c r="D17" i="9"/>
  <c r="E17" i="9"/>
  <c r="F17" i="9"/>
  <c r="G17" i="9"/>
  <c r="H17" i="9"/>
  <c r="I17" i="9"/>
  <c r="J17" i="9"/>
  <c r="K17" i="9"/>
  <c r="L17" i="9"/>
  <c r="M17" i="9"/>
  <c r="N17" i="9"/>
  <c r="O17" i="9"/>
  <c r="P17" i="9"/>
  <c r="Q17" i="9"/>
  <c r="D18" i="9"/>
  <c r="E18" i="9"/>
  <c r="F18" i="9"/>
  <c r="G18" i="9"/>
  <c r="H18" i="9"/>
  <c r="I18" i="9"/>
  <c r="J18" i="9"/>
  <c r="K18" i="9"/>
  <c r="L18" i="9"/>
  <c r="M18" i="9"/>
  <c r="N18" i="9"/>
  <c r="O18" i="9"/>
  <c r="P18" i="9"/>
  <c r="Q18" i="9"/>
  <c r="D19" i="9"/>
  <c r="E19" i="9"/>
  <c r="F19" i="9"/>
  <c r="G19" i="9"/>
  <c r="H19" i="9"/>
  <c r="I19" i="9"/>
  <c r="J19" i="9"/>
  <c r="K19" i="9"/>
  <c r="L19" i="9"/>
  <c r="M19" i="9"/>
  <c r="N19" i="9"/>
  <c r="O19" i="9"/>
  <c r="P19" i="9"/>
  <c r="Q19" i="9"/>
  <c r="D20" i="9"/>
  <c r="E20" i="9"/>
  <c r="F20" i="9"/>
  <c r="G20" i="9"/>
  <c r="H20" i="9"/>
  <c r="I20" i="9"/>
  <c r="J20" i="9"/>
  <c r="K20" i="9"/>
  <c r="L20" i="9"/>
  <c r="M20" i="9"/>
  <c r="N20" i="9"/>
  <c r="O20" i="9"/>
  <c r="P20" i="9"/>
  <c r="Q20" i="9"/>
  <c r="D21" i="9"/>
  <c r="E21" i="9"/>
  <c r="F21" i="9"/>
  <c r="G21" i="9"/>
  <c r="H21" i="9"/>
  <c r="I21" i="9"/>
  <c r="J21" i="9"/>
  <c r="K21" i="9"/>
  <c r="L21" i="9"/>
  <c r="M21" i="9"/>
  <c r="N21" i="9"/>
  <c r="O21" i="9"/>
  <c r="P21" i="9"/>
  <c r="Q21" i="9"/>
  <c r="D22" i="9"/>
  <c r="E22" i="9"/>
  <c r="F22" i="9"/>
  <c r="G22" i="9"/>
  <c r="H22" i="9"/>
  <c r="I22" i="9"/>
  <c r="J22" i="9"/>
  <c r="K22" i="9"/>
  <c r="L22" i="9"/>
  <c r="M22" i="9"/>
  <c r="N22" i="9"/>
  <c r="O22" i="9"/>
  <c r="P22" i="9"/>
  <c r="Q22" i="9"/>
  <c r="D23" i="9"/>
  <c r="E23" i="9"/>
  <c r="F23" i="9"/>
  <c r="G23" i="9"/>
  <c r="H23" i="9"/>
  <c r="I23" i="9"/>
  <c r="J23" i="9"/>
  <c r="K23" i="9"/>
  <c r="L23" i="9"/>
  <c r="M23" i="9"/>
  <c r="N23" i="9"/>
  <c r="O23" i="9"/>
  <c r="P23" i="9"/>
  <c r="Q23" i="9"/>
  <c r="D24" i="9"/>
  <c r="E24" i="9"/>
  <c r="F24" i="9"/>
  <c r="G24" i="9"/>
  <c r="H24" i="9"/>
  <c r="I24" i="9"/>
  <c r="J24" i="9"/>
  <c r="K24" i="9"/>
  <c r="L24" i="9"/>
  <c r="M24" i="9"/>
  <c r="N24" i="9"/>
  <c r="O24" i="9"/>
  <c r="P24" i="9"/>
  <c r="Q24" i="9"/>
  <c r="D25" i="9"/>
  <c r="E25" i="9"/>
  <c r="F25" i="9"/>
  <c r="G25" i="9"/>
  <c r="H25" i="9"/>
  <c r="I25" i="9"/>
  <c r="J25" i="9"/>
  <c r="K25" i="9"/>
  <c r="L25" i="9"/>
  <c r="M25" i="9"/>
  <c r="N25" i="9"/>
  <c r="O25" i="9"/>
  <c r="P25" i="9"/>
  <c r="Q25" i="9"/>
  <c r="D26" i="9"/>
  <c r="E26" i="9"/>
  <c r="F26" i="9"/>
  <c r="G26" i="9"/>
  <c r="H26" i="9"/>
  <c r="I26" i="9"/>
  <c r="J26" i="9"/>
  <c r="K26" i="9"/>
  <c r="L26" i="9"/>
  <c r="M26" i="9"/>
  <c r="N26" i="9"/>
  <c r="O26" i="9"/>
  <c r="P26" i="9"/>
  <c r="Q26" i="9"/>
  <c r="D27" i="9"/>
  <c r="E27" i="9"/>
  <c r="F27" i="9"/>
  <c r="G27" i="9"/>
  <c r="H27" i="9"/>
  <c r="I27" i="9"/>
  <c r="J27" i="9"/>
  <c r="K27" i="9"/>
  <c r="L27" i="9"/>
  <c r="M27" i="9"/>
  <c r="N27" i="9"/>
  <c r="O27" i="9"/>
  <c r="P27" i="9"/>
  <c r="Q27" i="9"/>
  <c r="D28" i="9"/>
  <c r="E28" i="9"/>
  <c r="F28" i="9"/>
  <c r="G28" i="9"/>
  <c r="H28" i="9"/>
  <c r="I28" i="9"/>
  <c r="J28" i="9"/>
  <c r="K28" i="9"/>
  <c r="L28" i="9"/>
  <c r="M28" i="9"/>
  <c r="N28" i="9"/>
  <c r="O28" i="9"/>
  <c r="P28" i="9"/>
  <c r="Q28" i="9"/>
  <c r="D29" i="9"/>
  <c r="E29" i="9"/>
  <c r="F29" i="9"/>
  <c r="G29" i="9"/>
  <c r="H29" i="9"/>
  <c r="I29" i="9"/>
  <c r="J29" i="9"/>
  <c r="K29" i="9"/>
  <c r="L29" i="9"/>
  <c r="M29" i="9"/>
  <c r="N29" i="9"/>
  <c r="O29" i="9"/>
  <c r="P29" i="9"/>
  <c r="Q29" i="9"/>
  <c r="D30" i="9"/>
  <c r="E30" i="9"/>
  <c r="F30" i="9"/>
  <c r="G30" i="9"/>
  <c r="H30" i="9"/>
  <c r="I30" i="9"/>
  <c r="J30" i="9"/>
  <c r="K30" i="9"/>
  <c r="L30" i="9"/>
  <c r="M30" i="9"/>
  <c r="N30" i="9"/>
  <c r="O30" i="9"/>
  <c r="P30" i="9"/>
  <c r="Q30" i="9"/>
  <c r="D31" i="9"/>
  <c r="E31" i="9"/>
  <c r="F31" i="9"/>
  <c r="G31" i="9"/>
  <c r="H31" i="9"/>
  <c r="I31" i="9"/>
  <c r="J31" i="9"/>
  <c r="K31" i="9"/>
  <c r="L31" i="9"/>
  <c r="M31" i="9"/>
  <c r="N31" i="9"/>
  <c r="O31" i="9"/>
  <c r="P31" i="9"/>
  <c r="Q31" i="9"/>
  <c r="D32" i="9"/>
  <c r="E32" i="9"/>
  <c r="F32" i="9"/>
  <c r="G32" i="9"/>
  <c r="H32" i="9"/>
  <c r="I32" i="9"/>
  <c r="J32" i="9"/>
  <c r="K32" i="9"/>
  <c r="L32" i="9"/>
  <c r="M32" i="9"/>
  <c r="N32" i="9"/>
  <c r="O32" i="9"/>
  <c r="P32" i="9"/>
  <c r="Q32" i="9"/>
  <c r="D33" i="9"/>
  <c r="E33" i="9"/>
  <c r="F33" i="9"/>
  <c r="G33" i="9"/>
  <c r="H33" i="9"/>
  <c r="I33" i="9"/>
  <c r="J33" i="9"/>
  <c r="K33" i="9"/>
  <c r="L33" i="9"/>
  <c r="M33" i="9"/>
  <c r="N33" i="9"/>
  <c r="O33" i="9"/>
  <c r="P33" i="9"/>
  <c r="Q33" i="9"/>
  <c r="D34" i="9"/>
  <c r="E34" i="9"/>
  <c r="F34" i="9"/>
  <c r="G34" i="9"/>
  <c r="H34" i="9"/>
  <c r="I34" i="9"/>
  <c r="J34" i="9"/>
  <c r="K34" i="9"/>
  <c r="L34" i="9"/>
  <c r="M34" i="9"/>
  <c r="N34" i="9"/>
  <c r="O34" i="9"/>
  <c r="P34" i="9"/>
  <c r="Q34" i="9"/>
  <c r="D35" i="9"/>
  <c r="E35" i="9"/>
  <c r="F35" i="9"/>
  <c r="G35" i="9"/>
  <c r="H35" i="9"/>
  <c r="I35" i="9"/>
  <c r="J35" i="9"/>
  <c r="K35" i="9"/>
  <c r="L35" i="9"/>
  <c r="M35" i="9"/>
  <c r="N35" i="9"/>
  <c r="O35" i="9"/>
  <c r="P35" i="9"/>
  <c r="Q35" i="9"/>
  <c r="D36" i="9"/>
  <c r="E36" i="9"/>
  <c r="F36" i="9"/>
  <c r="G36" i="9"/>
  <c r="H36" i="9"/>
  <c r="I36" i="9"/>
  <c r="J36" i="9"/>
  <c r="K36" i="9"/>
  <c r="L36" i="9"/>
  <c r="M36" i="9"/>
  <c r="N36" i="9"/>
  <c r="O36" i="9"/>
  <c r="P36" i="9"/>
  <c r="Q36" i="9"/>
  <c r="Q5" i="9"/>
  <c r="P5" i="9"/>
  <c r="O5" i="9"/>
  <c r="N5" i="9"/>
  <c r="M5" i="9"/>
  <c r="L5" i="9"/>
  <c r="K5" i="9"/>
  <c r="J5" i="9"/>
  <c r="I5" i="9"/>
  <c r="H5" i="9"/>
  <c r="G5" i="9"/>
  <c r="F5" i="9"/>
  <c r="E5" i="9"/>
  <c r="D5" i="9"/>
  <c r="Q4" i="9"/>
  <c r="P4" i="9"/>
  <c r="O4" i="9"/>
  <c r="N4" i="9"/>
  <c r="M4" i="9"/>
  <c r="L4" i="9"/>
  <c r="K4" i="9"/>
  <c r="J4" i="9"/>
  <c r="I4" i="9"/>
  <c r="H4" i="9"/>
  <c r="G4" i="9"/>
  <c r="F4" i="9"/>
  <c r="E4" i="9"/>
  <c r="D4" i="9"/>
  <c r="O207" i="9" l="1"/>
  <c r="H3" i="9"/>
  <c r="H139" i="9"/>
  <c r="N139" i="9"/>
  <c r="F139" i="9"/>
  <c r="J207" i="9"/>
  <c r="H275" i="9"/>
  <c r="N275" i="9"/>
  <c r="F275" i="9"/>
  <c r="H411" i="9"/>
  <c r="N411" i="9"/>
  <c r="F411" i="9"/>
  <c r="H445" i="9"/>
  <c r="O71" i="9"/>
  <c r="M105" i="9"/>
  <c r="M241" i="9"/>
  <c r="O343" i="9"/>
  <c r="M377" i="9"/>
  <c r="J479" i="9"/>
  <c r="F37" i="9"/>
  <c r="M37" i="9"/>
  <c r="H71" i="9"/>
  <c r="F71" i="9"/>
  <c r="J139" i="9"/>
  <c r="G173" i="9"/>
  <c r="H207" i="9"/>
  <c r="F207" i="9"/>
  <c r="J275" i="9"/>
  <c r="G309" i="9"/>
  <c r="H343" i="9"/>
  <c r="F343" i="9"/>
  <c r="J411" i="9"/>
  <c r="G445" i="9"/>
  <c r="J445" i="9"/>
  <c r="H479" i="9"/>
  <c r="F479" i="9"/>
  <c r="D37" i="9"/>
  <c r="E71" i="9"/>
  <c r="C7" i="15" s="1"/>
  <c r="D7" i="15" s="1"/>
  <c r="K105" i="9"/>
  <c r="I139" i="9"/>
  <c r="E207" i="9"/>
  <c r="C11" i="15" s="1"/>
  <c r="D11" i="15" s="1"/>
  <c r="K241" i="9"/>
  <c r="I275" i="9"/>
  <c r="E343" i="9"/>
  <c r="C15" i="15" s="1"/>
  <c r="D15" i="15" s="1"/>
  <c r="K377" i="9"/>
  <c r="I411" i="9"/>
  <c r="I445" i="9"/>
  <c r="G37" i="9"/>
  <c r="N37" i="9"/>
  <c r="L3" i="9"/>
  <c r="K37" i="9"/>
  <c r="L71" i="9"/>
  <c r="J105" i="9"/>
  <c r="G139" i="9"/>
  <c r="F173" i="9"/>
  <c r="L207" i="9"/>
  <c r="J241" i="9"/>
  <c r="G275" i="9"/>
  <c r="H309" i="9"/>
  <c r="F309" i="9"/>
  <c r="L343" i="9"/>
  <c r="J377" i="9"/>
  <c r="G411" i="9"/>
  <c r="J513" i="9"/>
  <c r="H37" i="9"/>
  <c r="J37" i="9"/>
  <c r="K71" i="9"/>
  <c r="I105" i="9"/>
  <c r="O139" i="9"/>
  <c r="K207" i="9"/>
  <c r="I241" i="9"/>
  <c r="O275" i="9"/>
  <c r="K343" i="9"/>
  <c r="I377" i="9"/>
  <c r="O411" i="9"/>
  <c r="O445" i="9"/>
  <c r="L479" i="9"/>
  <c r="K479" i="9"/>
  <c r="Q513" i="9"/>
  <c r="I513" i="9"/>
  <c r="Q37" i="9"/>
  <c r="I37" i="9"/>
  <c r="G71" i="9"/>
  <c r="J71" i="9"/>
  <c r="G105" i="9"/>
  <c r="P105" i="9"/>
  <c r="L173" i="9"/>
  <c r="D173" i="9"/>
  <c r="G241" i="9"/>
  <c r="P241" i="9"/>
  <c r="L309" i="9"/>
  <c r="D309" i="9"/>
  <c r="G377" i="9"/>
  <c r="P377" i="9"/>
  <c r="N445" i="9"/>
  <c r="F445" i="9"/>
  <c r="G513" i="9"/>
  <c r="P513" i="9"/>
  <c r="Q71" i="9"/>
  <c r="Q343" i="9"/>
  <c r="I343" i="9"/>
  <c r="O377" i="9"/>
  <c r="E411" i="9"/>
  <c r="C17" i="15" s="1"/>
  <c r="D17" i="15" s="1"/>
  <c r="E445" i="9"/>
  <c r="C18" i="15" s="1"/>
  <c r="D18" i="15" s="1"/>
  <c r="O513" i="9"/>
  <c r="I71" i="9"/>
  <c r="P71" i="9"/>
  <c r="F105" i="9"/>
  <c r="D139" i="9"/>
  <c r="G207" i="9"/>
  <c r="P207" i="9"/>
  <c r="F241" i="9"/>
  <c r="D275" i="9"/>
  <c r="G343" i="9"/>
  <c r="P343" i="9"/>
  <c r="F377" i="9"/>
  <c r="D411" i="9"/>
  <c r="D445" i="9"/>
  <c r="G479" i="9"/>
  <c r="Q139" i="9"/>
  <c r="Q207" i="9"/>
  <c r="Q479" i="9"/>
  <c r="Q275" i="9"/>
  <c r="Q411" i="9"/>
  <c r="P479" i="9"/>
  <c r="P173" i="9"/>
  <c r="P309" i="9"/>
  <c r="O37" i="9"/>
  <c r="O479" i="9"/>
  <c r="N71" i="9"/>
  <c r="N207" i="9"/>
  <c r="N343" i="9"/>
  <c r="N479" i="9"/>
  <c r="M173" i="9"/>
  <c r="M309" i="9"/>
  <c r="M513" i="9"/>
  <c r="L139" i="9"/>
  <c r="L275" i="9"/>
  <c r="L411" i="9"/>
  <c r="L445" i="9"/>
  <c r="L105" i="9"/>
  <c r="L241" i="9"/>
  <c r="L377" i="9"/>
  <c r="L513" i="9"/>
  <c r="L37" i="9"/>
  <c r="K139" i="9"/>
  <c r="J343" i="9"/>
  <c r="J173" i="9"/>
  <c r="J309" i="9"/>
  <c r="I207" i="9"/>
  <c r="I479" i="9"/>
  <c r="I173" i="9"/>
  <c r="I309" i="9"/>
  <c r="H173" i="9"/>
  <c r="H105" i="9"/>
  <c r="H241" i="9"/>
  <c r="H377" i="9"/>
  <c r="H513" i="9"/>
  <c r="F513" i="9"/>
  <c r="E139" i="9"/>
  <c r="C9" i="15" s="1"/>
  <c r="D9" i="15" s="1"/>
  <c r="E275" i="9"/>
  <c r="C13" i="15" s="1"/>
  <c r="D13" i="15" s="1"/>
  <c r="E479" i="9"/>
  <c r="C19" i="15" s="1"/>
  <c r="D19" i="15" s="1"/>
  <c r="D71" i="9"/>
  <c r="D207" i="9"/>
  <c r="D343" i="9"/>
  <c r="D479" i="9"/>
  <c r="Q105" i="9"/>
  <c r="Q241" i="9"/>
  <c r="Q377" i="9"/>
  <c r="Q173" i="9"/>
  <c r="Q309" i="9"/>
  <c r="Q445" i="9"/>
  <c r="P139" i="9"/>
  <c r="P275" i="9"/>
  <c r="P411" i="9"/>
  <c r="P445" i="9"/>
  <c r="P37" i="9"/>
  <c r="O105" i="9"/>
  <c r="O241" i="9"/>
  <c r="O173" i="9"/>
  <c r="O309" i="9"/>
  <c r="N173" i="9"/>
  <c r="N309" i="9"/>
  <c r="N105" i="9"/>
  <c r="N241" i="9"/>
  <c r="N377" i="9"/>
  <c r="N513" i="9"/>
  <c r="M71" i="9"/>
  <c r="M139" i="9"/>
  <c r="M275" i="9"/>
  <c r="M411" i="9"/>
  <c r="M445" i="9"/>
  <c r="M207" i="9"/>
  <c r="M343" i="9"/>
  <c r="M479" i="9"/>
  <c r="K173" i="9"/>
  <c r="K309" i="9"/>
  <c r="K275" i="9"/>
  <c r="K411" i="9"/>
  <c r="K445" i="9"/>
  <c r="K513" i="9"/>
  <c r="E173" i="9"/>
  <c r="C10" i="15" s="1"/>
  <c r="D10" i="15" s="1"/>
  <c r="E309" i="9"/>
  <c r="C14" i="15" s="1"/>
  <c r="E14" i="15" s="1" a="1"/>
  <c r="E14" i="15" s="1"/>
  <c r="E105" i="9"/>
  <c r="C8" i="15" s="1"/>
  <c r="D8" i="15" s="1"/>
  <c r="E241" i="9"/>
  <c r="C12" i="15" s="1"/>
  <c r="D12" i="15" s="1"/>
  <c r="E377" i="9"/>
  <c r="C16" i="15" s="1"/>
  <c r="D16" i="15" s="1"/>
  <c r="E513" i="9"/>
  <c r="C20" i="15" s="1"/>
  <c r="D20" i="15" s="1"/>
  <c r="E37" i="9"/>
  <c r="C6" i="15" s="1"/>
  <c r="D105" i="9"/>
  <c r="D241" i="9"/>
  <c r="D377" i="9"/>
  <c r="D513" i="9"/>
  <c r="D3" i="9"/>
  <c r="K3" i="9"/>
  <c r="J3" i="9"/>
  <c r="Q3" i="9"/>
  <c r="I3" i="9"/>
  <c r="P3" i="9"/>
  <c r="O3" i="9"/>
  <c r="G3" i="9"/>
  <c r="N3" i="9"/>
  <c r="F3" i="9"/>
  <c r="M3" i="9"/>
  <c r="E3" i="9"/>
  <c r="E5" i="15" s="1" a="1"/>
  <c r="E5" i="15" s="1"/>
  <c r="I9" i="15" l="1" a="1"/>
  <c r="I9" i="15" s="1"/>
  <c r="E12" i="15" a="1"/>
  <c r="E12" i="15" s="1"/>
  <c r="E9" i="15" a="1"/>
  <c r="E9" i="15" s="1"/>
  <c r="I12" i="15" a="1"/>
  <c r="I12" i="15" s="1"/>
  <c r="I17" i="15" a="1"/>
  <c r="I17" i="15" s="1"/>
  <c r="E20" i="15" a="1"/>
  <c r="E20" i="15" s="1"/>
  <c r="E17" i="15" a="1"/>
  <c r="E17" i="15" s="1"/>
  <c r="I20" i="15" a="1"/>
  <c r="I20" i="15" s="1"/>
  <c r="E18" i="15" a="1"/>
  <c r="E18" i="15" s="1"/>
  <c r="I14" i="15" a="1"/>
  <c r="I14" i="15" s="1"/>
  <c r="D14" i="15"/>
  <c r="I18" i="15" a="1"/>
  <c r="I18" i="15" s="1"/>
  <c r="I7" i="15" a="1"/>
  <c r="I7" i="15" s="1"/>
  <c r="I19" i="15" a="1"/>
  <c r="I19" i="15" s="1"/>
  <c r="E7" i="15" a="1"/>
  <c r="E7" i="15" s="1"/>
  <c r="E19" i="15" a="1"/>
  <c r="E19" i="15" s="1"/>
  <c r="E6" i="15" a="1"/>
  <c r="E6" i="15" s="1"/>
  <c r="I6" i="15" a="1"/>
  <c r="I6" i="15" s="1"/>
  <c r="D6" i="15"/>
  <c r="D5" i="15"/>
  <c r="I5" i="15" a="1"/>
  <c r="I5" i="15" s="1"/>
  <c r="I8" i="15" a="1"/>
  <c r="I8" i="15" s="1"/>
  <c r="E8" i="15" a="1"/>
  <c r="E8" i="15" s="1"/>
  <c r="E13" i="15" a="1"/>
  <c r="E13" i="15" s="1"/>
  <c r="I13" i="15" a="1"/>
  <c r="I13" i="15" s="1"/>
  <c r="I11" i="15" a="1"/>
  <c r="I11" i="15" s="1"/>
  <c r="E11" i="15" a="1"/>
  <c r="E11" i="15" s="1"/>
  <c r="I10" i="15" a="1"/>
  <c r="I10" i="15" s="1"/>
  <c r="E10" i="15" a="1"/>
  <c r="E10" i="15" s="1"/>
  <c r="E16" i="15" a="1"/>
  <c r="E16" i="15" s="1"/>
  <c r="I16" i="15" a="1"/>
  <c r="I16" i="15" s="1"/>
  <c r="I15" i="15" a="1"/>
  <c r="I15" i="15" s="1"/>
  <c r="E15" i="15" a="1"/>
  <c r="E15"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tc={3F2D9C34-2320-4E1C-A1D3-B802C4CE4AFE}</author>
    <author>tc={182E2CDA-306E-4838-AAEE-465C0891FD02}</author>
    <author>tc={E810DEF2-0857-4595-953C-FB4D60A0818E}</author>
  </authors>
  <commentList>
    <comment ref="E29" authorId="0" shapeId="0" xr:uid="{3F2D9C34-2320-4E1C-A1D3-B802C4CE4A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Abgrenzung zu "Logistics" prüfen. Betrieb und Support: Erweiteurng, Trouble-Shooting; Logictics: Von A nach B bringen, Service und Maintainance</t>
      </text>
    </comment>
    <comment ref="K39" authorId="1" shapeId="0" xr:uid="{182E2CDA-306E-4838-AAEE-465C0891FD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Produktowner = 2; Sonster 1 oder 0</t>
      </text>
    </comment>
    <comment ref="K45" authorId="2" shapeId="0" xr:uid="{E810DEF2-0857-4595-953C-FB4D60A081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Produktowenr =2 ; ansomsten eine 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tc={9C2FA526-AF46-47B1-9B2D-EE3989EB74C5}</author>
  </authors>
  <commentList>
    <comment ref="M101" authorId="0" shapeId="0" xr:uid="{9C2FA526-AF46-47B1-9B2D-EE3989EB74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behält Verantwortung nach Projektende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<sst xmlns="http://schemas.openxmlformats.org/spreadsheetml/2006/main" count="2475" uniqueCount="928">
  <si>
    <t>Definition</t>
  </si>
  <si>
    <t>Repräsentiert INCOSE Kompetenzen</t>
  </si>
  <si>
    <t>Beschriebung Reifegrad</t>
  </si>
  <si>
    <t>Stufe 0</t>
  </si>
  <si>
    <t>Stufe 1</t>
  </si>
  <si>
    <t>Stufe 2</t>
  </si>
  <si>
    <t>Stufe 3</t>
  </si>
  <si>
    <t>Stufe 4</t>
  </si>
  <si>
    <t>Nicht bewusst vorhanden</t>
  </si>
  <si>
    <t>Individuell/Ad Hoc</t>
  </si>
  <si>
    <t>Fragmentiert</t>
  </si>
  <si>
    <t>Etabliert</t>
  </si>
  <si>
    <t>Systematische Förderung</t>
  </si>
  <si>
    <t>Kern Kompetenzen</t>
  </si>
  <si>
    <t>Systemisches Denken</t>
  </si>
  <si>
    <t>Die Kompetenz fundamentale Konzepte des Systemdenkens im Systems Engineering anzuwenden und die Rolle des eigenen Systems in seinem Gesamtkontext zu verstehen.</t>
  </si>
  <si>
    <t>Systemisches Denken, Capability Engineering</t>
  </si>
  <si>
    <r>
      <t xml:space="preserve">Wichtiger Bestandteil der </t>
    </r>
    <r>
      <rPr>
        <b/>
        <sz val="10"/>
        <color rgb="FF000000"/>
        <rFont val="Arial"/>
        <family val="2"/>
      </rPr>
      <t>SE-Philosophie</t>
    </r>
    <r>
      <rPr>
        <sz val="10"/>
        <color rgb="FF000000"/>
        <rFont val="Arial"/>
        <family val="2"/>
      </rPr>
      <t xml:space="preserve"> ist die Verbreitung und Verwendung des </t>
    </r>
    <r>
      <rPr>
        <b/>
        <sz val="10"/>
        <color rgb="FF000000"/>
        <rFont val="Arial"/>
        <family val="2"/>
      </rPr>
      <t>Systemdenkens</t>
    </r>
    <r>
      <rPr>
        <sz val="10"/>
        <color rgb="FF000000"/>
        <rFont val="Arial"/>
        <family val="2"/>
      </rPr>
      <t xml:space="preserve">. Darunter wird eine Denkweise verstanden, die es ermöglicht, komplexe Systeme besser zu verstehen und zu gestalten und somit ein ganzheitliches </t>
    </r>
    <r>
      <rPr>
        <b/>
        <sz val="10"/>
        <color rgb="FF000000"/>
        <rFont val="Arial"/>
        <family val="2"/>
      </rPr>
      <t>Systemverständnis</t>
    </r>
    <r>
      <rPr>
        <sz val="10"/>
        <color rgb="FF000000"/>
        <rFont val="Arial"/>
        <family val="2"/>
      </rPr>
      <t xml:space="preserve"> zu erzeugen [Gei19; HWF+19; WRF+15]. </t>
    </r>
  </si>
  <si>
    <r>
      <t xml:space="preserve">Ansätze, Methoden und Verhaltensmuster des </t>
    </r>
    <r>
      <rPr>
        <b/>
        <sz val="10"/>
        <color rgb="FF000000"/>
        <rFont val="Arial"/>
        <family val="2"/>
      </rPr>
      <t>Systemdenkens</t>
    </r>
    <r>
      <rPr>
        <sz val="10"/>
        <color rgb="FF000000"/>
        <rFont val="Arial"/>
        <family val="2"/>
      </rPr>
      <t xml:space="preserve"> sind im Unternehmen nicht verbreitet. Ein einheitliches </t>
    </r>
    <r>
      <rPr>
        <b/>
        <sz val="10"/>
        <color rgb="FF000000"/>
        <rFont val="Arial"/>
        <family val="2"/>
      </rPr>
      <t>Systemverständnis</t>
    </r>
    <r>
      <rPr>
        <sz val="10"/>
        <color rgb="FF000000"/>
        <rFont val="Arial"/>
        <family val="2"/>
      </rPr>
      <t xml:space="preserve"> fehlt. Einzelne Prinzipien des Systemdenkens werden, wenn überhaupt nur unbewusst genutzt.</t>
    </r>
  </si>
  <si>
    <r>
      <t xml:space="preserve">Einzelne Personen nutzen Ansätze und Methoden des </t>
    </r>
    <r>
      <rPr>
        <b/>
        <sz val="10"/>
        <color rgb="FF000000"/>
        <rFont val="Arial"/>
        <family val="2"/>
      </rPr>
      <t>Systemdenkens</t>
    </r>
    <r>
      <rPr>
        <sz val="10"/>
        <color rgb="FF000000"/>
        <rFont val="Arial"/>
        <family val="2"/>
      </rPr>
      <t xml:space="preserve"> für ihre individuellen Tätigkeiten, wie z.B. der Erhöhung des individuellen </t>
    </r>
    <r>
      <rPr>
        <b/>
        <sz val="10"/>
        <color rgb="FF000000"/>
        <rFont val="Arial"/>
        <family val="2"/>
      </rPr>
      <t>Systemverständnisses</t>
    </r>
    <r>
      <rPr>
        <sz val="10"/>
        <color rgb="FF000000"/>
        <rFont val="Arial"/>
        <family val="2"/>
      </rPr>
      <t>. Grundlegende Tätigkeiten, wie die Systemdefinition werden ausgeführt. Eine ganzheitliche Systembetrachtung findet nicht statt.</t>
    </r>
  </si>
  <si>
    <r>
      <t xml:space="preserve">Einzelne Organisationseinheiten nutzen Ansätze und Methoden des </t>
    </r>
    <r>
      <rPr>
        <b/>
        <sz val="10"/>
        <color rgb="FF000000"/>
        <rFont val="Arial"/>
        <family val="2"/>
      </rPr>
      <t>Systemdenkens</t>
    </r>
    <r>
      <rPr>
        <sz val="10"/>
        <color rgb="FF000000"/>
        <rFont val="Arial"/>
        <family val="2"/>
      </rPr>
      <t xml:space="preserve"> für einzelne Projekte. Innerhalb dieser Projekte werden Systeme schon ganzheitlich betrachtet, so dass innerhalb des Projektteams ein gutes </t>
    </r>
    <r>
      <rPr>
        <b/>
        <sz val="10"/>
        <color rgb="FF000000"/>
        <rFont val="Arial"/>
        <family val="2"/>
      </rPr>
      <t>Systemverständnis</t>
    </r>
    <r>
      <rPr>
        <sz val="10"/>
        <color rgb="FF000000"/>
        <rFont val="Arial"/>
        <family val="2"/>
      </rPr>
      <t xml:space="preserve"> besteht.</t>
    </r>
  </si>
  <si>
    <r>
      <t xml:space="preserve">Das </t>
    </r>
    <r>
      <rPr>
        <b/>
        <sz val="10"/>
        <color rgb="FF000000"/>
        <rFont val="Arial"/>
        <family val="2"/>
      </rPr>
      <t xml:space="preserve">Systemdenken </t>
    </r>
    <r>
      <rPr>
        <sz val="10"/>
        <color rgb="FF000000"/>
        <rFont val="Arial"/>
        <family val="2"/>
      </rPr>
      <t xml:space="preserve">wird unternehmensweit gelebt. Wesentliche Begriffe der Systembeschreibung sind bei allen beteiligten Personen einheitlich definiert und bekannt. Ansätze und Methoden dieser Denkweise werden automatisch genutzt, um ein System ganzheitlich zu betrachten und das </t>
    </r>
    <r>
      <rPr>
        <b/>
        <sz val="10"/>
        <color rgb="FF000000"/>
        <rFont val="Arial"/>
        <family val="2"/>
      </rPr>
      <t>Systemverständnis</t>
    </r>
    <r>
      <rPr>
        <sz val="10"/>
        <color rgb="FF000000"/>
        <rFont val="Arial"/>
        <family val="2"/>
      </rPr>
      <t xml:space="preserve"> zu erhöhen.</t>
    </r>
  </si>
  <si>
    <r>
      <t xml:space="preserve">Zusätzlich zu der unternehmensweiten Verbreitung der mit dem </t>
    </r>
    <r>
      <rPr>
        <b/>
        <sz val="10"/>
        <color rgb="FF000000"/>
        <rFont val="Arial"/>
        <family val="2"/>
      </rPr>
      <t>Systemdenken</t>
    </r>
    <r>
      <rPr>
        <sz val="10"/>
        <color rgb="FF000000"/>
        <rFont val="Arial"/>
        <family val="2"/>
      </rPr>
      <t xml:space="preserve"> und dem ganzheitlichen </t>
    </r>
    <r>
      <rPr>
        <b/>
        <sz val="10"/>
        <color rgb="FF000000"/>
        <rFont val="Arial"/>
        <family val="2"/>
      </rPr>
      <t>Systemverständnis</t>
    </r>
    <r>
      <rPr>
        <sz val="10"/>
        <color rgb="FF000000"/>
        <rFont val="Arial"/>
        <family val="2"/>
      </rPr>
      <t xml:space="preserve"> verbundenen Ansätze und Methoden werden bestehende Strukturen kontinuierlich optimiert und neue Ansätze und Methoden systematisch integriert.</t>
    </r>
  </si>
  <si>
    <t>Systemmodellierung und -analyse</t>
  </si>
  <si>
    <t>Die Kompetenz exakte Daten und Informationen mit HIlfe von domäne-übergreifenden Modellen bereitzustellen, um das technische Verständnis und das Treffen von Entscheidungen zu unterstützen.</t>
  </si>
  <si>
    <r>
      <t>Modellbasiertes Arbeiten</t>
    </r>
    <r>
      <rPr>
        <sz val="10"/>
        <color rgb="FF000000"/>
        <rFont val="Arial"/>
        <family val="2"/>
      </rPr>
      <t xml:space="preserve"> dient dem Zweck, die Aktivitäten zur Beschreibung der Systemspezifikation von Beginn der konzeptionellen Architekturgestaltung über die Entwicklung bis hin zu späten Phasen des System-Lebenszyklus zu unterstützen und durch eine formalisierte Anwendung der einzelnen Aktivitäten Entscheidungsprozesse und Analysen kostengünstig und zeitgenau verfügbar zu machen.</t>
    </r>
  </si>
  <si>
    <t>Die Systemspezifikation wird nicht disziplinübergreifend modellbasiert beschrieben.</t>
  </si>
  <si>
    <t>Einzelne Aspekte der Systemspezifikation werden durch disziplinübergreifende Modelle beschrieben. Das modellbasierte Arbeiten erfolgt nicht auf Basis einer expliziten MBSE-Methode.</t>
  </si>
  <si>
    <t>Einzelne Aspekte der Systemspezifikation werden durch modellbasiertes Arbeiten unterstützt. Es werden einzelne Schritte einer MBSE-Methode angewandt.</t>
  </si>
  <si>
    <t>Die Beschreibung der disziplinübergreifenden Systemspezifikation erfolgt durchgehend auf Basis einer MBSE-Methode. Durch Richtlinien und Vorgaben ist definiert, in welcher Form und Ausprägung die modellbasierte Systemspezifikation das System-of-Interest beschreibt.</t>
  </si>
  <si>
    <t>Die MBSE-Methode ist unternehmens-spezifisch angepasst. Die Leistungsfähigkeit der Methode wird kontinuierlich optimiert.</t>
  </si>
  <si>
    <t>Berücksichtigung von Systemlebenszyklusphasen</t>
  </si>
  <si>
    <t>Die Kompetenz während der Realisierung eines Systems die anderen Lebenszyklen außer der Betriebsphase in den Systemanforderungen, -architekturen und -designs zu berücksichtigen.</t>
  </si>
  <si>
    <t>Lebenszyklen, Geschäfts- und Unternehmensintegration</t>
  </si>
  <si>
    <t>Agiles Denken / Kunden-Nutzenorientierung</t>
  </si>
  <si>
    <t>Die Kompetenz die agilen Werte / den Kundennutzen in den Mittelpunkt der Entwicklung zu stellen.</t>
  </si>
  <si>
    <t>Fachkompetenzen</t>
  </si>
  <si>
    <t>Anforderungsmanagement</t>
  </si>
  <si>
    <t>Die Kompetenz  Bedürfnisse und Erwartungen der Stakeholder zu analysieren und daraus  Anforderungen für ein System festzulegen.</t>
  </si>
  <si>
    <t>Definition von Anforderungen, Geschäfts- und Unternehmensintegration</t>
  </si>
  <si>
    <t>Ermittlung von Anforderungen sowie deren Dokumentation und Erstellung entsprechender Anforderungsdokumente (als strukturierte Menge von Anforderungen).</t>
  </si>
  <si>
    <t>Es gibt keinen systematischen und strukturierten Ansatz, um Anforderungen im Rahmen des SE zu ermitteln und zu dokumentieren. 
Die Dokumentation von Anforderungen erfolgt nicht oder unstrukturiert.</t>
  </si>
  <si>
    <t>Zur Dokumentation von Anforderungen stehen Dokumentenvorlagen bereit. 
Vereinzelte RE-Prozess- und Methodenbausteine sind vorhanden und werden genutzt.</t>
  </si>
  <si>
    <t>Ein RE-Prozess von der Identifikation bis zur Abstimmung von Anforderungen existiert, kann projektspezifisch angepasst werden und wird größtenteils angewandt.
Anforderungen werden unter Nutzung des Systemdenkens strukturiert und mittels formeller Vorgaben dokumentiert.
Definierte Qualitätskriterien für Anforderungen und Anforderungsdokumente sind vorhanden.</t>
  </si>
  <si>
    <t>Der RE-Prozess ist unternehmensweit etabliert.
Es existieren unternehmensweite Vorgaben zur Strukturierung von Anforderungen mittels Systemdenkens. 
Es existiert ein Sicherheitsprozess und geeignete Maßnahmen zur Einhaltung der Qualitätskriterien.</t>
  </si>
  <si>
    <t>Ein systematischer und strukturierter Ansatz zur Ermittlung und Dokumentation von Anforderungen ist vorhanden und wird unternehmensweit verfolg. Attributschema und Einbindung in den RE-Prozess sind klar definiert. Sowohl Interne als auch Externe nutzen dieses Attributschema. 
Der RE-Ansatz wird kontinuierlich optimiert.</t>
  </si>
  <si>
    <t>System-Architekturgestaltung</t>
  </si>
  <si>
    <t>Die Kompetenz die zu einem System zugehörigen Elemente, ihrer Hierarchie, sowie ihrer Schnittstellen oder ihres Verhaltens und der damit verbundenen abgeleiteten Anforderungen zur Entwicklung einer implementierbaren Lösung zu definieren.</t>
  </si>
  <si>
    <t>System-Architektur, Schnittstellen</t>
  </si>
  <si>
    <t>Die (System-) Architektur umfasst sowohl die Struktur als auch das Verhalten des Systems. Sie soll dabei einen konkreten Zweck erfüllen, z.B. die Beschreibung des Zusammenwirkens einzelner Systemelemente. Im Kontext des SE ist die Architektur Teil der Systemgestaltung. Dabei kann die Architektur tool-gestützt, (semi-) formal, durchgängig und rückverfolgbar gestaltet werden [Alt12], [HWF+19]. Die Architekturgestaltung wird durch verschiedene Methoden unterstützt.</t>
  </si>
  <si>
    <r>
      <t xml:space="preserve">Das System wird nicht durch eine abstrakte und disziplinneutrale </t>
    </r>
    <r>
      <rPr>
        <b/>
        <sz val="10"/>
        <color rgb="FF000000"/>
        <rFont val="Arial"/>
        <family val="2"/>
      </rPr>
      <t>Architektur</t>
    </r>
    <r>
      <rPr>
        <sz val="10"/>
        <color rgb="FF000000"/>
        <rFont val="Arial"/>
        <family val="2"/>
      </rPr>
      <t xml:space="preserve"> im Sinne des SE beschrieben.</t>
    </r>
  </si>
  <si>
    <t>Einzelne Aspekte des Systems, wie z.B. die Wirkstruktur oder die Systemzustände, werden gem. einer SE-gerechten Architektur vorwiegend nach Bedarf beschrieben. Ein methodischer Ansatz wird dabei nicht (bewusst) verfolgt.</t>
  </si>
  <si>
    <t>In einzelnen Abteilungen erfolgt ein methodisches Vorgehen auf Basis des Systemdenkens, um einzelne Aspekte der Systemarchitektur systematisch zu erstellen. Die Systemarchitektur-gestaltung erfolgt auf Basis eines definierten Gedankenmodells (z.B. RFLP), um mit der Architekturgestaltung Mehrwerte für die Produktentwicklung zu heben.</t>
  </si>
  <si>
    <t>Die Systemarchitektur wird unternehmens-weit, ganzheitlich aus Sicht des Systems und semi-formal (z.B. mit SysML) mit Hilfe geeigneter Methoden beschrieben und analysiert. Für verschiedene Zwecke sind Viewpoints definiert. Es erfolgt eine logische Verknüpfung der einzelnen Aspekte z.B. zwischen funktionaler und physischer Architektur. Es werden alternative Lösungsmöglichkeiten betrachtet.</t>
  </si>
  <si>
    <t>Die Systemarchitektur wird formal durch eine bedarfsgerechte, angepasste Notation tool-gestützt beschrieben. Die Methoden sowie der Architekturgestaltungs-prozess werden regelmäßig evaluiert und angepasst.</t>
  </si>
  <si>
    <t>Integration, Verifikation &amp; Validierung</t>
  </si>
  <si>
    <t>Die Kompetenz eine Menge von Systemelementen zu einer verifizier- oder validierbaren Einheit zu integrieren bzw. den objektiven Nachweis, das ein System die spezifizierten Anforderungen erfüllt (Validierung), oder seiner beabsichtigten Eigenschaften in der vorgesehenen Einsatzumgebung erreicht (Validierung), durchzuführen.</t>
  </si>
  <si>
    <t>Integration, Verifizierung, Validierung</t>
  </si>
  <si>
    <t>Beurteilung eines Produktes hinsichtlich spezifischer Produkteigenschaften (Verifikation) und der Einsetzbarkeit des Produktes (Validierung)</t>
  </si>
  <si>
    <t>Keine besondere Expertise hinsichtlich V&amp;V-Techniken vorhanden. Es ist im Unternehmen keine unabhängige Testinstanz vorhanden. Testprozeduren sind nicht reproduzierbar. Eine Dokumentation findet nur rudimentär und mit stark aggregierten Ergebnissen statt.</t>
  </si>
  <si>
    <t>Es liegen teilweise reproduzierbare Testprozeduren vor. Es erfolgt eine individuelle Dokumentation und Ablage der V&amp;V-Tätigkeiten.</t>
  </si>
  <si>
    <t>In vereinzelten Unternehmensbereichen werden V&amp;V-Prozeduren standardisiert dokumentiert und innerhalb dieser Bereiche zentral bereitgestellt. Die Input-Parameter für die V&amp;V-Prozeduren sind oftmals definiert (z.B. in Form von Anforderungen).</t>
  </si>
  <si>
    <t>Die V&amp;V ist ein fester Bestandteil des Entwicklungsprozesses und wird von einer unabhängigen Testinstanz durchgeführt. Tiefe, spezialisierte V&amp;V-Expertise ist vorhanden. 
Es werden überwiegend standardisierte Testprozeduren genutzt. 
Dokumentationen werden zentral bereitgestellt und sind über z.B. Projekt- oder Bauteilbezüge wieder auffindbar. Die Input-Parameter für die V&amp;V-Prozeduren sind definiert.</t>
  </si>
  <si>
    <t>Das dokumentierte Wissen ist ohne kontextspezifisches Vorwissen auffindbar. 
Wo immer möglich, werden V&amp;V-Prozeduren sowie -Dokumentationen wiederverwendet. Die Durchführung und Dokumentation von V&amp;V-Tätigkeiten werden ständig weiteroptimiert.</t>
  </si>
  <si>
    <t>Betrieb, Service und Instandhaltung</t>
  </si>
  <si>
    <t>Die Kompetenz das System in Betrieb zu nehmen, zu betreiben und seine Fähigkeiten/Funktionalitäten über seine Lebensdauer aufrechterhalten wird.</t>
  </si>
  <si>
    <t>Überleitung, Betrieb und Support</t>
  </si>
  <si>
    <t>Agile Methodenkompetenz</t>
  </si>
  <si>
    <t>Die Kompetenz Methoden anzuwenden, welche die Agilenwerte im Projektkontext unterstützen und paralleles arbeiten ermöglichen</t>
  </si>
  <si>
    <t>Gleichzeitige-Entwicklung</t>
  </si>
  <si>
    <t>Sozial- und Selbstkompetenzen</t>
  </si>
  <si>
    <t>Selbstorganisation</t>
  </si>
  <si>
    <t xml:space="preserve">Die Kompetenz sich selbst zu organisieren und Aufgaben  </t>
  </si>
  <si>
    <t>Veränderung, Selbstkompetenz, Selbstorganisation, Gleichzeitige Entwicklung</t>
  </si>
  <si>
    <t>Kommunikation &amp; Zusammenarbeit</t>
  </si>
  <si>
    <t>Die Kompetenz konstruktiv, effizient und bewusst, auch domaineübergreifend, zu kommunizieren und dabei die Gefühle anderer Menschen zu erfassen und zu berücksichtzigen sowie Beziehungen zu Kollegen und Vorgesetzten nachhaltig und fair zu gestalten.</t>
  </si>
  <si>
    <t>Kommunikation, Ethik und Professionalität, Emotionale Intelligenz</t>
  </si>
  <si>
    <t>Führen</t>
  </si>
  <si>
    <t>Die Kompetenz geeignete Ziele für ein System bzw. Systemelement auszuwählen, bei Bedarf zu verhandeln und mit einem Team effizient zu erreichen und dabei ggf. Teammitglieder bei der Lösung von Problemen anzuleiten.</t>
  </si>
  <si>
    <t>Technische Führung, Unterstützung/ Vermittlung, Teamdynamik, Verhandlung, Coaching und Mentoring,</t>
  </si>
  <si>
    <t>Managementkompetenzen</t>
  </si>
  <si>
    <t>Projektmanagement</t>
  </si>
  <si>
    <t>Die Kompetenz Aktivitäten zu identifizieren, planen,  koordinieren und anzupassen um ein zufriedenstellendes System, Produkt oder Service mit angemessener Qualität, Finanzen und Zeit zu liefern.</t>
  </si>
  <si>
    <t>Projektmanagement, Finanzen, Qualität, Planung, Überwachung und Steuerung , Gleichzeitige Entwicklung</t>
  </si>
  <si>
    <t>In der SE-Philosophie ist das Projektmanagement eng mit dem der Systemgestaltung des SE verknüpft. Für die erfolgreiche Entwicklung von Systemen ist es daher wichtig, dass SE bei der organisatorischen Projektplanung und -gestaltung berücksichtigt wird und einzelne Tätigkeiten beider Bereiche miteinander integriert und entsprechende Rollenkonzepte und Aufgabenbeschreibungen definiert, sowie abgegrenzt sind.</t>
  </si>
  <si>
    <t>Die Koordination, Gestaltung und Planung von SE-Prozessen werden im Rahmen des Projektmanagements nicht berücksichtigt. Die Tätigkeiten und Aufgaben des Projektmanagements sind dabei nicht mit denen des SE abgestimmt.</t>
  </si>
  <si>
    <t>In einigen SE-Pionier-Projekten erfolgt die Koordination, Gestaltung und Planung von SE-Prozessen im Rahmen des Projektmanagements. Die Tätigkeiten und Aufgaben des Projektmanagements sind dabei im gesamten Unternehmen noch nicht mit denen des SE abgestimmt.</t>
  </si>
  <si>
    <t xml:space="preserve">Die Koordination, Gestaltung und Planung von SE-Prozessen ist organisatorisch mit dem Projektmanagement verankert. In der Praxis sind die Tätigkeiten und Aufgaben des Projektmanagements dabei im gesamten Unternehmen noch nicht mit denen des SE abgestimmt. </t>
  </si>
  <si>
    <t xml:space="preserve">Die Koordination, Gestaltung und Planung von SE-Prozessen sind ein fester, gelebter Bestandteil des Projektmanagements. Die Tätigkeiten und Aufgaben des Projektmanagements sind dabei im gesamten Unternehmen mit denen des SE abgestimmt. </t>
  </si>
  <si>
    <t>Die Koordination, Gestaltung und Planung von SE-Prozessen werden als fester Bestandteil des Projektmanagements zusätzlich kontinuierlich an sich verändernde äußere Rahmenbedingungen angepasst und systematisch optimiert.</t>
  </si>
  <si>
    <t>Entscheidungsmanagement</t>
  </si>
  <si>
    <t>Die Kompetenz strukturiert und analytisch ein objektives Set von Alternativen zu identifizieren, zu charakterisieren und zu evaluieren und dabei Risiken und Chancen zu berücksichtigen</t>
  </si>
  <si>
    <t>Risiko- und Chancenmanagement</t>
  </si>
  <si>
    <t>Informationsmanagement</t>
  </si>
  <si>
    <t>Die Fähigkeit alle Aspekten von Informationen für bestimmte Stakeholder zu adressieren, um die richtigen Informationen zum passenden Zeitpunkt, in der passenden Sicherheit zu liefern.</t>
  </si>
  <si>
    <t>Beschaffung und Versorgung, Entwurf für...</t>
  </si>
  <si>
    <t>Konfigurationsmanagement</t>
  </si>
  <si>
    <t>Die Fähigkeit Systemfunktionen, Leistung und physikalischen Eigenschaften über den Lebenszyklus stimmig zu gestalten und die Konsistenz sicherzustellen.</t>
  </si>
  <si>
    <t>Lifecyle-Prozess</t>
  </si>
  <si>
    <t xml:space="preserve">Activity and Tasks (ISO 15288, 2015) </t>
  </si>
  <si>
    <t>Prozess</t>
  </si>
  <si>
    <t>Aktivität</t>
  </si>
  <si>
    <t>Erläuterung (als Satz)</t>
  </si>
  <si>
    <t>Kunde</t>
  </si>
  <si>
    <t>Kundenvertreter</t>
  </si>
  <si>
    <t>Projektleiter</t>
  </si>
  <si>
    <t>Interner Support (IT, Qualifikation, SE)</t>
  </si>
  <si>
    <t>Prozess- &amp; Richtlinien-verantwortlicher​</t>
  </si>
  <si>
    <t>System-Ingenieur</t>
  </si>
  <si>
    <t>Entwickler</t>
  </si>
  <si>
    <t>Produktionskoordinator/ -planer</t>
  </si>
  <si>
    <t>V&amp;V-Mitarbeiter</t>
  </si>
  <si>
    <t>Produktionsmitarbeiter</t>
  </si>
  <si>
    <t>Servicetechniker</t>
  </si>
  <si>
    <t>Qualitätsmanager</t>
  </si>
  <si>
    <t>Innovations- und (Strategie)management</t>
  </si>
  <si>
    <t xml:space="preserve"> Management</t>
  </si>
  <si>
    <t>Stichpunkte aus dem Handbuch</t>
  </si>
  <si>
    <t>Kommentare von Miele, Claas, intern</t>
  </si>
  <si>
    <t>Anwendung</t>
  </si>
  <si>
    <t>6.1 Vertrags-Prozesse</t>
  </si>
  <si>
    <t>6.1.1 Acquisition process</t>
  </si>
  <si>
    <t>Prepare for the acquisition</t>
  </si>
  <si>
    <t>6.1.1 Akquisition</t>
  </si>
  <si>
    <t>Vorbereiten der Anschaffung</t>
  </si>
  <si>
    <t>6.1.2 Supply process</t>
  </si>
  <si>
    <t>Prepare for the supply</t>
  </si>
  <si>
    <t>6.1.2 Lieferung</t>
  </si>
  <si>
    <t>Vorbereiten der Lieferung</t>
  </si>
  <si>
    <t xml:space="preserve">6.2 Organisatorische Projektbefähigungs-Prozesse </t>
  </si>
  <si>
    <t xml:space="preserve">6.2.1 Life cycle model management process </t>
  </si>
  <si>
    <t>Establish the process</t>
  </si>
  <si>
    <t>6.2.1 Lebenszyklus-Modell-Management</t>
  </si>
  <si>
    <t>Definition eines Prozess</t>
  </si>
  <si>
    <t>6.2.2 Infrastructure management process</t>
  </si>
  <si>
    <t>Establish the infrastructure</t>
  </si>
  <si>
    <t>6.2.2 Verwaltung der Infrastruktur</t>
  </si>
  <si>
    <t>Einrichten der Infrastruktur</t>
  </si>
  <si>
    <t>6.2.3 Portfolio management process</t>
  </si>
  <si>
    <t>Define and authorize projects</t>
  </si>
  <si>
    <t>6.2.3 Portfoliomanagement</t>
  </si>
  <si>
    <t>Definition und Genehmigung von Projekten</t>
  </si>
  <si>
    <t>6.2.4 Human resource management process</t>
  </si>
  <si>
    <t>Identify skills</t>
  </si>
  <si>
    <t>6.2.4 Personalwesen-Management</t>
  </si>
  <si>
    <t xml:space="preserve">Idenfizierung von Fähigkeiten </t>
  </si>
  <si>
    <t>6.2.5 Quality management process</t>
  </si>
  <si>
    <t>Plan quality management</t>
  </si>
  <si>
    <t>6.2.5 Qualitätsmanagement</t>
  </si>
  <si>
    <t xml:space="preserve">Planung des Qualitätsmanagement </t>
  </si>
  <si>
    <t>6.2.6 Knowledge management process</t>
  </si>
  <si>
    <t>Plan knowledge management</t>
  </si>
  <si>
    <t>6.2.6 Wissensmanagement</t>
  </si>
  <si>
    <t xml:space="preserve">Planung des Wissensmanagement </t>
  </si>
  <si>
    <t>6.3 Technischen Management Prozesse</t>
  </si>
  <si>
    <t>6.3.1 Project Planning Processes</t>
  </si>
  <si>
    <t>Define the project</t>
  </si>
  <si>
    <t>6.3.1 Projektierung/Projektplanung</t>
  </si>
  <si>
    <t>Definieren des Projekts</t>
  </si>
  <si>
    <t>6.3.2 Project Assessment and Control Process</t>
  </si>
  <si>
    <t>Plan for project assesment and control</t>
  </si>
  <si>
    <t>6.3.2 Projektbewertung und Steuerung</t>
  </si>
  <si>
    <t>Planung zur Projektbewertung und -steuerung</t>
  </si>
  <si>
    <t>6.3.3 Decision Management Process</t>
  </si>
  <si>
    <t>Prepare for decisions</t>
  </si>
  <si>
    <t>6.3.3 Entscheidungs-management</t>
  </si>
  <si>
    <t>Vorbereiten der Entscheidungen</t>
  </si>
  <si>
    <t>6.3.4 Risk-Management Process</t>
  </si>
  <si>
    <t>Plan risk management</t>
  </si>
  <si>
    <t>6.3.4 Risiko-Management</t>
  </si>
  <si>
    <t>Risikomanagement planen</t>
  </si>
  <si>
    <t>6.3.5 Configuration Management Process</t>
  </si>
  <si>
    <t>Plan configuration management</t>
  </si>
  <si>
    <t>6.3.5 Konfigurationsmanagement (Änderungsmanagement)</t>
  </si>
  <si>
    <t>Konfigurationsmanagement planen</t>
  </si>
  <si>
    <t>6.3.6 Information Management Process</t>
  </si>
  <si>
    <t>Prepare for information management</t>
  </si>
  <si>
    <t>6.3.6 Informationsmanagement</t>
  </si>
  <si>
    <t>Informationsmanagement vorbereiten</t>
  </si>
  <si>
    <t>6.3.7 Measurement Process</t>
  </si>
  <si>
    <t>Prepare for measurement</t>
  </si>
  <si>
    <t>6.3.7 Messung</t>
  </si>
  <si>
    <t>Vorbereiten der Messung</t>
  </si>
  <si>
    <t>6.3.8 Quality Assurance Process</t>
  </si>
  <si>
    <t>Prepare for quality assurance</t>
  </si>
  <si>
    <t>6.3.8 Qualitätssicherungsprozess</t>
  </si>
  <si>
    <t>Vorbereiten der Qualitätssicherung</t>
  </si>
  <si>
    <t>6.4 Technische Prozesse</t>
  </si>
  <si>
    <t>6.4.1 Business or mission analysis process:</t>
  </si>
  <si>
    <t>Prepare for business or mission analysis</t>
  </si>
  <si>
    <t>6.4.1 Geschäfts- oder Einsatzanalyseprozess:</t>
  </si>
  <si>
    <t>Vorbereiten der Geschäfts- oder Einsatzanalyse</t>
  </si>
  <si>
    <r>
      <rPr>
        <b/>
        <sz val="12"/>
        <color theme="1"/>
        <rFont val="Calibri"/>
        <family val="2"/>
        <scheme val="minor"/>
      </rPr>
      <t>6.4.2 Stakeholder needs and requirements definition process:</t>
    </r>
    <r>
      <rPr>
        <sz val="12"/>
        <color theme="1"/>
        <rFont val="Calibri"/>
        <family val="2"/>
        <scheme val="minor"/>
      </rPr>
      <t xml:space="preserve"> </t>
    </r>
  </si>
  <si>
    <t>Prepare the stakeholder needs and requirements definition</t>
  </si>
  <si>
    <t xml:space="preserve">6.4.2 Prozess der Stakeholder-Bedürfnisse und Anforderungsdefinition: </t>
  </si>
  <si>
    <t>Vorbereiten der Bedarfsanalyse und Anforderungsdefinition der Stakeholder</t>
  </si>
  <si>
    <t>Es sollen die Anfordernungen der Stakeholderaufgedeckt werden. Dazu sind zunächst alle Stakeholder zu ermitteln und im Nachgang deren Anforderungen an das System.</t>
  </si>
  <si>
    <t>Erkennen der Stakeholder mit berechtigten Anliegen</t>
  </si>
  <si>
    <t>Requirement Engineer verantwortlich, System-Engineer erarbeitet</t>
  </si>
  <si>
    <t xml:space="preserve">6.4.3 System requirements definition process: </t>
  </si>
  <si>
    <t>Prepare for systems requirements definitions</t>
  </si>
  <si>
    <t xml:space="preserve">6.4.3 Prozess der Definition von Systemanforderungen: </t>
  </si>
  <si>
    <t>Vorbereiten von Systemanforderungsdefinitionen</t>
  </si>
  <si>
    <t>6.4.4 Architecture definition process:</t>
  </si>
  <si>
    <t>Prepare for architecture definition</t>
  </si>
  <si>
    <t>6.4.4 Prozess der Architekturdefinition:</t>
  </si>
  <si>
    <t>Vorbereiten der Architekturdefinition</t>
  </si>
  <si>
    <t>6.4.5 Design definition process:</t>
  </si>
  <si>
    <t>Prepare for design definitions</t>
  </si>
  <si>
    <t>6.4.5 Prozess der Designdefinition:</t>
  </si>
  <si>
    <t>Vorbereiten von Entwurfsdefinitionen</t>
  </si>
  <si>
    <t>6.4.6 System analysis process:</t>
  </si>
  <si>
    <t>Prepare for systems analysis</t>
  </si>
  <si>
    <t>6.4.6 Prozess der Systemanalyse:</t>
  </si>
  <si>
    <t>Vorbereiten der Systemanalyse</t>
  </si>
  <si>
    <r>
      <rPr>
        <b/>
        <sz val="12"/>
        <color theme="1"/>
        <rFont val="Calibri"/>
        <family val="2"/>
        <scheme val="minor"/>
      </rPr>
      <t>6.4.7 Implementation Process:</t>
    </r>
    <r>
      <rPr>
        <sz val="12"/>
        <color theme="1"/>
        <rFont val="Calibri"/>
        <family val="2"/>
        <scheme val="minor"/>
      </rPr>
      <t xml:space="preserve"> </t>
    </r>
  </si>
  <si>
    <t>Prepare for implementation</t>
  </si>
  <si>
    <t>6.4.7 Umsetzungsprozess:</t>
  </si>
  <si>
    <t>Vorbereiten der Umsetzung</t>
  </si>
  <si>
    <t>Die Umsetzung wird geplant, indem eine Umsetzungsstrategie erarbeitet wird, d.h. es wird definiert, welches Herstellverfahren verwendet wird, welche Werkzeuge und Fertigungstoleranzen gewählt werden.</t>
  </si>
  <si>
    <t>(Entwickeln der Umsetzungsstrategie, Definieren der Herstellungs- bzw. Kodierungsverfahren, zu verwendende Werkzeuge und Fertigungstoleranzen)</t>
  </si>
  <si>
    <t xml:space="preserve">6.4.8 Integration Process: </t>
  </si>
  <si>
    <t>Prepare for integration</t>
  </si>
  <si>
    <t xml:space="preserve">6.4.8 Integrationsprozess: </t>
  </si>
  <si>
    <t>Vorbereiten der Integration</t>
  </si>
  <si>
    <t>Eine Integrationsstrategie wird erarbeitet. Prüfwerkzeugen und -Einrichtungen für die Integration werden reserviert.</t>
  </si>
  <si>
    <t>(z.B. Reservieren von Prüfwerkzeugen)</t>
  </si>
  <si>
    <t xml:space="preserve">6.4.9 Verification Process: </t>
  </si>
  <si>
    <t>Prepare for verification</t>
  </si>
  <si>
    <t xml:space="preserve">6.4.9 Verifikationsprozess: </t>
  </si>
  <si>
    <t>Vorbereiten der Verifikation</t>
  </si>
  <si>
    <t>Verfikationstätigkeiten und zugehörige Rollen und Verantwortlichkeiten werden geplant.</t>
  </si>
  <si>
    <t>(Planen der Tätigkeiten, Verantwortlichkeiten, Unterstützungssysteme)</t>
  </si>
  <si>
    <t xml:space="preserve">6.4.10 Transition Process: </t>
  </si>
  <si>
    <t>Prepare for the transition</t>
  </si>
  <si>
    <t xml:space="preserve">6.4.10 Übergabeprozess: </t>
  </si>
  <si>
    <t>Vorbereiten der Übergabe</t>
  </si>
  <si>
    <t>Installationsverfahren/ eine Übergabestrategie wird ausgearbeitet. Inhalten zur Schulung des Bedienpersonals, Logistikunterstützung, Auslieferung und Problembehebung bzw. Problemlösung müssen erarbeitet werden.</t>
  </si>
  <si>
    <t>(Ausarbeiten der Übergabestrategie mit Inhalten zur Schulung des Bedienpersonals, Logistikunterstützung, Auslieferung, Planen der Installation)</t>
  </si>
  <si>
    <t>Einkauf, Logistik</t>
  </si>
  <si>
    <t xml:space="preserve">6.4.11 Validation Process: </t>
  </si>
  <si>
    <t>Prepare for validation</t>
  </si>
  <si>
    <t xml:space="preserve">6.4.11 Validierungsprozess: </t>
  </si>
  <si>
    <t>Vorbereiten der Validierung</t>
  </si>
  <si>
    <t xml:space="preserve">Eine Validierungsstrategie wird entwickelt. </t>
  </si>
  <si>
    <t>(Festlegung der Kriterien)</t>
  </si>
  <si>
    <t xml:space="preserve">6.4.12 Operation Process: </t>
  </si>
  <si>
    <t>Prepare for operation</t>
  </si>
  <si>
    <t xml:space="preserve">6.4.12 Betriebsprozess: </t>
  </si>
  <si>
    <t>Vorbereiten auf den Betrieb</t>
  </si>
  <si>
    <t>Vorbereitung auf den Betrieb.</t>
  </si>
  <si>
    <t>(Betriebsstrategie, wer bedient das Gerät, Sicherheitsstrategie, Überprüfung, Systemtests)</t>
  </si>
  <si>
    <t>Vorbereiten und Übergabe zusammenfassen? Inbetriebnahme</t>
  </si>
  <si>
    <t xml:space="preserve">6.4.13 Maintenance Process: </t>
  </si>
  <si>
    <t>Prepare for maintenance</t>
  </si>
  <si>
    <t xml:space="preserve">6.4.13 Wartungsprozess: </t>
  </si>
  <si>
    <t>Vorbereiten der Wartung</t>
  </si>
  <si>
    <t xml:space="preserve">Eine Wartungsstrategie wird erarbeitet. Ersatzteilbestände werden überwacht und ausgebildetes Wartungspersonal wird koordiniert. </t>
  </si>
  <si>
    <t>Erarbeiten einer Strategie in der frühen Phase</t>
  </si>
  <si>
    <t xml:space="preserve">6.4.14 Disposal Process: </t>
  </si>
  <si>
    <t>Prepare for disposal</t>
  </si>
  <si>
    <t xml:space="preserve">6.4.14 Entsorgungsprozess: </t>
  </si>
  <si>
    <t>Vorbereitung der Entsorgung</t>
  </si>
  <si>
    <t xml:space="preserve">Die Entsorgungsstrategie wird geplant und das Konzept begutachtet. </t>
  </si>
  <si>
    <t>Support</t>
  </si>
  <si>
    <t>Aufnahme von Support-Anfragen/Problemen/Herausforderungen bzgl. SE-Methoden oder Tools</t>
  </si>
  <si>
    <t>Moderation</t>
  </si>
  <si>
    <t>Festlegen von Teilnehmer, Ziele und Agenda von (SE-) Workshops oder anderen Terminen</t>
  </si>
  <si>
    <t>Qualifikation</t>
  </si>
  <si>
    <t>Schulung</t>
  </si>
  <si>
    <t>Schulungsbedarf feststellen, Qualifikatonslevel der Abteilungen ableiten</t>
  </si>
  <si>
    <t>Weiterentwicklung</t>
  </si>
  <si>
    <t>Prozesse</t>
  </si>
  <si>
    <t>Vorgehensweisen und Prozesse definieren</t>
  </si>
  <si>
    <t>Methoden</t>
  </si>
  <si>
    <t>Vorgehensweisen und Prozesse analysieren und verbessern</t>
  </si>
  <si>
    <t>IT-Systeme/ Tools</t>
  </si>
  <si>
    <t>Methoden definieren</t>
  </si>
  <si>
    <t>Impulse von außen</t>
  </si>
  <si>
    <t xml:space="preserve">Anwendung der Methoden verfolgen </t>
  </si>
  <si>
    <t>Methoden analysieren und verbessern, Speziallösungen entwickeln</t>
  </si>
  <si>
    <t>Feedback einholen und Verbesserungspotentiale erarbeiten</t>
  </si>
  <si>
    <t>Entscheidungen über verwendete Methoden und Tools treffen</t>
  </si>
  <si>
    <t xml:space="preserve">Zukünftige Bedarfe an Methoden und Tools ermitteln </t>
  </si>
  <si>
    <t>Identifizieren von Trends im Bereich SE</t>
  </si>
  <si>
    <t xml:space="preserve">Betreuung, Mitarbeit bei wissenschaftlichen Förderprojekten Bereich SE </t>
  </si>
  <si>
    <t>Austausch und Vernetzung mit anderen Unternehmen/ Organisationen</t>
  </si>
  <si>
    <t>Sicherstellen der korrekten Anwendung/Durchführung von Methoden &amp; Tools</t>
  </si>
  <si>
    <t>6.3.3 Entscheidungsmanagement</t>
  </si>
  <si>
    <t>Qualifizierung</t>
  </si>
  <si>
    <t>0 = nicht relevant
1 = anwenden
2 = verstehen
3/4 = anwenden
6 = beherrschen</t>
  </si>
  <si>
    <t xml:space="preserve">Anmerkung Leaderschulung </t>
  </si>
  <si>
    <t>-</t>
  </si>
  <si>
    <t>Management-kompetenzen</t>
  </si>
  <si>
    <t>Plausibilitätsprüfung</t>
  </si>
  <si>
    <t>Prozess -&amp; Richtliniernverantwortlicher</t>
  </si>
  <si>
    <t>Systemingenieur</t>
  </si>
  <si>
    <t>Produktionskoordinator/ - Planer</t>
  </si>
  <si>
    <t>V&amp;V Mitarbeiter</t>
  </si>
  <si>
    <t>Innovations und (Strategie)management</t>
  </si>
  <si>
    <t>Management</t>
  </si>
  <si>
    <t>Berücksichtigung von Systemlebenszayklusphasen</t>
  </si>
  <si>
    <t>Agiles Denken/ Kundennutzenorientierung</t>
  </si>
  <si>
    <t>System- Architekturgestaltung</t>
  </si>
  <si>
    <r>
      <rPr>
        <b/>
        <sz val="10"/>
        <color theme="1"/>
        <rFont val="Arial"/>
        <family val="2"/>
      </rPr>
      <t>Definition</t>
    </r>
    <r>
      <rPr>
        <sz val="10"/>
        <color theme="1"/>
        <rFont val="Arial"/>
        <family val="2"/>
      </rPr>
      <t>: Ein Lernziel ist eine Beschreibung des Zustands, in dem sich die Teilnehmer am Ende des Unterrichts/Moduls hinsichtlich Kompetenz, Wissen und Qualifikationen befinden.</t>
    </r>
  </si>
  <si>
    <t xml:space="preserve">Hinweise zur Formulierung von Lernzielen </t>
  </si>
  <si>
    <r>
      <rPr>
        <b/>
        <i/>
        <sz val="10"/>
        <color theme="1"/>
        <rFont val="Arial"/>
        <family val="2"/>
      </rPr>
      <t>Beispiel</t>
    </r>
    <r>
      <rPr>
        <i/>
        <sz val="10"/>
        <color theme="1"/>
        <rFont val="Arial"/>
        <family val="2"/>
      </rPr>
      <t xml:space="preserve">: </t>
    </r>
    <r>
      <rPr>
        <i/>
        <sz val="10"/>
        <color theme="0" tint="-0.14999847407452621"/>
        <rFont val="Arial"/>
        <family val="2"/>
      </rPr>
      <t xml:space="preserve">Am Ende des zweitägigen Kurses </t>
    </r>
    <r>
      <rPr>
        <i/>
        <sz val="10"/>
        <color theme="1"/>
        <rFont val="Arial"/>
        <family val="2"/>
      </rPr>
      <t>wissen die Teilnehmer alle zehn wichtigen Produkteigenschaften und ihre Nutzen. Sie erklären die Eigenschaften und Nutzen in einem simulierten Kundengespräch. Damit sind die Teilnehmer befähigt, das anschließende Verkaufstraining erfolgreich zu absolvieren.</t>
    </r>
  </si>
  <si>
    <t>Kennen</t>
  </si>
  <si>
    <t>Seminare/Webinar. Serious Gaming</t>
  </si>
  <si>
    <t xml:space="preserve">Lernziele sollten SMART-Formuliert sein. </t>
  </si>
  <si>
    <t>Verstehen</t>
  </si>
  <si>
    <t>Blenden Learning</t>
  </si>
  <si>
    <t>Lernziele sollten positiv formuliert sein</t>
  </si>
  <si>
    <t>Anwenden</t>
  </si>
  <si>
    <t>Coaching, Train ing on the Job, Tutorials</t>
  </si>
  <si>
    <t>Mess- und Beobachtbarkeit durch "indem"</t>
  </si>
  <si>
    <t>Beherrschen</t>
  </si>
  <si>
    <t>Erfahrung</t>
  </si>
  <si>
    <t>Nutzenformulierung durch "damit" und "um zu"</t>
  </si>
  <si>
    <t>Lernziele sollten Prozesse, Methoden und Tools berücksichtigen</t>
  </si>
  <si>
    <t>Abgleich der Kompetenzlevel mit dem Reifegradmodell</t>
  </si>
  <si>
    <t>Allgemeine Lernziele je Kompetenzlevel</t>
  </si>
  <si>
    <t>Beherrschen = Die Kompetenz und PMT gestalten können.</t>
  </si>
  <si>
    <t>Kompetenz</t>
  </si>
  <si>
    <t>Inhalte</t>
  </si>
  <si>
    <t>Übungen</t>
  </si>
  <si>
    <t xml:space="preserve">Der Teilnehmer kennt die Zusammenhänge seines Systems und die dazugehörigen Systemgrenzen. </t>
  </si>
  <si>
    <t xml:space="preserve">Der Teilnehmer ist in der Lage, sein vorliegendes System zu analysieren und daraus kontinuierliche Verbesserungen abzuleiten. </t>
  </si>
  <si>
    <t xml:space="preserve">Der Teilnehmer ist in der Lage Systemisches Denken in das Unternehmen zu tragen und andere dafür zu begeistern. </t>
  </si>
  <si>
    <t>Motivation für SE
Begriffsdefinitionen (Index)
Werte des SE
Vorgehensmodelle SE (V-Modell)
SE Standards
SE-Männchern</t>
  </si>
  <si>
    <t>Die Teilnehmer kennen die Grundlage der Modellierung und deren Benefits.</t>
  </si>
  <si>
    <t>Die Teilnehmer verstehen wie Modelle ihre Arbeit unterstützen. Sie sind in der Lage einfach Modelle zu lesen.</t>
  </si>
  <si>
    <t>Die Teilnehmer sind in der Lage eigene Systemmodelle für ihre relevanten Umfang eigenständig zu definieren. Sie Sind befähigt  Sie können zwischen domänen-übergreifenden und domänenspezifischen Modellen unterscheiden,</t>
  </si>
  <si>
    <t>Die Teilnehmer können Vorgaben für (notwendige) Modelle machen und Richtlinine für gute Modellierung schreiben.</t>
  </si>
  <si>
    <t>Modelltheorie
Simulation</t>
  </si>
  <si>
    <t>Die Teilnehmer kennt die Lebenszyklusphasen seines Systems</t>
  </si>
  <si>
    <t>Der Teilnehmer verseht warum und wie alle Lebenszyklusphasen im Rahmen der Entwicklung berachtet werden müssen.</t>
  </si>
  <si>
    <t xml:space="preserve">Der Teilmnehmer ist in der Lage für die für ihn relevanten Umfänge alle Lebenszyklusphasen zu identifizierne ,  zu berücksichtuigen und  zu bewerten </t>
  </si>
  <si>
    <t>Der Teilnehmer ist in der Lage Konzepte hinsichtlich der Berücksichtigung von allen Lebenszyklusphasen zu bewerten.</t>
  </si>
  <si>
    <t>Lebenszyklusphasen
Betriebskosten während der Lebenszyklus</t>
  </si>
  <si>
    <t>Die Teilnehmerin ikennt die Grundprinzipien des agilen Denkens.</t>
  </si>
  <si>
    <t>Die Teilnehmerin versteht wie Agiles Denken in den Arbeitsalltag integiert werden kann</t>
  </si>
  <si>
    <t>Die Teilnehmerin ist ind er Lage ein System nach agilen Denkweisen zu entwickeln und den Kundennutzen in den mittelpuinkt zu stellen.</t>
  </si>
  <si>
    <t xml:space="preserve">Die Teilnehmerin ist in der Lage Agilkes Denken in das Unternehmen zu tragen und andere dafür zu begeistern. </t>
  </si>
  <si>
    <t>Agiles Manifest</t>
  </si>
  <si>
    <r>
      <rPr>
        <b/>
        <sz val="10"/>
        <color theme="1"/>
        <rFont val="Arial"/>
        <family val="2"/>
      </rPr>
      <t>Prozess</t>
    </r>
    <r>
      <rPr>
        <sz val="10"/>
        <color theme="1"/>
        <rFont val="Arial"/>
        <family val="2"/>
      </rPr>
      <t xml:space="preserve">: Die Teilnehmer können Bedarfe,  Stakeholderanforderung, Systemanforderung, und System-Element-Anforderungen unterscheiden. Sie kennen die Bedeutung von Traceability und verstehen warum Werkzeuge /Tools) dafür notwendig sind,
</t>
    </r>
    <r>
      <rPr>
        <b/>
        <sz val="10"/>
        <color theme="1"/>
        <rFont val="Arial"/>
        <family val="2"/>
      </rPr>
      <t>Methode</t>
    </r>
    <r>
      <rPr>
        <sz val="10"/>
        <color theme="1"/>
        <rFont val="Arial"/>
        <family val="2"/>
      </rPr>
      <t xml:space="preserve">: Die Teilnehmer kennen den grundlegenden Ablauf, des Anforderungsmanagements. Dazu gehört das indetifizieren, formulieren, ableiten und analysieren von Anforderungen
</t>
    </r>
    <r>
      <rPr>
        <b/>
        <sz val="10"/>
        <color theme="1"/>
        <rFont val="Arial"/>
        <family val="2"/>
      </rPr>
      <t>Tool</t>
    </r>
    <r>
      <rPr>
        <sz val="10"/>
        <color theme="1"/>
        <rFont val="Arial"/>
        <family val="2"/>
      </rPr>
      <t>: Die Teilnehmer wissen, das es ein Werkzeug für das Anforderungsmanagement gibt.</t>
    </r>
  </si>
  <si>
    <r>
      <rPr>
        <b/>
        <sz val="10"/>
        <color theme="1"/>
        <rFont val="Arial"/>
        <family val="2"/>
      </rPr>
      <t>Prozess</t>
    </r>
    <r>
      <rPr>
        <sz val="10"/>
        <color theme="1"/>
        <rFont val="Arial"/>
        <family val="2"/>
      </rPr>
      <t xml:space="preserve">: Die Teilnehmer verstehen wie Anforderungsquellen identifiziert, Anforderungen hergeleitet, geschrieben werden. Sie kennen die unterschiedlichen Arten und Ebenen von Anforderungen
</t>
    </r>
    <r>
      <rPr>
        <b/>
        <sz val="10"/>
        <color theme="1"/>
        <rFont val="Arial"/>
        <family val="2"/>
      </rPr>
      <t>Methode</t>
    </r>
    <r>
      <rPr>
        <sz val="10"/>
        <color theme="1"/>
        <rFont val="Arial"/>
        <family val="2"/>
      </rPr>
      <t xml:space="preserve">: Die Teilnehmer können Anforderung-dokumenten oder -modellen lesen (verknüpfungen etc.). Sie können Kontextbeschreibungen und Schnittstellenspezifikationen lesen und verstehen
</t>
    </r>
    <r>
      <rPr>
        <b/>
        <sz val="10"/>
        <color theme="1"/>
        <rFont val="Arial"/>
        <family val="2"/>
      </rPr>
      <t>Tool</t>
    </r>
    <r>
      <rPr>
        <sz val="10"/>
        <color theme="1"/>
        <rFont val="Arial"/>
        <family val="2"/>
      </rPr>
      <t>: Die Teilnehmer können im Anforderungswerkzeug lesen und Anforderungn anschauen und kommentieren/reviewen.</t>
    </r>
  </si>
  <si>
    <r>
      <rPr>
        <b/>
        <sz val="10"/>
        <color theme="1"/>
        <rFont val="Arial"/>
        <family val="2"/>
      </rPr>
      <t>Prozess</t>
    </r>
    <r>
      <rPr>
        <sz val="10"/>
        <color theme="1"/>
        <rFont val="Arial"/>
        <family val="2"/>
      </rPr>
      <t xml:space="preserve">: Der Teilnehmer kann selbständig Anforderungsquellen identifizieren, Anforderungen daraus ableiten, schreiben, in Anforderungsdokumenten oder -modellen dokumentieren, verknüpfen, ableiten analysieren.
</t>
    </r>
    <r>
      <rPr>
        <b/>
        <sz val="10"/>
        <color theme="1"/>
        <rFont val="Arial"/>
        <family val="2"/>
      </rPr>
      <t>Methode</t>
    </r>
    <r>
      <rPr>
        <sz val="10"/>
        <color theme="1"/>
        <rFont val="Arial"/>
        <family val="2"/>
      </rPr>
      <t xml:space="preserve">: Die Teilnehmer können selbständig Anforderungsdokumente oder -modelle dokumentieren, verknüpfen und analysieren. Sie können Kontextbeschreibungen und Schnittstellenspezifikationen erstellen und analysieren 
</t>
    </r>
    <r>
      <rPr>
        <b/>
        <sz val="10"/>
        <color theme="1"/>
        <rFont val="Arial"/>
        <family val="2"/>
      </rPr>
      <t>Tool</t>
    </r>
    <r>
      <rPr>
        <sz val="10"/>
        <color theme="1"/>
        <rFont val="Arial"/>
        <family val="2"/>
      </rPr>
      <t>: Die Teilnehmer können in einem Anforderungswerkzeug Anforderungn definieren, verknüpfen und analysieren.</t>
    </r>
  </si>
  <si>
    <r>
      <rPr>
        <b/>
        <sz val="10"/>
        <color theme="1"/>
        <rFont val="Arial"/>
        <family val="2"/>
      </rPr>
      <t>Prozess</t>
    </r>
    <r>
      <rPr>
        <sz val="10"/>
        <color theme="1"/>
        <rFont val="Arial"/>
        <family val="2"/>
      </rPr>
      <t xml:space="preserve">: Die Teilnehmer sind in der Lage Unzulänglichkeiten im Prozess zu erkennen und Verbesserungsvorschläge zu erarbeiten.
</t>
    </r>
    <r>
      <rPr>
        <b/>
        <sz val="10"/>
        <color theme="1"/>
        <rFont val="Arial"/>
        <family val="2"/>
      </rPr>
      <t>Methode</t>
    </r>
    <r>
      <rPr>
        <sz val="10"/>
        <color theme="1"/>
        <rFont val="Arial"/>
        <family val="2"/>
      </rPr>
      <t xml:space="preserve">: Er ist in der Lage Kontext- und Schnittstellenbeschreibungen zu erstellen und diese mit Stakeholdern zu diskutieren.
</t>
    </r>
    <r>
      <rPr>
        <b/>
        <sz val="10"/>
        <color theme="1"/>
        <rFont val="Arial"/>
        <family val="2"/>
      </rPr>
      <t>Tool</t>
    </r>
    <r>
      <rPr>
        <sz val="10"/>
        <color theme="1"/>
        <rFont val="Arial"/>
        <family val="2"/>
      </rPr>
      <t xml:space="preserve">: Die Teilnehmer können in einem Anforderungswerkzeug erweiterte Funktionen nutzen und neue Templates, Attribute und Features anlegen.
</t>
    </r>
  </si>
  <si>
    <t xml:space="preserve">Der Anfordeurngsprozess im Unternehmen
Identifikation und Analyse aller Stakeholder
Typen von Anforderungen, Bedarfen
Einschränkungen aus anderen Lebvenskyluspahsen (V&amp;V, Wartung, etc.)
Anforderungen an Anforderungen
Traceability von Anforderungen
Dokumentation von Anforderungen (Id, text, Tool etc.)
Identifikation von Anforderungen
Hierarchie und Ableiten von Anforderungen
Erhebnung, Definition, Analyse und Bewertung von Anforderungen
Entwurf von Szenarien/ Use Cases
Beschreibung der Endnutzer
Definition der Systemgrenze
Identifikation externe Shcnittstellen 
BalckBox-Betrachtung
Verifikationskrierten, Validierungskriterien
Einfluss von Einschränkungen auf Systemarchitektur und Design
</t>
  </si>
  <si>
    <r>
      <rPr>
        <b/>
        <sz val="10"/>
        <color theme="1"/>
        <rFont val="Arial"/>
        <family val="2"/>
      </rPr>
      <t>Prozess</t>
    </r>
    <r>
      <rPr>
        <sz val="10"/>
        <color theme="1"/>
        <rFont val="Arial"/>
        <family val="2"/>
      </rPr>
      <t xml:space="preserve">: Die Teilnehmer kennen den Zweck von Architekturmodellen. Sie können Sie grob in den Entwicklungsprozess einordnen.
</t>
    </r>
    <r>
      <rPr>
        <b/>
        <sz val="10"/>
        <color theme="1"/>
        <rFont val="Arial"/>
        <family val="2"/>
      </rPr>
      <t>Methode</t>
    </r>
    <r>
      <rPr>
        <sz val="10"/>
        <color theme="1"/>
        <rFont val="Arial"/>
        <family val="2"/>
      </rPr>
      <t xml:space="preserve">: Die Teilnehmer wissen, das es eine dedizierte Methodik und Modellierungssprache zur Architekturmodellierung gibt.
</t>
    </r>
    <r>
      <rPr>
        <b/>
        <sz val="10"/>
        <color theme="1"/>
        <rFont val="Arial"/>
        <family val="2"/>
      </rPr>
      <t>Tool</t>
    </r>
    <r>
      <rPr>
        <sz val="10"/>
        <color theme="1"/>
        <rFont val="Arial"/>
        <family val="2"/>
      </rPr>
      <t>: Die Teilnehmer wissen, das es ein dediziertes Werkzeug für das Viewing und ggf. die Bearbeitung von Architekturmodellen gibt.</t>
    </r>
  </si>
  <si>
    <r>
      <rPr>
        <b/>
        <sz val="10"/>
        <color theme="1"/>
        <rFont val="Arial"/>
        <family val="2"/>
      </rPr>
      <t>Prozess</t>
    </r>
    <r>
      <rPr>
        <sz val="10"/>
        <color theme="1"/>
        <rFont val="Arial"/>
        <family val="2"/>
      </rPr>
      <t xml:space="preserve">: Die Teilnehmer können nachvollziehen, warum Architekturmodelle als In- und Outputs des Entwicklungsprozesses relevant sind.
</t>
    </r>
    <r>
      <rPr>
        <b/>
        <sz val="10"/>
        <color theme="1"/>
        <rFont val="Arial"/>
        <family val="2"/>
      </rPr>
      <t>Methode</t>
    </r>
    <r>
      <rPr>
        <sz val="10"/>
        <color theme="1"/>
        <rFont val="Arial"/>
        <family val="2"/>
      </rPr>
      <t xml:space="preserve">: Die Teilnehmer können Architekturmodelle lesen und daraus für sie relevante Informationen entnehmen.
</t>
    </r>
    <r>
      <rPr>
        <b/>
        <sz val="10"/>
        <color theme="1"/>
        <rFont val="Arial"/>
        <family val="2"/>
      </rPr>
      <t>Tool</t>
    </r>
    <r>
      <rPr>
        <sz val="10"/>
        <color theme="1"/>
        <rFont val="Arial"/>
        <family val="2"/>
      </rPr>
      <t>: Die Teilnehmer können Architekturmodelle in einem Werkzeug anschauen und kommentieren/reviewen.</t>
    </r>
  </si>
  <si>
    <r>
      <rPr>
        <b/>
        <sz val="10"/>
        <color theme="1"/>
        <rFont val="Arial"/>
        <family val="2"/>
      </rPr>
      <t>Prozess</t>
    </r>
    <r>
      <rPr>
        <sz val="10"/>
        <color theme="1"/>
        <rFont val="Arial"/>
        <family val="2"/>
      </rPr>
      <t xml:space="preserve">: Die Teilnehmer kennen relevante Prozessschritte für Architekturmodelle und wissen woher im Entwicklungsprozess ihre Inputs kommen und welche Outputs sie darin produzieren.
</t>
    </r>
    <r>
      <rPr>
        <b/>
        <sz val="10"/>
        <color theme="1"/>
        <rFont val="Arial"/>
        <family val="2"/>
      </rPr>
      <t>Methode</t>
    </r>
    <r>
      <rPr>
        <sz val="10"/>
        <color theme="1"/>
        <rFont val="Arial"/>
        <family val="2"/>
      </rPr>
      <t xml:space="preserve">: Die Teilnehmer können Architekturmodelle von durchschnittlicher Komplexität erstellen. Sie sind in der Lage für sie relevante Informationen reproduzierbar und im Einklang mit der Methode und Modellierungssprache abbilden zu können.
</t>
    </r>
    <r>
      <rPr>
        <b/>
        <sz val="10"/>
        <color theme="1"/>
        <rFont val="Arial"/>
        <family val="2"/>
      </rPr>
      <t>Tool</t>
    </r>
    <r>
      <rPr>
        <sz val="10"/>
        <color theme="1"/>
        <rFont val="Arial"/>
        <family val="2"/>
      </rPr>
      <t>: Die Teilnehmer können Architekturmodelle in einem Werkzeug erstellen und analysieren.</t>
    </r>
  </si>
  <si>
    <r>
      <rPr>
        <b/>
        <sz val="10"/>
        <color theme="1"/>
        <rFont val="Arial"/>
        <family val="2"/>
      </rPr>
      <t>Prozess</t>
    </r>
    <r>
      <rPr>
        <sz val="10"/>
        <color theme="1"/>
        <rFont val="Arial"/>
        <family val="2"/>
      </rPr>
      <t xml:space="preserve">: Die Teilnehmer sind in der Lage Unzulänglichkeiten im Prozess zu erkennen und Verbesserungsvorschläge zu erarbeiten.
</t>
    </r>
    <r>
      <rPr>
        <b/>
        <sz val="10"/>
        <color theme="1"/>
        <rFont val="Arial"/>
        <family val="2"/>
      </rPr>
      <t>Methode</t>
    </r>
    <r>
      <rPr>
        <sz val="10"/>
        <color theme="1"/>
        <rFont val="Arial"/>
        <family val="2"/>
      </rPr>
      <t xml:space="preserve">: Die Teilnehmer sind in der Lage, Modelle von hoher Komplexität zu erstellen und zu verwalten. Sie können Unzulänglichkeiten in der Methode oder der Modellierungssprache zu erkennen und Verbesserungsvorschläge zu erarbeiten.
</t>
    </r>
    <r>
      <rPr>
        <b/>
        <sz val="10"/>
        <color theme="1"/>
        <rFont val="Arial"/>
        <family val="2"/>
      </rPr>
      <t>Tool</t>
    </r>
    <r>
      <rPr>
        <sz val="10"/>
        <color theme="1"/>
        <rFont val="Arial"/>
        <family val="2"/>
      </rPr>
      <t>: Die Teilnehmer können erweiterte Funktionen nutzen und Templates anlegen.</t>
    </r>
  </si>
  <si>
    <t>Der Architekturprozess im Unternehmen
Entwicklung von funktionalen, logischer Architektur
Synthese – Ableitung der physischen Architektur aus der logischen Architektur
Zuordnung von Anforderungen zur Architektur inkl. ableiten von Anforderungen
weitere Architektur Sichten (Scurity, Safety etc.)
Bildern von Alternativen, Auswahl von Alternativen
Kriteren für Achitekturen (Vergleichsstudien)
Schnittstellen und Interaktionen zwischen Systemelementen, externen Systemen und Umsystemen
Beziehung zwischen funktionellen und phys. Elementen</t>
  </si>
  <si>
    <t>Der Teilnehmer kennt die Ziele der Verifikation und Validierung sowie kennt verschiedene Arten und Vorgehensweisen der V&amp;V.</t>
  </si>
  <si>
    <t xml:space="preserve">Der Teilnehmer kann Testpläne, Testfälle und -ergebnisse lesen und verstehen. </t>
  </si>
  <si>
    <t>Der Teilnehmer kann Testpläne erstellen. Er ist in der Lage die Tests und Simulationen durchzuführen und zu dokumentieren.</t>
  </si>
  <si>
    <t xml:space="preserve">Der Teilnehmer ist in der Lage selbständig und frühzeitig eine Teststrategie sowie einen Erprobungsplan aufzusetzen. Anhand der Anforderungen und Verifikation / Validierungskriterien kann er notwendige Testfälle ableiten. Er ist in der Lage die Tests und Simulationen zu orchestrieren und zu dokumentieren. </t>
  </si>
  <si>
    <t>Systemintegrationsstrategien
Begriffsdefinition IVV
Verifikationsprozeduren (System, Element, Gerät)
Verifikationsmethoden
Traceabilkity zu Anforderungen
Validationsprozeduren
Korrekturmaßnahmen
Validierungsmethoden
V&amp;V in den Phasen des Lebenszyklus (insb. früher Phase)
Endabnahme des Systems</t>
  </si>
  <si>
    <t>Die Teilnehmer kennen die Zeile der Betriebs-, Service- und Instandhaltungsphase. Sie wissen das diese bereits in der Entwicklung berücksichtigung finden und das es Tätigkeiten  in der jewieligen Phase gibt.</t>
  </si>
  <si>
    <t xml:space="preserve">Die Teilnehmer verstehen, wie die Phasen Betrieb, Service und  Instandhaltung in der Enwtcikllung berücksichtigt werden. Sie sind in der Lage die Tätigkeiten die im Rahmen des Lebenszyklus notwendig sind zu nennen. </t>
  </si>
  <si>
    <t xml:space="preserve">Die Teilnehmer verstehen, wie die Phasen Betrieb, Service und  Instandhaltung in der Enwtcikllung berücksichtigt werden. Sie sind in der Lage die Phasen abzuwickelon und für zukünftige Projekte verbesserungen zu identifizieren. </t>
  </si>
  <si>
    <t xml:space="preserve">Die Teilnehmer sind in der Lage die Organisationsprozesse für den Betrieb, die Wartung und die Instandhaltung zu definieren., </t>
  </si>
  <si>
    <t>Betriebsstrategien
Auswertung Betriebsdaten
Anwenderfeedback einholen und bewerten
Aufzeichnen von Leistungsdaten, Fehlermeldungen
Wartungsstrategien
Verbrauchmaterialien
Instandhaltungsanalysen
Weiter und Wiederverwenden
Deaktivieren,Außer Betrieb nehmen
Entsorgungsstrategie</t>
  </si>
  <si>
    <t>Methode: Der Teilnehmer kennt die Agilen Werte und die relevanten agilen Methoden</t>
  </si>
  <si>
    <t>Methode: Der Teilnehmer versteht die Grundlagen der agilen Arbeitsweisen und versteht wie sich die agilen Methoden in einem Entwicklungsprozess anwenden lassen.</t>
  </si>
  <si>
    <t>Methode: der Teilnehmer kann in einem agilen Umfeld arbeiten. Er ist in der Lage die dafür notwedigen Methoden anzuwenden.</t>
  </si>
  <si>
    <t xml:space="preserve">Der Teilnehmer kann für ein projekt die relevanten agilen Methoden definieren und umsetzen. Der Teilnehmer ist überzeigt davon agile Methoden gewinnbringend eizusetzen und kann andere dazu motivieren. </t>
  </si>
  <si>
    <t>Scrum
SAFe</t>
  </si>
  <si>
    <t>Die Teilnehmer kennen die Konzepte der Selbstorganisation.</t>
  </si>
  <si>
    <t>Die Teilnehmer verstrehen wie die Konzepte der Selbstorganisation ihren Arbeitsalltag beeinflussen</t>
  </si>
  <si>
    <t xml:space="preserve">Die Teilnehmer sind in der Lage selbstorganisiert Projekte, Prozesse und Aufgaben abzuarbeiten. </t>
  </si>
  <si>
    <t>Eigenes Verhalten und persönliche Eigenschaften
Zeitmanagement, 
persönlich. Arbeitsorganisation</t>
  </si>
  <si>
    <t>Teilnehmer kennt die Notwendigkeit dieser Kompetenzen</t>
  </si>
  <si>
    <t>Teilnehmer erkennt und versteht die Relevanz dieser Kompetenz, insbesondere in Hinblick auf die Anwendung von SE</t>
  </si>
  <si>
    <t>Teilnehmer ist in der Lage konstruktiv und effizient zu kommunizieren und gleichzeitig empathisch gegenüber seinem Kommunikationspartner zu sein.</t>
  </si>
  <si>
    <t xml:space="preserve">Teilnehmer ist darüber hinaus in der Lage, seine Beziehungen zu Kollegen und Vorgesetzen nachhaltig und fair zu gestalten. </t>
  </si>
  <si>
    <t>Stakeholdergerechte Kommunikation
Grundlagen Kommunikationstechnik (4 Seiten,. Selbstbild., Fremdbild,Johari Fenster (Joseph Luft, Harry Ingham))
Zusammenarbeit untersch., Persönlichkeiten
Verhandlungstechnik
Zwischenmenschliche Kommunikation
Sozialkompetenets Verhalten
Methoden der Konfliktlösung und Motivation
Feedbackregeln,. Aktives zuhören</t>
  </si>
  <si>
    <t>Teilnehmer versteht die Relevanz bzgl. der Definition von Zielen für ein System und kann diese für das gesamte Team verständlich definieren</t>
  </si>
  <si>
    <t>Teilnehmer ist in der Lage, die Ziele mit dem Team zu verhandeln und einen effizienten Weg zu Erreichung dieser zu finden.</t>
  </si>
  <si>
    <t>Teilnehmer ist in der Lage, Teammitglieder strategisch weiterzuentwickeln, sodass diese sich bei Lösungsfindung weiterentwickeln</t>
  </si>
  <si>
    <t>Definition Team, Teamführung
Phasen einer Team-Entwicklung
Charaktere in einem Team (Persönlichkeitsmodell (z.B. Riemann - Thomann), Nähe gegen Entfernung, Dauer gegen Änderungen)
Eigenmschaften und Methodne zu teamführung
Situationsführungstheorie
Kolloboration, Besonderheiten und Eigenschaften eines erfolgreichen Teams
Führungsstile: (Hersey und Blanchard)</t>
  </si>
  <si>
    <r>
      <rPr>
        <b/>
        <sz val="10"/>
        <color theme="1"/>
        <rFont val="Arial"/>
        <family val="2"/>
      </rPr>
      <t>Prozess</t>
    </r>
    <r>
      <rPr>
        <sz val="10"/>
        <color theme="1"/>
        <rFont val="Arial"/>
        <family val="2"/>
      </rPr>
      <t xml:space="preserve">: Der Teilnehmer kennt das Themenfeldprojektemanagement und kann seine Tätigkeiten in einen Projektplan einordnen
</t>
    </r>
    <r>
      <rPr>
        <b/>
        <sz val="10"/>
        <color theme="1"/>
        <rFont val="Arial"/>
        <family val="2"/>
      </rPr>
      <t>Methode</t>
    </r>
    <r>
      <rPr>
        <sz val="10"/>
        <color theme="1"/>
        <rFont val="Arial"/>
        <family val="2"/>
      </rPr>
      <t xml:space="preserve">: Der Teilnehmer kennt die gängigen Methoden des Projektmanagementgs.
</t>
    </r>
    <r>
      <rPr>
        <b/>
        <sz val="10"/>
        <color theme="1"/>
        <rFont val="Arial"/>
        <family val="2"/>
      </rPr>
      <t>Tool</t>
    </r>
    <r>
      <rPr>
        <sz val="10"/>
        <color theme="1"/>
        <rFont val="Arial"/>
        <family val="2"/>
      </rPr>
      <t>: Die Teilnehmer verstehen warum ein Werkzeug zum Projektmanagement eingesetzt wird.</t>
    </r>
  </si>
  <si>
    <r>
      <rPr>
        <b/>
        <sz val="10"/>
        <color theme="1"/>
        <rFont val="Arial"/>
        <family val="2"/>
      </rPr>
      <t>Prozess</t>
    </r>
    <r>
      <rPr>
        <sz val="10"/>
        <color theme="1"/>
        <rFont val="Arial"/>
        <family val="2"/>
      </rPr>
      <t xml:space="preserve"> : Der Teilnehmer versteht den Projektauftrag und kann das Projektmanagement in dem Kontext des System Engineerings einordnen.
</t>
    </r>
    <r>
      <rPr>
        <b/>
        <sz val="10"/>
        <color theme="1"/>
        <rFont val="Arial"/>
        <family val="2"/>
      </rPr>
      <t>Metzhoden</t>
    </r>
    <r>
      <rPr>
        <sz val="10"/>
        <color theme="1"/>
        <rFont val="Arial"/>
        <family val="2"/>
      </rPr>
      <t xml:space="preserve">: Der Teilnehmer kann eigenständig die für Ihn relevanten (Projekt-)Pläne erstellen und entsprechende Statusberichte erzeugen (hinsichtlich Q-K-T).
</t>
    </r>
    <r>
      <rPr>
        <b/>
        <sz val="10"/>
        <color theme="1"/>
        <rFont val="Arial"/>
        <family val="2"/>
      </rPr>
      <t>Tool</t>
    </r>
    <r>
      <rPr>
        <sz val="10"/>
        <color theme="1"/>
        <rFont val="Arial"/>
        <family val="2"/>
      </rPr>
      <t>: Der Teilnehmer ist in der Lage die Planung im jeweiligen Werkzeug durchzuführen.</t>
    </r>
  </si>
  <si>
    <t>Prozess &amp; Methode: Der Teilnehmer ist in der Lage einen Projektauftrag zu definieren und Rahmenbedingung festzulegen, komplexe Projektpläne zu erstellen und aussagekräftige Berichte zu erzeugen. In der Kommunikation mit Stakeholdern ist er geübt. 
Tool: Der Teilnehmer ist in der Lage die Planung im jeweiligen Werkzeug durchzuführen.</t>
  </si>
  <si>
    <t>Prozess: Der Teilnehmer ist in der Lage Unzulänglichkeiten im Prozess zu identifizieren und Verbesserungsvorschläge zu machen. Er ist in der Lage Berichte, Pläne und Aufträge an alle Stakeholder erfolgreich zu kommunizieren.
Tool: Die Teilnehmer können erweiterte Funktionen nutzen und Templates anlegen.</t>
  </si>
  <si>
    <t xml:space="preserve">Projektziele und -scope
PSP - Projekte planen
Arbeispakete
Zeitplan, Budgetplan, SE-Plan
Ressourcen, Rollen, Verantwortlichkeiten
Freigabe 
Projektstruktur
Review Meilensteine
Korrekturmaßnahmen und Änderungen
Projektabschluss
Bestimmung von KPIs
Berichtswesen
Auswertung
</t>
  </si>
  <si>
    <t>Die Teilnehmer kennen die wesentlichen Entscheidungsgremiien und wissen wie Entscheidungen getroffen werden</t>
  </si>
  <si>
    <t>Die Teilnehmer lernen Entscheidungsunterstützungsmethoden kennen und verstehen welche Entscheidungen Sie selbst treffen können und welche von Gremine etc. getroffen werden.</t>
  </si>
  <si>
    <t>Die Teilnehmer sind in der Lage für ihre relevanten Umfänge Entscheidungen vorzubereiten oder selbst zu treffen und diese entsprechend zu dokumentieren. Sie können Methoden der Entscheidungsunterstützung (z.B. Nutzwertanalyse) anwenden.</t>
  </si>
  <si>
    <t>Die Teilnehmer können Entscheidungen bewerten und  sind in der Lage übergreifende Entscheidungsgremien zu definieren und etablieren. Sie können gute Guidlines für das treffen von Entscheidungen definieren.</t>
  </si>
  <si>
    <t>Entscheidungsstrategie
Auswertung von Alternativen
Aufzeichnung der Entscheidungen
Risikoprofile
Risikoidentifikation
Umgang mit Risiken (Planung, Maßnahmen)
Präventive Maßnahmen
Technologische Einordnung Projekt</t>
  </si>
  <si>
    <t>Der Teilnehmer kennt die Vorteile eines etablierten Informations- und Wissensmanagements.</t>
  </si>
  <si>
    <t>Der Teilnehmer kennt die wesentlichen Plattformen für einen Wissen-Transfer und weiß, welche Informationen an wen weitergegeben werden müssen.</t>
  </si>
  <si>
    <t>Der Teilnehmer kennt die wesentlichen Plattformen für einen Wissen-Transfer. Er ist in der Lage Ablagestrukturen und Dokumentationsrichtlinien für Projekte zu definieren und kann die relevanten Informationen an der entsprechenden Stelle zur Verfügung stellen.</t>
  </si>
  <si>
    <t xml:space="preserve">Der Teilnehmer kann einen umfangreichen Informationsmanagementpriozess definieren. </t>
  </si>
  <si>
    <t xml:space="preserve">Kommunikationsplanung 
Informationsverteilung
Informationsspeicherung
</t>
  </si>
  <si>
    <t>Porzess. Der TN versteht die Notwendgkeit des Konfigurationsmanagements
Tool: Der TN weiß, in wechen Werkzeugen knfigurationen zu bilden sind.</t>
  </si>
  <si>
    <t>Prozess: Der Teilnehmer versteht das Vorgehen zur Festlegung von Konfigurationsitems. Er ist fähig die für ihn relevanten Konfigurationsitems zu erkennen und eine integre Konfiguration für seine relevanten Umfänge zu bilden.
Tool: Der TN ist in der Lage in dem(n) Werkzeug(en) für seine Umfänge zu bilden</t>
  </si>
  <si>
    <t>Prozess: Der Teilnehmer kann sinnvolle Konfigurationsitems definieren. Er ist fähig die für ihn relevanten Konfigurationsitems zu erkennen und eine integre Konfiguration für seine relevanten Umfänge zu bilden.
Tool: Der TN ist in der Lage in dem(n) Werkzeug(en) Konfigurationsitems zu definieren und für seine Umfänge zu bilden</t>
  </si>
  <si>
    <t>Prozess: Er ist fähig alle  relevanten Konfigurationsitems zu erkennen und eine integre Konfiguration  über alle Konfigurationsitems zu bilden. Er ist in der Lage Verbesserungen zu indetifizieren und Lösungsvorschläge herauszuarbeiten. Er kann andere beim bilden von Konfigurationen unterstützen.
Tool: Der TN ist in der Lage in dem(n) Werkzeug(en) Konfigurationsitems zu definieren und für alle Umfänge eine Konfiguration zu bilden.</t>
  </si>
  <si>
    <t>Konfigurationsitem
Konfigurationen bilden 
Konfigurationskontrolle
Konfigurationskontrollzyklus (V&amp;V, Auswertung, Freigabe)
Konfigurationsdokumentation
Baselines
Änderungsmanagement</t>
  </si>
  <si>
    <t>Implementierung</t>
  </si>
  <si>
    <t>Die Fähigkeit ein System, Subsystem, Komponente entsprechend der Vorgaben zu realisieren.</t>
  </si>
  <si>
    <t xml:space="preserve">generischer </t>
  </si>
  <si>
    <t>Qualifizierungsplan</t>
  </si>
  <si>
    <t>Kundenvertreter ohne Vorwissen</t>
  </si>
  <si>
    <t>Modul</t>
  </si>
  <si>
    <t>Kompetenz / Module</t>
  </si>
  <si>
    <t>Niveau</t>
  </si>
  <si>
    <t>Übergeordnete Lernziele</t>
  </si>
  <si>
    <t>Inhaltsempferhlung</t>
  </si>
  <si>
    <t>Format Empfehlung</t>
  </si>
  <si>
    <t>Modul 1</t>
  </si>
  <si>
    <t>Modul 2</t>
  </si>
  <si>
    <t>Modul 3</t>
  </si>
  <si>
    <t>Modul 4</t>
  </si>
  <si>
    <t>Modul 5</t>
  </si>
  <si>
    <t>Modul 6</t>
  </si>
  <si>
    <t>Modul 7</t>
  </si>
  <si>
    <t>Modul 8</t>
  </si>
  <si>
    <t>Modul 9</t>
  </si>
  <si>
    <t>Modul 10</t>
  </si>
  <si>
    <t>Modul 11</t>
  </si>
  <si>
    <t>Modul 12</t>
  </si>
  <si>
    <t>Modul 13</t>
  </si>
  <si>
    <t>Modul 14</t>
  </si>
  <si>
    <t>Modul 15</t>
  </si>
  <si>
    <t>Modul 16</t>
  </si>
  <si>
    <t>Unterscheidung:  Fähigkeit und Kompetenz:</t>
  </si>
  <si>
    <t>Unerlässliche Kompetenz</t>
  </si>
  <si>
    <t xml:space="preserve">Fähigkeit: angebordene oder konkret erlernte Fertigeit </t>
  </si>
  <si>
    <t>Kompetenz: Wissensbestände (Erfahrung) und Denkmethoden</t>
  </si>
  <si>
    <t>sinnvolle Kompetenz</t>
  </si>
  <si>
    <t>Quelle:</t>
  </si>
  <si>
    <t>INCOSE SE-Competency Framework</t>
  </si>
  <si>
    <t>nicht relevante Kompetenz</t>
  </si>
  <si>
    <t>Vertrags-Prozesse</t>
  </si>
  <si>
    <t>Organisatorische Projektbefähigungs-Prozesse</t>
  </si>
  <si>
    <t>Technischen Management Prozesse</t>
  </si>
  <si>
    <t>Technische Prozesse</t>
  </si>
  <si>
    <t>(INCOSE) Systems Engineering Professional Zertifizierung
Programm</t>
  </si>
  <si>
    <t>Agilität</t>
  </si>
  <si>
    <t>Kompetenzcluster</t>
  </si>
  <si>
    <t>Bewertung Joerg</t>
  </si>
  <si>
    <t>Bewertung Vivien</t>
  </si>
  <si>
    <t>Bewertung Ulf</t>
  </si>
  <si>
    <t>Ähnliche Kompetenz / Zusammenzuführen mit</t>
  </si>
  <si>
    <t>Steckbrief Nr. 1: Kundenvertreter</t>
  </si>
  <si>
    <t>Steckbrief Nr. 2: Projektleiter</t>
  </si>
  <si>
    <t>Steckbrief Nr. 3: Systementwickler</t>
  </si>
  <si>
    <t>Steckbrief Nr. 4: Fachentwickler</t>
  </si>
  <si>
    <t>Steckbrief Nr. 5: Produktionsplaner</t>
  </si>
  <si>
    <t>Steckbrief Nr. 6: Produktionsmitarbeiter</t>
  </si>
  <si>
    <t>Steckbrief Nr. 7: Qualitätsmanager</t>
  </si>
  <si>
    <t>Steckbrief Nr. 8: Interner Support</t>
  </si>
  <si>
    <t>Steckbrief Nr. 9: Prozess- und Richtlinien-verantwortlicher</t>
  </si>
  <si>
    <t>Steckbrief Nr. 10: Servicetechniker</t>
  </si>
  <si>
    <t>Steckbrief Nr. 11: Innovations- und Strategiemanager</t>
  </si>
  <si>
    <t>Steckbrief Nr. 12: Management</t>
  </si>
  <si>
    <t>Steckbrief Nr. 13: V &amp; V</t>
  </si>
  <si>
    <t>Steckbrief Nr. 14: Kunde</t>
  </si>
  <si>
    <t>Akquisition</t>
  </si>
  <si>
    <t>Lieferung</t>
  </si>
  <si>
    <t>Lebenszyklus-Modell-Management</t>
  </si>
  <si>
    <t>Verwaltung der Infrastruktur</t>
  </si>
  <si>
    <t>Portfoliomanagement</t>
  </si>
  <si>
    <t>Personalwesen-Management</t>
  </si>
  <si>
    <t>Qualitätsmanagement</t>
  </si>
  <si>
    <t>Wissensmanagement</t>
  </si>
  <si>
    <t>Projektierung</t>
  </si>
  <si>
    <t>Projektbewertung und Steuerung</t>
  </si>
  <si>
    <t>Risiko-Management</t>
  </si>
  <si>
    <t>Messung</t>
  </si>
  <si>
    <t>Qualitätssicherungsprozess</t>
  </si>
  <si>
    <t>Geschäfts- oder Einsatzanalyse</t>
  </si>
  <si>
    <t>Definition von Bedürfnissen und Anforderungen der Stakeholder</t>
  </si>
  <si>
    <t>Definition der Systemanforderungen</t>
  </si>
  <si>
    <t>Definition der Architektur</t>
  </si>
  <si>
    <t>Entwurfsdefinition</t>
  </si>
  <si>
    <t>System-Analyse</t>
  </si>
  <si>
    <t>Integration</t>
  </si>
  <si>
    <t>Verifizierung</t>
  </si>
  <si>
    <t>Überleitung</t>
  </si>
  <si>
    <t>Validierung</t>
  </si>
  <si>
    <t>Betrieb</t>
  </si>
  <si>
    <t>Wartung</t>
  </si>
  <si>
    <t>Entsorgung</t>
  </si>
  <si>
    <t>Anforderungsanalyse</t>
  </si>
  <si>
    <t>System- und Entscheidungsanalyse</t>
  </si>
  <si>
    <t>Architektur-/Designentwicklung</t>
  </si>
  <si>
    <t>System-Integration</t>
  </si>
  <si>
    <t>Verifizierung und Validierung</t>
  </si>
  <si>
    <t>Systembetrieb und Wartung</t>
  </si>
  <si>
    <t>Technische Planung</t>
  </si>
  <si>
    <t>Technische Überwachung und Steuerung</t>
  </si>
  <si>
    <t>Beschaffung und Versorgung</t>
  </si>
  <si>
    <t>Informations- und Konfigurationsmanagement</t>
  </si>
  <si>
    <t>Definition und Verwaltung von Lebenszyklusprozessen</t>
  </si>
  <si>
    <t>Spezialisierte Technik</t>
  </si>
  <si>
    <t>Organisatorische projektbegleitende Aktivitäten</t>
  </si>
  <si>
    <t>Andere</t>
  </si>
  <si>
    <t>Transformation und Veränderung</t>
  </si>
  <si>
    <t>Agile Projektplanung und -durchführung</t>
  </si>
  <si>
    <t>CORE COMPETENCIES</t>
  </si>
  <si>
    <t>Systems Thinking</t>
  </si>
  <si>
    <t>KERNKOMPETENZEN</t>
  </si>
  <si>
    <t>Kernkompetenzen unterstützen das Engineering als auch das Systems Engineering.</t>
  </si>
  <si>
    <t>Die Kompetenz fundamentale Konzepte des Systemdenkens im Systems Engineering anzuwenden.</t>
  </si>
  <si>
    <t>nicht notwendig</t>
  </si>
  <si>
    <t>Lifecycles</t>
  </si>
  <si>
    <t>Lebenszyklen</t>
  </si>
  <si>
    <t>Die Fähigkeit während der Realisierung eines Systems die richtigen Lebenszyklen zu selektieren.</t>
  </si>
  <si>
    <t>wünschenswert</t>
  </si>
  <si>
    <t>Capability Engineering</t>
  </si>
  <si>
    <t>Die Kompetenz zu verstehen, welche Rolle das  SOI in einem Gesamtsystem spielt, von dem es ein Teil ist.</t>
  </si>
  <si>
    <t>erforderlich</t>
  </si>
  <si>
    <t>General Engineering</t>
  </si>
  <si>
    <t>Allgemeines Engineering</t>
  </si>
  <si>
    <t>Das Vorhandensein von grundlegenden Fähigkeiten in Mathematik, Naturwissenschaft, Engineering und den dazugehörigen Werkzeugen/Anwendungen.</t>
  </si>
  <si>
    <t>Critical Thinking</t>
  </si>
  <si>
    <t>Kritisches Denken</t>
  </si>
  <si>
    <t>Die Kompetenz ein Thema objektiv zu analysieren und zu evaluieren, um sich ein Urteil darüber zu bilden.</t>
  </si>
  <si>
    <t>Systems Modelling and Analysis</t>
  </si>
  <si>
    <t>Die Fähigkeit exakte Daten und Informationen mit HIlfe von Modellen bereitzustellen, um das technische Verständnis und das Treffen von Entscheidungen zu unterstützen.</t>
  </si>
  <si>
    <t>PROFESSIONAL COMPETENCIES</t>
  </si>
  <si>
    <t>Communications</t>
  </si>
  <si>
    <t>FÜHRUNGSKOMPETENZEN?</t>
  </si>
  <si>
    <t>Kommunikation</t>
  </si>
  <si>
    <t>Fähigkeit konstruktiv, effizient und bewusst zu kommunizieren</t>
  </si>
  <si>
    <t>Ethics and Professionalism</t>
  </si>
  <si>
    <t>Ethik und Professionalität</t>
  </si>
  <si>
    <t>Menschenwürdige und faire Gestaltung der Beziehung zwischen Mitarbeitern und Vorgesetzten</t>
  </si>
  <si>
    <t>Technical Leadership</t>
  </si>
  <si>
    <t>Technische Führung</t>
  </si>
  <si>
    <t>Die Fähigkeit geeignete Ziele für ein SOI auszuwählen und mit einem Team zu erreichen</t>
  </si>
  <si>
    <t>Negotiation</t>
  </si>
  <si>
    <t>Verhandlung</t>
  </si>
  <si>
    <t>Verhandlungskompetenzen vereinen die Komponenten der Fachkompetenzen, Methodenkompetenzen, Persönlichkeitskompetenzen, Managementkompetenz, Sozialkompetenz, Führungskompetenz und Handlungskompetenz.</t>
  </si>
  <si>
    <t>Team Dynamics</t>
  </si>
  <si>
    <t>Teamdynamik</t>
  </si>
  <si>
    <t>Fähigkeit ein Team in seinem Zusammenhalt, der Kreativität und der Effizienz zu stärken. Geht als Vorbild voran.</t>
  </si>
  <si>
    <t>Facilitation</t>
  </si>
  <si>
    <t>Unterstützung/ Vermittlung</t>
  </si>
  <si>
    <t>Die Fähigkeit andere bei der Lösung von Problemen zu unterstützen, ohne das Problem selbst zu lösen.</t>
  </si>
  <si>
    <t>Emotional Intelligence</t>
  </si>
  <si>
    <t>Emotionale Intelligenz</t>
  </si>
  <si>
    <t>Ist die Fähigkeit, eigene Gefühle und die der anderen Menschen zu erfassen, korrekt einzustufen und Handlungen daraus abzuleiten.</t>
  </si>
  <si>
    <t>Coaching and Mentoring</t>
  </si>
  <si>
    <t>Coaching und Mentoring</t>
  </si>
  <si>
    <t>Ist in der Lage die einzelnen Mitarbeiter darin zu bestärken "die Dinge richtig tun" und "die richtigen Dinge" zu tun. Ziele können so besser analysiert und erreicht werden.</t>
  </si>
  <si>
    <t>TECHNICAL COMPETENCIES</t>
  </si>
  <si>
    <t>Requirements Definition</t>
  </si>
  <si>
    <t>FACHKOMPETENZEN</t>
  </si>
  <si>
    <t xml:space="preserve">Fähigkeit, Aufgaben auszuführen, die in erster Linie mit der Reihe von technischen Prozessen verbunden sind. </t>
  </si>
  <si>
    <t>Definition von Anforderungen</t>
  </si>
  <si>
    <t>Analyse der Bedürfnisse und Erwartungen der Stakeholder, zur Festlegung der Anforderungen für ein System</t>
  </si>
  <si>
    <t>System Architecting</t>
  </si>
  <si>
    <t>System-Architektur</t>
  </si>
  <si>
    <t>Die Definition Systemstruktur,
Schnittstellen und der damit verbundenen abgeleiteten Anforderungen zur Entwicklung einer implementierbaren Lösung.</t>
  </si>
  <si>
    <t>Schnittstellen</t>
  </si>
  <si>
    <t>Design for…</t>
  </si>
  <si>
    <t>Entwurf für...</t>
  </si>
  <si>
    <t>Sicherstellen, dass die Anforderungen aller Lebenszyklus Phasen an die richtige Stelle im Systementwurf addressiert werden.</t>
  </si>
  <si>
    <t xml:space="preserve">
Der logische Prozess zur Zusammenstellung einer Menge von Systemelementen und Aggregaten zu dem realisierten System, Produkt oder Dienstleistung</t>
  </si>
  <si>
    <t>Verfikation, Validierung</t>
  </si>
  <si>
    <t>Interfaces</t>
  </si>
  <si>
    <t>Die Identifikation, Definition und Steuerung von Wechselwirkungen über System- oder Systemelementgrenzen</t>
  </si>
  <si>
    <t>Verification</t>
  </si>
  <si>
    <t>Ein formaler Prozess zur Erlangung eines objektiven Nachweis, dass ein System seine spezifizierten Anforderungen und Eigenschaften erfüllt.</t>
  </si>
  <si>
    <t>Integration, Validierung</t>
  </si>
  <si>
    <t>Validation</t>
  </si>
  <si>
    <t>Ein formaler Prozess zur Erlangung eines objektiven Nachweis, dass das System seiner beabsichtigten Verwendung in der vorgesehenen Einsatzumgebung erreicht</t>
  </si>
  <si>
    <t>Integration, Verifizierung</t>
  </si>
  <si>
    <t>Transition</t>
  </si>
  <si>
    <t>Integration eines geprüften Systems in seine Betriebsumgebung</t>
  </si>
  <si>
    <t>Operation and Support</t>
  </si>
  <si>
    <t>Betrieb und Support</t>
  </si>
  <si>
    <t>Wenn das System im Betrieb ist, seine Fähigkeiten/Funktionalitäten über seine Lebensdauer aufrechterhalten wird.</t>
  </si>
  <si>
    <t>Service / Instandhaltung</t>
  </si>
  <si>
    <t>MANAGEMENT COMPETENCIES</t>
  </si>
  <si>
    <t>Planning</t>
  </si>
  <si>
    <t>MANAGEMENT-KOMPETENZEN</t>
  </si>
  <si>
    <t>Die Fähigkeit die Aufgaben zu erledigen, die notwendig sind, um Systems Engineering Aktivitäten zu überwachen und zu managen.</t>
  </si>
  <si>
    <t>Planung</t>
  </si>
  <si>
    <t>Die Fähigkeit effektive bearbeitbare interdisziplinäre Plänen zu erstellen, zu koordinieren und zu überprüfen</t>
  </si>
  <si>
    <t>Monitoring and Control</t>
  </si>
  <si>
    <t>Überwachung und Steuerung</t>
  </si>
  <si>
    <t>Die Fähigkeit laufende Projekten zu bewerten, ob die Pläne noch erreichbar und passend sind.</t>
  </si>
  <si>
    <t>Decision Management</t>
  </si>
  <si>
    <t>Die Fähigkeit strukturiert und analytisch ein objektives Set von Alternativen zu identifizieren, zu charakterisieren und zu evaluieren.</t>
  </si>
  <si>
    <t>Concurrent Engineering</t>
  </si>
  <si>
    <t>Gleichzeitige Entwicklung</t>
  </si>
  <si>
    <t>Die Kompetenz Arbeitsmethodiken und Aufgaben zu parallelisieren</t>
  </si>
  <si>
    <t>Business &amp; Enterprise Integration</t>
  </si>
  <si>
    <t>Geschäfts- und Unternehmensintegration</t>
  </si>
  <si>
    <t xml:space="preserve">Die Fähigkeit  Bedarfe und Anforderungen von anderen internen Stakeholdern bei der Systemenwicklung zu berücksichtigen. </t>
  </si>
  <si>
    <t>Acquisition and Supply</t>
  </si>
  <si>
    <t>Die Fähigkeit ein Produk oder einen Services entsprechend der Anforderungen zu liefern/ zu erhalten</t>
  </si>
  <si>
    <t>Information Management</t>
  </si>
  <si>
    <t>Configuration Management</t>
  </si>
  <si>
    <t>Risk and Opportunity Management</t>
  </si>
  <si>
    <t>Die Fähigkeit unsichere Events  zu identifizieren und zu minimieren oder Potentiale von unsicheren Events zu maximieren.</t>
  </si>
  <si>
    <t>INTEGRATION COMPETENCIES</t>
  </si>
  <si>
    <t>Project Management</t>
  </si>
  <si>
    <t>INTEGRATIONSKOMPETENZEN</t>
  </si>
  <si>
    <t>Die Kompetenzgruppe erkennt Systems Engineeringn als eine integrierende Disziplin, die Aktivitäten sowie Erfahrungen und Gedanken von Spezialisten aus andernen Fachbereichen zusammenführt, sodass ein Großes Ganzes geschaffen wird.</t>
  </si>
  <si>
    <t>Die Fähigkeit Aktivitäten zu identifizieren, planen und koordinieren, um ein zufriedenstellendes System, Produkt oder Service mit angemessener Qualität zu liefern.</t>
  </si>
  <si>
    <t>Finanzen, Qualität</t>
  </si>
  <si>
    <t>Finance</t>
  </si>
  <si>
    <t>Finanzen</t>
  </si>
  <si>
    <t>Die Fähigkeit Kosten, die im Zusammenhang mit dem Projekt entstehen, zu kalkulieren und nachzuverfolgen.</t>
  </si>
  <si>
    <t>Projektmanagement, Qualität</t>
  </si>
  <si>
    <t>Logistics</t>
  </si>
  <si>
    <t>Die Fähigkeit ein Produkt, welches dem Endnutzer ausgehändigt wurden, zu betreuen und warten.</t>
  </si>
  <si>
    <t>Quality</t>
  </si>
  <si>
    <t>Qualität</t>
  </si>
  <si>
    <t>Die Fähigkeit Kundenzufriedenheit durch die Kontrolle von entscheidenen Produktmerkmalen zu erreichen.</t>
  </si>
  <si>
    <t>Projektmanagement, Finanzen</t>
  </si>
  <si>
    <t>Agilitäts-Kompetenzen</t>
  </si>
  <si>
    <t>Die Fähigkeit Projekte und Produktentwicklung in einem agilen Umfeld erfolgreich zu steuern und abzuwickeln</t>
  </si>
  <si>
    <t xml:space="preserve">Die Fähigkeit sich selbst organiseren zu können. </t>
  </si>
  <si>
    <t>Veränderung, Agile Methodenkompetenz, Selbstkompetenz</t>
  </si>
  <si>
    <t>Veränderung</t>
  </si>
  <si>
    <t>Die Kompetenz mit Änderungen und Veränderungen um zugehen und diese mit zu gestalten. Die Fähigkeit neue Methoden, Denkweisen, Fähigkeiten etc. anzunehmen und zu erlernen.</t>
  </si>
  <si>
    <t>Die Fähigkeit  Methoden anzuwenden, welche die Agilenwerte im Projektkontext unterstützen</t>
  </si>
  <si>
    <t>Selbstkompetenz</t>
  </si>
  <si>
    <t>Die Kompetenz zu wissen, wer man ist, zu erkennen, wo man hin möchte und die Fähigkeit, proaktiv auf das Erreichen seiner Ziele hinzuarbeiten.</t>
  </si>
  <si>
    <t>Advertise the acquisition and select the supplier</t>
  </si>
  <si>
    <t>Establish and maintain an agreement</t>
  </si>
  <si>
    <t>Monitor agreement</t>
  </si>
  <si>
    <t>Accept the product or service</t>
  </si>
  <si>
    <t>Respond to a tender</t>
  </si>
  <si>
    <t>Execute the agreement</t>
  </si>
  <si>
    <t>Deliver and support the product or service</t>
  </si>
  <si>
    <t>Asess the process</t>
  </si>
  <si>
    <t>Improve the process</t>
  </si>
  <si>
    <t>Maintain the infrastructure</t>
  </si>
  <si>
    <t>Evaluate the portfolio of projects</t>
  </si>
  <si>
    <t>Terminate projects</t>
  </si>
  <si>
    <t>Develop skills</t>
  </si>
  <si>
    <t>Acquirce and provide skills</t>
  </si>
  <si>
    <t>Assess quality management</t>
  </si>
  <si>
    <t>Perform quality management corrective and preventive action</t>
  </si>
  <si>
    <t>Share knowledge and skills throughout the organization</t>
  </si>
  <si>
    <t>Share knowledge assests throughout the organization</t>
  </si>
  <si>
    <t>Manage knowledge, skills and knowledge assets</t>
  </si>
  <si>
    <t>Plan project and technical management</t>
  </si>
  <si>
    <t>Activate the project</t>
  </si>
  <si>
    <t>Assess the project</t>
  </si>
  <si>
    <t>Control the project</t>
  </si>
  <si>
    <t>Analyse the decision information</t>
  </si>
  <si>
    <t>Make and manage decisions</t>
  </si>
  <si>
    <t>Manage the risk profile</t>
  </si>
  <si>
    <t>Analyze risks</t>
  </si>
  <si>
    <t>Treat risks</t>
  </si>
  <si>
    <t>Monitor risks</t>
  </si>
  <si>
    <t>Perform configuration identification</t>
  </si>
  <si>
    <t>Perform configuration change management</t>
  </si>
  <si>
    <t>Perform configuration status accounting</t>
  </si>
  <si>
    <t>Perform configuration evaluation</t>
  </si>
  <si>
    <t>Perform release control</t>
  </si>
  <si>
    <t>Perform information management</t>
  </si>
  <si>
    <t>Perform measurement</t>
  </si>
  <si>
    <t>Perform product and service evaluations</t>
  </si>
  <si>
    <t>Perform process evaluations</t>
  </si>
  <si>
    <t>Manage quality assurance records and reports</t>
  </si>
  <si>
    <t>Definie the problem or opportunity space</t>
  </si>
  <si>
    <t>Characterize the solution space</t>
  </si>
  <si>
    <t>Evaluate alternative solution classes</t>
  </si>
  <si>
    <t>Manage business or mission analysis</t>
  </si>
  <si>
    <t>Define stakeholder needs</t>
  </si>
  <si>
    <t>Develop the operational concept and other life cycle concepts</t>
  </si>
  <si>
    <t>Transform stakeholder needs into stakeholder requirements</t>
  </si>
  <si>
    <t>Analysis stakeholder requirements</t>
  </si>
  <si>
    <t>Manage the stakeholder needs and requirements defintions</t>
  </si>
  <si>
    <t>Define system requirements</t>
  </si>
  <si>
    <t>Analyze system requirements</t>
  </si>
  <si>
    <t>Manage system requirements</t>
  </si>
  <si>
    <t>Develop architecture viewpoints</t>
  </si>
  <si>
    <t>Develop models and views of candidate architectures</t>
  </si>
  <si>
    <t>Relate the architecture to design</t>
  </si>
  <si>
    <t>Access architecture candidates</t>
  </si>
  <si>
    <t>Manage the selected architecture</t>
  </si>
  <si>
    <t>Establish design characteristics and design enablers related to each system element</t>
  </si>
  <si>
    <t>Access alternative for optaining system elements</t>
  </si>
  <si>
    <t>Manage the design</t>
  </si>
  <si>
    <t>Perform system analysis</t>
  </si>
  <si>
    <t>Manage system analysis</t>
  </si>
  <si>
    <t>Perform implementation</t>
  </si>
  <si>
    <t>Manage results of implementation</t>
  </si>
  <si>
    <t>Perform integration - Successively integrate system element configurations until the complete system is synthesized</t>
  </si>
  <si>
    <t>Manage results of integration</t>
  </si>
  <si>
    <t>Perform verification</t>
  </si>
  <si>
    <t>Manage results of verification</t>
  </si>
  <si>
    <t>Perform the transition</t>
  </si>
  <si>
    <t>Manage results of transition</t>
  </si>
  <si>
    <t>Perform validation</t>
  </si>
  <si>
    <t>Manage results of validation</t>
  </si>
  <si>
    <t>Perform operation</t>
  </si>
  <si>
    <t>Manage results of operation</t>
  </si>
  <si>
    <t>Support the customer</t>
  </si>
  <si>
    <t>Perform maintenance</t>
  </si>
  <si>
    <t>Perform logistics support</t>
  </si>
  <si>
    <t>Manage results of maintenance and logistics</t>
  </si>
  <si>
    <t>Perform disposal</t>
  </si>
  <si>
    <t>Finalize the disposal</t>
  </si>
  <si>
    <t>0 = nicht relevant
1 = sinnvoll
3 = notwendig</t>
  </si>
  <si>
    <t>Weiterentwicklung (Teil von Lifycle-model-management)</t>
  </si>
  <si>
    <t>Ausschreibungen machen und den Lieferanten auswählen</t>
  </si>
  <si>
    <t>Vereinbarung einrichten und aufrechterhalten</t>
  </si>
  <si>
    <t>Vereinbarung überwachen</t>
  </si>
  <si>
    <t>Abnehmen des Produkts oder der Dienstleistung</t>
  </si>
  <si>
    <t>Reagieren auf ein Angebot / Auftragsbestätigung</t>
  </si>
  <si>
    <t>Aufsetzen und Pflegen eines Vertrag</t>
  </si>
  <si>
    <t>Ausführen der Vereinbarung</t>
  </si>
  <si>
    <t>Liefern und unterstützen des Produkts oder der Dienstleistung</t>
  </si>
  <si>
    <t>Bewertung des Prozess</t>
  </si>
  <si>
    <t>Verbesserung des Prozess</t>
  </si>
  <si>
    <t>Wartung der Infrastruktur</t>
  </si>
  <si>
    <t xml:space="preserve">Auswerten des Projektportfolios </t>
  </si>
  <si>
    <t>Abschließen von Projekten</t>
  </si>
  <si>
    <t xml:space="preserve">Weiterentwicklung von Fähigkeiten </t>
  </si>
  <si>
    <t xml:space="preserve">Erwerb und Bereitstellung von Fähigkeiten </t>
  </si>
  <si>
    <t>Bewertung des Qualitätsmanagement durchführen</t>
  </si>
  <si>
    <t xml:space="preserve">Durchführen von Qualitätsmanagement-Korrektur- und Vorbeugemaßnahmen </t>
  </si>
  <si>
    <t>Wissen und Fähigkeiten in der gesamten Organisation teilen</t>
  </si>
  <si>
    <t>Teilen der Wissensbestände in der gesamten Organisation</t>
  </si>
  <si>
    <t>Verwaltung von Wissen, Fähigkeiten und Wissensbeständen</t>
  </si>
  <si>
    <t>Planen des Projekt- und technischen Managements</t>
  </si>
  <si>
    <t>Aktivieren des Projekts</t>
  </si>
  <si>
    <t>Projektbewertung</t>
  </si>
  <si>
    <t>Projektkontrolle</t>
  </si>
  <si>
    <t>Analysieren der Entscheidungsinformationen</t>
  </si>
  <si>
    <t>Entscheidungen treffen und verwalten</t>
  </si>
  <si>
    <t>Das Risikoprofil managen</t>
  </si>
  <si>
    <t>Risiken analysieren</t>
  </si>
  <si>
    <t>Risiken behandeln</t>
  </si>
  <si>
    <t>Risiken überwachen</t>
  </si>
  <si>
    <t>Konfigurationsidentifikation durchführen</t>
  </si>
  <si>
    <t>Konfigurationsänderungsmanagement durchführen</t>
  </si>
  <si>
    <t>Konfigurationsstatus-Verwaltung durchführen</t>
  </si>
  <si>
    <t>Konfigurationsauswertung durchführen</t>
  </si>
  <si>
    <t>Freigabekontrolle durchführen</t>
  </si>
  <si>
    <t>Informationsmanagement durchführen</t>
  </si>
  <si>
    <t>Messung durchführen</t>
  </si>
  <si>
    <t>Produkt- und Dienstleistungsevaluierungen durchführen</t>
  </si>
  <si>
    <t>Durchführen von Prozessbewertungen</t>
  </si>
  <si>
    <t>Verwalten von Qualitätssicherungsaufzeichnungen und -berichten</t>
  </si>
  <si>
    <t>Definieren des Problem- oder Chancenraums</t>
  </si>
  <si>
    <t>Charakterisieren des Lösungsraum</t>
  </si>
  <si>
    <t>Bewerten von alternativen Lösungsklassen</t>
  </si>
  <si>
    <t>Verwalten der Geschäfts- oder Einsatzanalyse</t>
  </si>
  <si>
    <t>Definieren der Stakeholder-Bedürfnisse</t>
  </si>
  <si>
    <t>Entwickeln des Betriebskonzepts und anderer Lebenszykluskonzepte</t>
  </si>
  <si>
    <t>Umwandeln der Stakeholder-Bedürfnisse in Stakeholder-Anforderungen</t>
  </si>
  <si>
    <t>Analysieren der Stakeholder-Anforderungen</t>
  </si>
  <si>
    <t>Verwalten der Stakeholder-Bedürfnisse und Anforderungsdefinitionen</t>
  </si>
  <si>
    <t>Definieren von Systemanforderungen</t>
  </si>
  <si>
    <t>Analysieren von Systemanforderungen</t>
  </si>
  <si>
    <t>Verwalten von Systemanforderungen</t>
  </si>
  <si>
    <t>Entwickeln von Architektur-Sichtweisen</t>
  </si>
  <si>
    <t>Entwickeln von Modellen und Sichten auf mögliche Architekturen</t>
  </si>
  <si>
    <t>Verknüpfen der Architektur mit dem Design</t>
  </si>
  <si>
    <t>Zugreifen auf Architekturkandidaten</t>
  </si>
  <si>
    <t>Verwalten der ausgewählten Architektur</t>
  </si>
  <si>
    <t>Festlegen von Designmerkmalen und Design-Enablern (z.B. Models, Gleichungen, Kalkulationen, Algorithmen, Parameterwerte, Muster,…) in Bezug auf jedes Systemelement</t>
  </si>
  <si>
    <t>Zugreifen auf Alternativen zur Auswahl von Systemelementen</t>
  </si>
  <si>
    <t>Verwalten des Designentwurfs</t>
  </si>
  <si>
    <t>Durchführen der Systemanalyse</t>
  </si>
  <si>
    <t>Verwalten der Systemanalyse</t>
  </si>
  <si>
    <t>Durchführen der Umsetzung</t>
  </si>
  <si>
    <t>Verwalten der Ergebnisse der Umsetzung</t>
  </si>
  <si>
    <t>Durchführen der Integration - Sukzessive Integration von Systemelementkonfigurationen, bis das komplette System synthetisiert ist</t>
  </si>
  <si>
    <t>Verwalten der Ergebnisse der Integration</t>
  </si>
  <si>
    <t>Durchführen der Verifikation</t>
  </si>
  <si>
    <t>Verwalten der Ergebnisse der Verifikation</t>
  </si>
  <si>
    <t>Durchführen der Übergabe</t>
  </si>
  <si>
    <t>Verwalten der Ergebnisse der Übergabe</t>
  </si>
  <si>
    <t>Durchführen der Validierung</t>
  </si>
  <si>
    <t>Verwalten der Ergebnisse der Validierung</t>
  </si>
  <si>
    <t>Durchführen des Betriebs</t>
  </si>
  <si>
    <t>Verwalten der Ergebnisse des Betriebs</t>
  </si>
  <si>
    <t>Unterstützen des Kunden</t>
  </si>
  <si>
    <t>Durchführen der Wartung</t>
  </si>
  <si>
    <t>Ausführen der logistischen Unterstützung</t>
  </si>
  <si>
    <t>Verwalten der Ergebnisse von Wartung und Logistik</t>
  </si>
  <si>
    <t>Durchführen der Entsorgung</t>
  </si>
  <si>
    <t>Abschließen der Entsorgung</t>
  </si>
  <si>
    <t>Recherchieren, Diagnostizieren, Fehlerbehebung und Identifizieren von Lösungen zur Behebung von Problemen</t>
  </si>
  <si>
    <t>Eskalation von ungelösten Problemen</t>
  </si>
  <si>
    <t>Gezieltes Befragen der Organisationseinheit, um die Ursache des Problems schnell zu erfassen</t>
  </si>
  <si>
    <t>Die Organisationseinheit am Telefon, per E-Mail oder im Chat durch eine Reihe von Vorgängen führen, bis sie ein Problem gelöst haben</t>
  </si>
  <si>
    <t>Zuhilfenahme der internen Datenbank oder externer Quellen zur Vorlage von korrekten (technischen) Methoden- oder Tool-Lösungen</t>
  </si>
  <si>
    <t>Sicherstellen, dass alle Lösungen ordnungsgemäß protokolliert werden</t>
  </si>
  <si>
    <t>Priorisieren und Verwalten von mehreren offenen Problemen gleichzeitig</t>
  </si>
  <si>
    <t>Dokumentieren von Fachwissen z.B. in Form von Notizen, Guidlines und Handbüchern</t>
  </si>
  <si>
    <t>Organisieren von (Workshop-)Terminen (digital oder physisch): Ort, Dauer, Teilnehmer</t>
  </si>
  <si>
    <t>Moderieren von (Methoden-)Workshops und anderen Projekt-Terminen</t>
  </si>
  <si>
    <t>Dokumentation von Workshops und deren Ergebnisse</t>
  </si>
  <si>
    <t>Vorbereitung der Anwendung von Methoden im Projekt</t>
  </si>
  <si>
    <t>Moderation und Anleitung der Methodenanwendung in einem begrenzten Zeitrahmen</t>
  </si>
  <si>
    <t>Aufnahme und Bewertung/Weitergabe (an SE-Weiterentwicklung) von Optimierungspotentialen für Methoden</t>
  </si>
  <si>
    <t>Schulungskonzepte entwickeln, festlegen und kommunzieren</t>
  </si>
  <si>
    <t>Schulungsinhalte erarbeiten, koordinieren, abstimmen</t>
  </si>
  <si>
    <t>Schulungen planen, verwalten</t>
  </si>
  <si>
    <t>Schulungen durchführen (lassen)</t>
  </si>
  <si>
    <t>Schulungsfeedback einholen und Schulungen verbessern</t>
  </si>
  <si>
    <t>Sicherstellen der korrekten Anwendung/ Durchführung von Methoden &amp; Tools</t>
  </si>
  <si>
    <t>Die Anforderungen der Stakeholder werden herausgearbeitet, d.h. kritische und erwünschte Systemleistungen definiert, sowie Szenarien für die Konzeptdokumente betrachtet.</t>
  </si>
  <si>
    <t>Hauptverantwortlichkeit klären, Zuordnung anhand von Unternehmensgröße, interne/externe Anforderungen</t>
  </si>
  <si>
    <t>Die Anforderungsliste wird auf Vollständigkeit, Eindeutigkeit und Widerspruchsfreiheit hinterfragt. Änderungen werden verhandelt und dokumentiert.</t>
  </si>
  <si>
    <t>Durchführung von System-Ingenieur, Entwickler und V&amp;V</t>
  </si>
  <si>
    <t>Funktionale Anfroderungen sowie Leistungskennzahlen werden festgelegt. Systemgrenzen und Schnittstellenspezifikationen werden ebenfalls festgelegt.</t>
  </si>
  <si>
    <t>(Systemgrenzen, Systemfunktionen, Nutzungsumgebung, Gestaltungsaspekte, funktionale Grenzen &amp; Leistungskennzahlen)</t>
  </si>
  <si>
    <t>detailliert: eher Entwickler steckt drin</t>
  </si>
  <si>
    <t>Idee: pop-Up Menü</t>
  </si>
  <si>
    <t xml:space="preserve">Systemanforderungen werden analysiert und gepflegt. Verifikationskriterien werden festgelegt. </t>
  </si>
  <si>
    <t>(Festelegen der Verifikationskriterien, siehe Verifikationsprozess)</t>
  </si>
  <si>
    <t>I = Hol- oder Bringschuld</t>
  </si>
  <si>
    <t>Es folgt die Erstellung einer logisch schlüssigen Architektur.</t>
  </si>
  <si>
    <t>(logische Architektur, Schnittstellen &amp; Wechselwirkungen, Definieren der Verifizierungs- und Validierungskriterien)</t>
  </si>
  <si>
    <t>V&amp;V: Aufgabe ISO Validierung/Verfizierung</t>
  </si>
  <si>
    <t>Die verschiedenenen Gestaltungslösungen werden analysiert und bewertet.</t>
  </si>
  <si>
    <t>(Bewerten von Gestaltungslösungen)</t>
  </si>
  <si>
    <t>definierte Meilensteine? Dokumente? Approved</t>
  </si>
  <si>
    <t>Die detaillierten Produkt-, Prozess- und Materialspezifikationen werden fertiggestellt. Ebenso werden Unterlagen von Schulungen für Nutzer entwickelt.</t>
  </si>
  <si>
    <t>Aufgaben: Unterschied Verfikation</t>
  </si>
  <si>
    <t>Die Systemelemente werden nach Plan zusammengefügt. Die Schnittstellen werden verifiziert und validiert. Die Analysen werden dokumentiert und Änderungen festgehalten.</t>
  </si>
  <si>
    <t>(Zusammenführen der Systemelemente, Verifizieren und Validieren der Schnittstellen, Bestätigen der korrekten Funktionsweise)</t>
  </si>
  <si>
    <t xml:space="preserve">Verifikationsverfahren werden entwickelt. Die Erfüllung der Anforderungen werden versucht zu belegen. Die Daten werden in einer  Anforderungsverfolgungs-
und Verifikationsmatrix (RVTM) festgehalten. </t>
  </si>
  <si>
    <t>(Belegen der Erfüllung der Anforderungen, Dokumentation der Ergebnisse)</t>
  </si>
  <si>
    <t>Das System wird übergeben und entgegengenommen. Der Aufstellungsort wird vorbereitet und die Nutzer werden für den richtigen Umgang geschult. Auftretende Probleme nach der Installation des Systems werden dokumentiert.</t>
  </si>
  <si>
    <t>(Vorbereitung des Aufstellungsorts, Installation und Schulung)</t>
  </si>
  <si>
    <t>Durchführen der Validierung zum Nachweis der Erfüllung aller Stakeholder-Anforderungen. Korrekturmaßnahmen sind bei Fehlern abzuleiten. Die Validierungsergebnisse werden abgenommen.</t>
  </si>
  <si>
    <t>(Nachweis der Eignung des Systems, Empfehlen von Korrekturmaßnahmen und Abnahme der Validierungsergebnisse durch Stakeholder)</t>
  </si>
  <si>
    <t>alle Servicetätigkeiten, Kundenzufriedenheit</t>
  </si>
  <si>
    <t xml:space="preserve">Durchführen der Wartung, dies beinhaltet sowohl die Fehlerbehebung als auch die vorbeugende Instandhaltung. Die Tätigkeiten werden protokolliert und die Kundenzufriedenheit beobachtet. </t>
  </si>
  <si>
    <t>je nach Business Unit</t>
  </si>
  <si>
    <t>sind andere Rollen bei der Wartung (außer Service) involviert?</t>
  </si>
  <si>
    <t>Die Entsorgung wird durchgeführt, indem die Elemente demontiert und entfernt werden.</t>
  </si>
  <si>
    <t xml:space="preserve">Alle Entsorgungsaktivitäten werden dokumentiert. </t>
  </si>
  <si>
    <t>Diese Tabelle nicht nutzen bitte Kompetenz-Prozess nutzen!!</t>
  </si>
  <si>
    <t xml:space="preserve">Der Teilnehmer versteht die Wechselwirkung der einezelnen Komponenten die das System ausmacht. </t>
  </si>
  <si>
    <t>Projektierung/Projektplanung</t>
  </si>
  <si>
    <t>Geschäfts- oder Einsatzanalyseprozess:</t>
  </si>
  <si>
    <t xml:space="preserve">Prozess der Stakeholder-Bedürfnisse und Anforderungsdefinition: </t>
  </si>
  <si>
    <t xml:space="preserve">Prozess der Definition von Systemanforderungen: </t>
  </si>
  <si>
    <t>Prozess der Architekturdefinition:</t>
  </si>
  <si>
    <t>Prozess der Designdefinition:</t>
  </si>
  <si>
    <t>Prozess der Systemanalyse:</t>
  </si>
  <si>
    <t xml:space="preserve"> Umsetzungsprozess:</t>
  </si>
  <si>
    <t xml:space="preserve">Integrationsprozess: </t>
  </si>
  <si>
    <t xml:space="preserve">Verifikationsprozess: </t>
  </si>
  <si>
    <t xml:space="preserve">Übergabeprozess: </t>
  </si>
  <si>
    <t xml:space="preserve">Validierungsprozess: </t>
  </si>
  <si>
    <t xml:space="preserve">Betriebsprozess: </t>
  </si>
  <si>
    <t xml:space="preserve">Wartungsprozess: </t>
  </si>
  <si>
    <t xml:space="preserve">Entsorgungsprozess: </t>
  </si>
  <si>
    <t>Entscheidungs-management</t>
  </si>
  <si>
    <t>Konfigurations-management</t>
  </si>
  <si>
    <t>Informations-management</t>
  </si>
  <si>
    <t>Berücksichtigung von Systemlebenszyklus-phasen</t>
  </si>
  <si>
    <t>Kunden-Nutzenorientierung</t>
  </si>
  <si>
    <t>Anforderungs-management</t>
  </si>
  <si>
    <t>Archetyp</t>
  </si>
  <si>
    <t>Inhaltse</t>
  </si>
  <si>
    <t>Motivation</t>
  </si>
  <si>
    <t>Einstieg</t>
  </si>
  <si>
    <t>M-Ein</t>
  </si>
  <si>
    <t>ID</t>
  </si>
  <si>
    <t>Grundbegriffe des Systems Engineerings</t>
  </si>
  <si>
    <t>V-Modell, Lebenszyklusphasen</t>
  </si>
  <si>
    <t>Konzepte des Systems Engineerings</t>
  </si>
  <si>
    <t>Projektplanung und -steuerung</t>
  </si>
  <si>
    <t>Entscheidungs- und Konfigurationsmanagement</t>
  </si>
  <si>
    <t>technisches Management</t>
  </si>
  <si>
    <t>Organization-Enaling-Processes</t>
  </si>
  <si>
    <t>Umsetzungsplanung von SE</t>
  </si>
  <si>
    <t>MBSE</t>
  </si>
  <si>
    <t>Entscheidungsmanagement, Konfigurationsmanagement</t>
  </si>
  <si>
    <t>Agile Methodenkompetenz, Projektmanagement</t>
  </si>
  <si>
    <t>Betrieb, Service und Instandhaltung, Berücksichtigung von Systemlebenszyklusphasen</t>
  </si>
  <si>
    <t>Systemisches Denken, Berücksichtigung von Systemlebenszyklusphasen</t>
  </si>
  <si>
    <t>Soft-Skills</t>
  </si>
  <si>
    <t>Kommunikation &amp; Zusammenarbeit, Führen, Selbstorganisation</t>
  </si>
  <si>
    <t>Anforderungsmanagement Grundlagen</t>
  </si>
  <si>
    <t>Anforderungsmanagement Anwenden</t>
  </si>
  <si>
    <t>Architektur &amp; Design Anwenden</t>
  </si>
  <si>
    <t>Architektur &amp; Design inkl Implementierung Grundlagen</t>
  </si>
  <si>
    <t>Integration, Verifikation &amp; Validierung Anwenden</t>
  </si>
  <si>
    <t>M-Mot</t>
  </si>
  <si>
    <t>M-Term</t>
  </si>
  <si>
    <t>M_Kon</t>
  </si>
  <si>
    <t>M_Norm</t>
  </si>
  <si>
    <t>M-Anf-G</t>
  </si>
  <si>
    <t>M-Anf-Anw</t>
  </si>
  <si>
    <t>M-Arch-G</t>
  </si>
  <si>
    <t>M-Arch-Anw</t>
  </si>
  <si>
    <t>M-IVV-G</t>
  </si>
  <si>
    <t>M-IVV-Anw</t>
  </si>
  <si>
    <t>M-Serv</t>
  </si>
  <si>
    <t>M-MBSE</t>
  </si>
  <si>
    <t>M-Proj</t>
  </si>
  <si>
    <t>M-Entsch</t>
  </si>
  <si>
    <t>M-TechM</t>
  </si>
  <si>
    <t>M-Org_</t>
  </si>
  <si>
    <t>M-Ums</t>
  </si>
  <si>
    <t>M-Soft</t>
  </si>
  <si>
    <t>M-Entsch-anw</t>
  </si>
  <si>
    <t>Systemarchitekturgestaltung, Systemmodellierung und - analyse, Implementierung
Systemisches Denken</t>
  </si>
  <si>
    <t>Anforderungsmanagement, Systemmodellierung und -analyse, Kunden-Nutzenorientierung
Systemisches Denken</t>
  </si>
  <si>
    <t>Normen und Standards, ASPICE</t>
  </si>
  <si>
    <t>Gemeinsames Grundverständnis</t>
  </si>
  <si>
    <t>SE-Qualifizierungsarchetypen</t>
  </si>
  <si>
    <t>SE für Fürungskräfte</t>
  </si>
  <si>
    <t>Orientiweung in Pilotprojekt</t>
  </si>
  <si>
    <t>Bedarfsgerechte projektorientierte Schulungen</t>
  </si>
  <si>
    <t>kontinuierliche Begleitung</t>
  </si>
  <si>
    <t>Train the Trainer</t>
  </si>
  <si>
    <t>0 = nicht relevant
1 = unterstützt
2 = verantwortlich
3= gestaltet</t>
  </si>
  <si>
    <t>Weitere</t>
  </si>
  <si>
    <t>Management-
kompetenzen</t>
  </si>
  <si>
    <t>0 = nicht relevant
1 = sinnvoll
2 = notwendig
Prozess der ISO 15288</t>
  </si>
  <si>
    <t>Kompetenzen</t>
  </si>
  <si>
    <t>Indivudual User</t>
  </si>
  <si>
    <t>Highest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</si>
</sst>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theme="1"/>
      <name val="Arial"/>
      <family val="2"/>
    </font>
    <font>
      <sz val="11"/>
      <color theme="1"/>
      <name val="Calibri"/>
      <family val="2"/>
      <scheme val="minor"/>
    </font>
    <font>
      <u/>
      <sz val="10"/>
      <color theme="10"/>
      <name val="Arial"/>
      <family val="2"/>
    </font>
    <font>
      <sz val="10"/>
      <color rgb="FFFF0000"/>
      <name val="Arial"/>
      <family val="2"/>
    </font>
    <font>
      <b/>
      <sz val="10"/>
      <color theme="1"/>
      <name val="Arial"/>
      <family val="2"/>
    </font>
    <font>
      <b/>
      <sz val="11"/>
      <color rgb="FF000000"/>
      <name val="Calibri"/>
      <family val="2"/>
    </font>
    <font>
      <sz val="10"/>
      <color rgb="FF000000"/>
      <name val="Arial"/>
      <family val="2"/>
    </font>
    <font>
      <b/>
      <sz val="10"/>
      <color rgb="FF000000"/>
      <name val="Arial"/>
      <family val="2"/>
    </font>
    <font>
      <sz val="11"/>
      <color rgb="FFFF0000"/>
      <name val="Calibri"/>
      <family val="2"/>
      <scheme val="minor"/>
    </font>
    <font>
      <b/>
      <sz val="12"/>
      <color theme="1"/>
      <name val="Arial"/>
      <family val="2"/>
    </font>
    <font>
      <sz val="12"/>
      <color theme="1"/>
      <name val="Calibri"/>
      <family val="2"/>
      <scheme val="minor"/>
    </font>
    <font>
      <b/>
      <sz val="12"/>
      <color theme="1"/>
      <name val="Calibri"/>
      <family val="2"/>
      <scheme val="minor"/>
    </font>
    <font>
      <sz val="12"/>
      <color rgb="FFFF0000"/>
      <name val="Calibri"/>
      <family val="2"/>
      <scheme val="minor"/>
    </font>
    <font>
      <sz val="11"/>
      <name val="Calibri"/>
      <family val="2"/>
      <scheme val="minor"/>
    </font>
    <font>
      <sz val="10"/>
      <color theme="5"/>
      <name val="Arial"/>
      <family val="2"/>
    </font>
    <font>
      <b/>
      <sz val="12"/>
      <name val="Calibri"/>
      <family val="2"/>
      <scheme val="minor"/>
    </font>
    <font>
      <b/>
      <sz val="14"/>
      <color theme="1"/>
      <name val="Calibri"/>
      <family val="2"/>
      <scheme val="minor"/>
    </font>
    <font>
      <b/>
      <sz val="11"/>
      <color theme="1"/>
      <name val="Arial"/>
      <family val="2"/>
    </font>
    <font>
      <b/>
      <sz val="11"/>
      <color rgb="FFFF0000"/>
      <name val="Arial"/>
      <family val="2"/>
    </font>
    <font>
      <b/>
      <sz val="12"/>
      <color rgb="FFFF0000"/>
      <name val="Calibri"/>
      <family val="2"/>
      <scheme val="minor"/>
    </font>
    <font>
      <b/>
      <sz val="6"/>
      <color theme="1"/>
      <name val="Arial"/>
      <family val="2"/>
    </font>
    <font>
      <b/>
      <sz val="14"/>
      <name val="Arial"/>
      <family val="2"/>
    </font>
    <font>
      <sz val="18"/>
      <color rgb="FFFF0000"/>
      <name val="Arial"/>
      <family val="2"/>
    </font>
    <font>
      <i/>
      <sz val="10"/>
      <color theme="1"/>
      <name val="Arial"/>
      <family val="2"/>
    </font>
    <font>
      <b/>
      <i/>
      <sz val="10"/>
      <color theme="1"/>
      <name val="Arial"/>
      <family val="2"/>
    </font>
    <font>
      <i/>
      <sz val="10"/>
      <color theme="0" tint="-0.14999847407452621"/>
      <name val="Arial"/>
      <family val="2"/>
    </font>
    <font>
      <sz val="10"/>
      <color rgb="FF000000"/>
      <name val="Times New Roman"/>
      <family val="1"/>
    </font>
    <font>
      <sz val="8"/>
      <name val="Arial"/>
      <family val="2"/>
    </font>
    <font>
      <b/>
      <sz val="10"/>
      <color rgb="FFFF0000"/>
      <name val="Arial"/>
      <family val="2"/>
    </font>
    <font>
      <b/>
      <sz val="10"/>
      <color theme="1"/>
      <name val="Calibri"/>
      <family val="2"/>
      <scheme val="minor"/>
    </font>
    <font>
      <sz val="12"/>
      <color theme="1"/>
      <name val="Arial"/>
      <family val="2"/>
    </font>
  </fonts>
  <fills count="1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70AD47"/>
        <bgColor indexed="64"/>
      </patternFill>
    </fill>
    <fill>
      <patternFill patternType="solid">
        <fgColor rgb="FFFFC000"/>
        <bgColor indexed="64"/>
      </patternFill>
    </fill>
    <fill>
      <patternFill patternType="solid">
        <fgColor rgb="FFFCE4D6"/>
        <bgColor indexed="64"/>
      </patternFill>
    </fill>
    <fill>
      <patternFill patternType="solid">
        <fgColor rgb="FFD0CECE"/>
        <bgColor indexed="64"/>
      </patternFill>
    </fill>
    <fill>
      <patternFill patternType="solid">
        <fgColor rgb="FFD9D9D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tint="0.39997558519241921"/>
        <bgColor indexed="64"/>
      </patternFill>
    </fill>
    <fill>
      <patternFill patternType="solid">
        <fgColor theme="0" tint="-0.14999847407452621"/>
        <bgColor indexed="64"/>
      </patternFill>
    </fill>
  </fills>
  <borders count="8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thin">
        <color indexed="64"/>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right style="medium">
        <color indexed="64"/>
      </right>
      <top/>
      <bottom/>
      <diagonal/>
    </border>
    <border>
      <left style="thin">
        <color indexed="64"/>
      </left>
      <right style="medium">
        <color indexed="64"/>
      </right>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style="medium">
        <color theme="4"/>
      </left>
      <right style="thin">
        <color theme="4"/>
      </right>
      <top style="medium">
        <color theme="4"/>
      </top>
      <bottom style="thin">
        <color theme="4"/>
      </bottom>
      <diagonal/>
    </border>
    <border>
      <left style="thin">
        <color theme="4"/>
      </left>
      <right style="thin">
        <color theme="4"/>
      </right>
      <top style="medium">
        <color theme="4"/>
      </top>
      <bottom style="thin">
        <color theme="4"/>
      </bottom>
      <diagonal/>
    </border>
    <border>
      <left style="thin">
        <color theme="4"/>
      </left>
      <right style="medium">
        <color theme="4"/>
      </right>
      <top style="medium">
        <color theme="4"/>
      </top>
      <bottom style="thin">
        <color theme="4"/>
      </bottom>
      <diagonal/>
    </border>
    <border>
      <left style="medium">
        <color theme="4"/>
      </left>
      <right style="thin">
        <color theme="4"/>
      </right>
      <top style="thin">
        <color theme="4"/>
      </top>
      <bottom style="medium">
        <color theme="4"/>
      </bottom>
      <diagonal/>
    </border>
    <border>
      <left style="thin">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style="medium">
        <color theme="4"/>
      </left>
      <right style="thin">
        <color theme="4"/>
      </right>
      <top style="thin">
        <color theme="4"/>
      </top>
      <bottom style="thin">
        <color theme="4"/>
      </bottom>
      <diagonal/>
    </border>
    <border>
      <left style="thin">
        <color theme="4"/>
      </left>
      <right style="medium">
        <color theme="4"/>
      </right>
      <top style="thin">
        <color theme="4"/>
      </top>
      <bottom style="thin">
        <color theme="4"/>
      </bottom>
      <diagonal/>
    </border>
    <border>
      <left style="thin">
        <color theme="9"/>
      </left>
      <right style="thin">
        <color theme="9"/>
      </right>
      <top style="thin">
        <color theme="9"/>
      </top>
      <bottom style="thin">
        <color theme="9"/>
      </bottom>
      <diagonal/>
    </border>
    <border>
      <left style="thin">
        <color theme="9"/>
      </left>
      <right/>
      <top style="thin">
        <color theme="9"/>
      </top>
      <bottom style="thin">
        <color theme="9"/>
      </bottom>
      <diagonal/>
    </border>
    <border>
      <left style="medium">
        <color theme="9"/>
      </left>
      <right style="thin">
        <color theme="9"/>
      </right>
      <top style="medium">
        <color theme="9"/>
      </top>
      <bottom style="thin">
        <color theme="9"/>
      </bottom>
      <diagonal/>
    </border>
    <border>
      <left style="thin">
        <color theme="9"/>
      </left>
      <right style="thin">
        <color theme="9"/>
      </right>
      <top style="medium">
        <color theme="9"/>
      </top>
      <bottom style="thin">
        <color theme="9"/>
      </bottom>
      <diagonal/>
    </border>
    <border>
      <left style="thin">
        <color theme="9"/>
      </left>
      <right style="medium">
        <color theme="9"/>
      </right>
      <top style="medium">
        <color theme="9"/>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s>
  <cellStyleXfs count="2">
    <xf numFmtId="0" fontId="0" fillId="0" borderId="0"/>
    <xf numFmtId="0" fontId="2" fillId="0" borderId="0" applyNumberFormat="0" applyFill="0" applyBorder="0" applyAlignment="0" applyProtection="0"/>
  </cellStyleXfs>
  <cellXfs count="464">
    <xf numFmtId="0" fontId="0" fillId="0" borderId="0" xfId="0"/>
    <xf numFmtId="0" fontId="0" fillId="0" borderId="0" xfId="0" applyAlignment="1">
      <alignment horizontal="left" vertical="top"/>
    </xf>
    <xf numFmtId="0" fontId="0" fillId="0" borderId="0" xfId="0" applyAlignment="1">
      <alignment wrapText="1"/>
    </xf>
    <xf numFmtId="0" fontId="0" fillId="0" borderId="4" xfId="0" applyBorder="1" applyAlignment="1">
      <alignment textRotation="90"/>
    </xf>
    <xf numFmtId="0" fontId="0" fillId="0" borderId="0" xfId="0" applyAlignment="1">
      <alignment textRotation="90"/>
    </xf>
    <xf numFmtId="0" fontId="0" fillId="0" borderId="5" xfId="0" applyBorder="1" applyAlignment="1">
      <alignment textRotation="90"/>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vertical="center"/>
    </xf>
    <xf numFmtId="0" fontId="2" fillId="0" borderId="0" xfId="1" applyAlignment="1">
      <alignment vertical="center"/>
    </xf>
    <xf numFmtId="0" fontId="0" fillId="0" borderId="2" xfId="0" applyBorder="1"/>
    <xf numFmtId="0" fontId="0" fillId="0" borderId="1" xfId="0" applyBorder="1"/>
    <xf numFmtId="0" fontId="0" fillId="0" borderId="3" xfId="0" applyBorder="1"/>
    <xf numFmtId="0" fontId="0" fillId="0" borderId="0" xfId="0" applyAlignment="1">
      <alignment horizontal="left" vertical="top" wrapText="1"/>
    </xf>
    <xf numFmtId="0" fontId="0" fillId="0" borderId="2" xfId="0" applyBorder="1" applyAlignment="1">
      <alignment vertical="top" wrapText="1"/>
    </xf>
    <xf numFmtId="0" fontId="0" fillId="0" borderId="0" xfId="0" applyAlignment="1">
      <alignment vertical="top" wrapText="1"/>
    </xf>
    <xf numFmtId="0" fontId="0" fillId="0" borderId="7" xfId="0" applyBorder="1" applyAlignment="1">
      <alignment vertical="top" wrapText="1"/>
    </xf>
    <xf numFmtId="0" fontId="0" fillId="0" borderId="2" xfId="0" applyBorder="1" applyAlignment="1">
      <alignment horizontal="left" vertical="top"/>
    </xf>
    <xf numFmtId="0" fontId="0" fillId="0" borderId="7" xfId="0" applyBorder="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6" xfId="0" applyBorder="1" applyAlignment="1">
      <alignment textRotation="90"/>
    </xf>
    <xf numFmtId="0" fontId="0" fillId="0" borderId="7" xfId="0" applyBorder="1" applyAlignment="1">
      <alignment textRotation="90"/>
    </xf>
    <xf numFmtId="0" fontId="0" fillId="0" borderId="8" xfId="0" applyBorder="1" applyAlignment="1">
      <alignment textRotation="90"/>
    </xf>
    <xf numFmtId="0" fontId="0" fillId="0" borderId="4" xfId="0" applyBorder="1" applyAlignment="1">
      <alignment wrapText="1"/>
    </xf>
    <xf numFmtId="0" fontId="0" fillId="0" borderId="5" xfId="0" applyBorder="1" applyAlignment="1">
      <alignment wrapText="1"/>
    </xf>
    <xf numFmtId="0" fontId="0" fillId="2" borderId="2" xfId="0" applyFill="1" applyBorder="1" applyAlignment="1">
      <alignment horizontal="left" vertical="top"/>
    </xf>
    <xf numFmtId="0" fontId="0" fillId="2" borderId="3" xfId="0" applyFill="1" applyBorder="1" applyAlignment="1">
      <alignment horizontal="left" vertical="top" wrapText="1"/>
    </xf>
    <xf numFmtId="0" fontId="0" fillId="2" borderId="0" xfId="0" applyFill="1" applyAlignment="1">
      <alignment horizontal="left" vertical="top"/>
    </xf>
    <xf numFmtId="0" fontId="0" fillId="2" borderId="5" xfId="0" applyFill="1" applyBorder="1" applyAlignment="1">
      <alignment horizontal="left" vertical="top" wrapText="1"/>
    </xf>
    <xf numFmtId="0" fontId="0" fillId="2" borderId="7" xfId="0" applyFill="1" applyBorder="1" applyAlignment="1">
      <alignment horizontal="left" vertical="top"/>
    </xf>
    <xf numFmtId="0" fontId="0" fillId="2" borderId="8" xfId="0" applyFill="1" applyBorder="1" applyAlignment="1">
      <alignment horizontal="left" vertical="top" wrapText="1"/>
    </xf>
    <xf numFmtId="0" fontId="0" fillId="2" borderId="2" xfId="0" applyFill="1" applyBorder="1" applyAlignment="1">
      <alignment horizontal="right" vertical="top" wrapText="1"/>
    </xf>
    <xf numFmtId="0" fontId="0" fillId="2" borderId="0" xfId="0" applyFill="1" applyAlignment="1">
      <alignment horizontal="right" vertical="top" wrapText="1"/>
    </xf>
    <xf numFmtId="0" fontId="0" fillId="2" borderId="7" xfId="0" applyFill="1" applyBorder="1" applyAlignment="1">
      <alignment horizontal="right" vertical="top" wrapText="1"/>
    </xf>
    <xf numFmtId="0" fontId="0" fillId="3" borderId="0" xfId="0" applyFill="1" applyAlignment="1">
      <alignment textRotation="90"/>
    </xf>
    <xf numFmtId="0" fontId="0" fillId="3" borderId="2" xfId="0" applyFill="1" applyBorder="1" applyAlignment="1">
      <alignment vertical="top" wrapText="1"/>
    </xf>
    <xf numFmtId="0" fontId="0" fillId="3" borderId="0" xfId="0" applyFill="1" applyAlignment="1">
      <alignment vertical="top" wrapText="1"/>
    </xf>
    <xf numFmtId="0" fontId="0" fillId="3" borderId="7" xfId="0" applyFill="1" applyBorder="1" applyAlignment="1">
      <alignment vertical="top" wrapText="1"/>
    </xf>
    <xf numFmtId="0" fontId="0" fillId="2" borderId="2" xfId="0" applyFill="1" applyBorder="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center" wrapText="1"/>
    </xf>
    <xf numFmtId="0" fontId="0" fillId="4" borderId="2" xfId="0" applyFill="1" applyBorder="1" applyAlignment="1">
      <alignment vertical="top" wrapText="1"/>
    </xf>
    <xf numFmtId="0" fontId="0" fillId="4" borderId="7" xfId="0" applyFill="1" applyBorder="1" applyAlignment="1">
      <alignment vertical="top" wrapText="1"/>
    </xf>
    <xf numFmtId="0" fontId="3" fillId="5" borderId="0" xfId="0" applyFont="1" applyFill="1" applyAlignment="1">
      <alignment vertical="top" wrapText="1"/>
    </xf>
    <xf numFmtId="0" fontId="0" fillId="5" borderId="2" xfId="0" applyFill="1" applyBorder="1" applyAlignment="1">
      <alignment vertical="top" wrapText="1"/>
    </xf>
    <xf numFmtId="0" fontId="0" fillId="6" borderId="0" xfId="0" applyFill="1" applyAlignment="1">
      <alignment vertical="top" wrapText="1"/>
    </xf>
    <xf numFmtId="0" fontId="0" fillId="6" borderId="7" xfId="0" applyFill="1" applyBorder="1" applyAlignment="1">
      <alignment vertical="top" wrapText="1"/>
    </xf>
    <xf numFmtId="0" fontId="0" fillId="4" borderId="2" xfId="0" applyFill="1" applyBorder="1" applyAlignment="1">
      <alignment horizontal="left" vertical="top" wrapText="1"/>
    </xf>
    <xf numFmtId="0" fontId="0" fillId="4" borderId="0" xfId="0" applyFill="1" applyAlignment="1">
      <alignment vertical="top" wrapText="1"/>
    </xf>
    <xf numFmtId="0" fontId="0" fillId="7" borderId="2" xfId="0" applyFill="1" applyBorder="1"/>
    <xf numFmtId="0" fontId="0" fillId="7" borderId="0" xfId="0" applyFill="1"/>
    <xf numFmtId="0" fontId="0" fillId="7" borderId="2" xfId="0" applyFill="1" applyBorder="1" applyAlignment="1">
      <alignment wrapText="1"/>
    </xf>
    <xf numFmtId="0" fontId="0" fillId="7" borderId="7" xfId="0" applyFill="1" applyBorder="1"/>
    <xf numFmtId="0" fontId="3" fillId="7" borderId="0" xfId="0" applyFont="1" applyFill="1" applyAlignment="1">
      <alignment vertical="center"/>
    </xf>
    <xf numFmtId="0" fontId="0" fillId="7" borderId="0" xfId="0" applyFill="1" applyAlignment="1">
      <alignment vertical="center"/>
    </xf>
    <xf numFmtId="0" fontId="0" fillId="7" borderId="7" xfId="0" applyFill="1" applyBorder="1" applyAlignment="1">
      <alignment vertical="center"/>
    </xf>
    <xf numFmtId="0" fontId="0" fillId="7" borderId="2" xfId="0" applyFill="1" applyBorder="1" applyAlignment="1">
      <alignment horizontal="left" vertical="center"/>
    </xf>
    <xf numFmtId="0" fontId="5" fillId="0" borderId="7" xfId="0" applyFont="1" applyBorder="1"/>
    <xf numFmtId="0" fontId="0" fillId="0" borderId="13" xfId="0" applyBorder="1"/>
    <xf numFmtId="0" fontId="6" fillId="0" borderId="15" xfId="0" applyFont="1" applyBorder="1" applyAlignment="1">
      <alignment horizontal="left" vertical="top" wrapText="1"/>
    </xf>
    <xf numFmtId="0" fontId="6" fillId="0" borderId="0" xfId="0" applyFont="1" applyAlignment="1">
      <alignment horizontal="left" vertical="top" wrapText="1"/>
    </xf>
    <xf numFmtId="0" fontId="7" fillId="0" borderId="15" xfId="0" applyFont="1" applyBorder="1" applyAlignment="1">
      <alignment horizontal="left" vertical="top" wrapText="1"/>
    </xf>
    <xf numFmtId="0" fontId="0" fillId="0" borderId="15" xfId="0" applyBorder="1" applyAlignment="1">
      <alignment horizontal="left" vertical="top" wrapText="1"/>
    </xf>
    <xf numFmtId="0" fontId="0" fillId="0" borderId="11" xfId="0" applyBorder="1" applyAlignment="1">
      <alignment horizontal="center"/>
    </xf>
    <xf numFmtId="0" fontId="0" fillId="8" borderId="2" xfId="0" applyFill="1" applyBorder="1"/>
    <xf numFmtId="0" fontId="0" fillId="8" borderId="0" xfId="0" applyFill="1"/>
    <xf numFmtId="0" fontId="0" fillId="8" borderId="7" xfId="0" applyFill="1" applyBorder="1"/>
    <xf numFmtId="0" fontId="0" fillId="0" borderId="16" xfId="0" applyBorder="1" applyAlignment="1">
      <alignment horizontal="center"/>
    </xf>
    <xf numFmtId="0" fontId="0" fillId="0" borderId="16" xfId="0" applyBorder="1" applyAlignment="1">
      <alignment horizontal="left" vertical="top" wrapText="1"/>
    </xf>
    <xf numFmtId="0" fontId="6" fillId="0" borderId="16" xfId="0" applyFont="1" applyBorder="1" applyAlignment="1">
      <alignment horizontal="left" vertical="top" wrapText="1"/>
    </xf>
    <xf numFmtId="0" fontId="0" fillId="0" borderId="16" xfId="0" applyBorder="1"/>
    <xf numFmtId="0" fontId="0" fillId="0" borderId="16" xfId="0" applyBorder="1" applyAlignment="1">
      <alignment vertical="top" wrapText="1"/>
    </xf>
    <xf numFmtId="0" fontId="0" fillId="0" borderId="17" xfId="0" applyBorder="1" applyAlignment="1">
      <alignment horizontal="center"/>
    </xf>
    <xf numFmtId="0" fontId="0" fillId="0" borderId="20" xfId="0" applyBorder="1" applyAlignment="1">
      <alignment horizontal="center"/>
    </xf>
    <xf numFmtId="0" fontId="0" fillId="0" borderId="21" xfId="0" applyBorder="1" applyAlignment="1">
      <alignment horizontal="left" vertical="top" wrapText="1"/>
    </xf>
    <xf numFmtId="0" fontId="0" fillId="0" borderId="23" xfId="0" applyBorder="1"/>
    <xf numFmtId="0" fontId="0" fillId="0" borderId="23" xfId="0" applyBorder="1" applyAlignment="1">
      <alignment vertical="top" wrapText="1"/>
    </xf>
    <xf numFmtId="0" fontId="0" fillId="0" borderId="24"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10" fillId="0" borderId="2" xfId="0" applyFont="1" applyBorder="1" applyAlignment="1">
      <alignment horizontal="left" vertical="center"/>
    </xf>
    <xf numFmtId="0" fontId="10" fillId="0" borderId="0" xfId="0" applyFont="1" applyAlignment="1">
      <alignment horizontal="left" vertical="center"/>
    </xf>
    <xf numFmtId="0" fontId="10" fillId="0" borderId="7" xfId="0" applyFont="1" applyBorder="1" applyAlignment="1">
      <alignment horizontal="left" vertical="center"/>
    </xf>
    <xf numFmtId="0" fontId="11" fillId="0" borderId="3" xfId="0" applyFont="1" applyBorder="1" applyAlignment="1">
      <alignment horizontal="center" wrapText="1"/>
    </xf>
    <xf numFmtId="0" fontId="11" fillId="0" borderId="5" xfId="0" applyFont="1" applyBorder="1" applyAlignment="1">
      <alignment horizontal="center" wrapText="1"/>
    </xf>
    <xf numFmtId="0" fontId="11" fillId="0" borderId="26" xfId="0" applyFont="1" applyBorder="1" applyAlignment="1">
      <alignment horizontal="center" wrapText="1"/>
    </xf>
    <xf numFmtId="0" fontId="11" fillId="0" borderId="28" xfId="0" applyFont="1" applyBorder="1" applyAlignment="1">
      <alignment horizontal="center" wrapText="1"/>
    </xf>
    <xf numFmtId="0" fontId="10" fillId="0" borderId="2" xfId="0" applyFont="1" applyBorder="1" applyAlignment="1">
      <alignment horizontal="left" wrapText="1"/>
    </xf>
    <xf numFmtId="0" fontId="10" fillId="0" borderId="0" xfId="0" applyFont="1" applyAlignment="1">
      <alignment horizontal="left" wrapText="1"/>
    </xf>
    <xf numFmtId="0" fontId="10" fillId="0" borderId="7" xfId="0" applyFont="1" applyBorder="1" applyAlignment="1">
      <alignment horizontal="left" wrapText="1"/>
    </xf>
    <xf numFmtId="0" fontId="10" fillId="0" borderId="4" xfId="0" applyFont="1" applyBorder="1"/>
    <xf numFmtId="0" fontId="10" fillId="0" borderId="0" xfId="0" applyFont="1"/>
    <xf numFmtId="0" fontId="10" fillId="0" borderId="0" xfId="0" applyFont="1" applyAlignment="1">
      <alignment wrapText="1"/>
    </xf>
    <xf numFmtId="0" fontId="12" fillId="0" borderId="0" xfId="0" applyFont="1"/>
    <xf numFmtId="0" fontId="10" fillId="0" borderId="2" xfId="0" applyFont="1" applyBorder="1"/>
    <xf numFmtId="0" fontId="11" fillId="0" borderId="0" xfId="0" applyFont="1" applyAlignment="1">
      <alignment horizontal="center" wrapText="1"/>
    </xf>
    <xf numFmtId="0" fontId="10" fillId="0" borderId="0" xfId="0" applyFont="1" applyAlignment="1">
      <alignment horizontal="center" wrapText="1"/>
    </xf>
    <xf numFmtId="0" fontId="11" fillId="0" borderId="7" xfId="0" applyFont="1" applyBorder="1" applyAlignment="1">
      <alignment horizontal="center" wrapText="1"/>
    </xf>
    <xf numFmtId="0" fontId="9" fillId="0" borderId="0" xfId="0" applyFont="1" applyAlignment="1">
      <alignment horizontal="left" wrapText="1"/>
    </xf>
    <xf numFmtId="0" fontId="8" fillId="0" borderId="4" xfId="0" applyFont="1" applyBorder="1" applyAlignment="1">
      <alignment textRotation="90" wrapText="1"/>
    </xf>
    <xf numFmtId="0" fontId="0" fillId="0" borderId="4" xfId="0" applyBorder="1" applyAlignment="1">
      <alignment textRotation="90" wrapText="1"/>
    </xf>
    <xf numFmtId="0" fontId="11" fillId="0" borderId="4" xfId="0" applyFont="1" applyBorder="1" applyAlignment="1">
      <alignment horizontal="center" wrapText="1"/>
    </xf>
    <xf numFmtId="0" fontId="0" fillId="0" borderId="0" xfId="0" applyAlignment="1">
      <alignment textRotation="90" wrapText="1"/>
    </xf>
    <xf numFmtId="0" fontId="11" fillId="0" borderId="34" xfId="0" applyFont="1" applyBorder="1" applyAlignment="1">
      <alignment horizontal="left" vertical="center" textRotation="90" wrapText="1"/>
    </xf>
    <xf numFmtId="0" fontId="11" fillId="0" borderId="35" xfId="0" applyFont="1" applyBorder="1" applyAlignment="1">
      <alignment horizontal="left" vertical="center" textRotation="90" wrapText="1"/>
    </xf>
    <xf numFmtId="0" fontId="0" fillId="0" borderId="38" xfId="0" applyBorder="1"/>
    <xf numFmtId="0" fontId="0" fillId="0" borderId="32" xfId="0" applyBorder="1" applyAlignment="1">
      <alignment textRotation="90" wrapText="1"/>
    </xf>
    <xf numFmtId="0" fontId="0" fillId="0" borderId="40" xfId="0" applyBorder="1" applyAlignment="1">
      <alignment textRotation="90" wrapText="1"/>
    </xf>
    <xf numFmtId="0" fontId="8" fillId="0" borderId="32" xfId="0" applyFont="1" applyBorder="1" applyAlignment="1">
      <alignment textRotation="90" wrapText="1"/>
    </xf>
    <xf numFmtId="0" fontId="8" fillId="0" borderId="40" xfId="0" applyFont="1" applyBorder="1" applyAlignment="1">
      <alignment textRotation="90" wrapText="1"/>
    </xf>
    <xf numFmtId="0" fontId="13" fillId="0" borderId="32" xfId="0" applyFont="1" applyBorder="1" applyAlignment="1">
      <alignment textRotation="90" wrapText="1"/>
    </xf>
    <xf numFmtId="0" fontId="0" fillId="0" borderId="39" xfId="0" applyBorder="1" applyAlignment="1">
      <alignment textRotation="90" wrapText="1"/>
    </xf>
    <xf numFmtId="0" fontId="13" fillId="0" borderId="0" xfId="0" applyFont="1" applyAlignment="1">
      <alignment textRotation="90" wrapText="1"/>
    </xf>
    <xf numFmtId="0" fontId="13" fillId="0" borderId="39" xfId="0" applyFont="1" applyBorder="1" applyAlignment="1">
      <alignment textRotation="90" wrapText="1"/>
    </xf>
    <xf numFmtId="0" fontId="0" fillId="0" borderId="18"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11" fillId="0" borderId="41" xfId="0" applyFont="1" applyBorder="1" applyAlignment="1">
      <alignment horizontal="left" vertical="center" textRotation="90" wrapText="1"/>
    </xf>
    <xf numFmtId="0" fontId="0" fillId="0" borderId="42" xfId="0" applyBorder="1" applyAlignment="1">
      <alignment horizontal="center"/>
    </xf>
    <xf numFmtId="0" fontId="0" fillId="0" borderId="43" xfId="0" applyBorder="1" applyAlignment="1">
      <alignment horizontal="center"/>
    </xf>
    <xf numFmtId="0" fontId="0" fillId="0" borderId="33" xfId="0" applyBorder="1"/>
    <xf numFmtId="0" fontId="11" fillId="0" borderId="35" xfId="0" applyFont="1" applyBorder="1" applyAlignment="1">
      <alignment horizontal="center" vertical="center" textRotation="90" wrapText="1"/>
    </xf>
    <xf numFmtId="0" fontId="11" fillId="0" borderId="36" xfId="0" applyFont="1" applyBorder="1" applyAlignment="1">
      <alignment horizontal="center" vertical="center" textRotation="90" wrapText="1"/>
    </xf>
    <xf numFmtId="0" fontId="11" fillId="0" borderId="34" xfId="0" applyFont="1" applyBorder="1" applyAlignment="1">
      <alignment horizontal="center" vertical="center" textRotation="90" wrapText="1"/>
    </xf>
    <xf numFmtId="0" fontId="14" fillId="0" borderId="20" xfId="0" applyFont="1" applyBorder="1" applyAlignment="1">
      <alignment horizontal="center"/>
    </xf>
    <xf numFmtId="0" fontId="14" fillId="0" borderId="16" xfId="0" applyFont="1" applyBorder="1" applyAlignment="1">
      <alignment horizontal="center"/>
    </xf>
    <xf numFmtId="0" fontId="14" fillId="0" borderId="11" xfId="0" applyFont="1" applyBorder="1" applyAlignment="1">
      <alignment horizontal="center"/>
    </xf>
    <xf numFmtId="0" fontId="14" fillId="0" borderId="22" xfId="0" applyFont="1" applyBorder="1" applyAlignment="1">
      <alignment horizontal="center"/>
    </xf>
    <xf numFmtId="0" fontId="14" fillId="0" borderId="23" xfId="0" applyFont="1" applyBorder="1" applyAlignment="1">
      <alignment horizontal="center"/>
    </xf>
    <xf numFmtId="0" fontId="14" fillId="0" borderId="43" xfId="0" applyFont="1" applyBorder="1" applyAlignment="1">
      <alignment horizontal="center"/>
    </xf>
    <xf numFmtId="0" fontId="15" fillId="0" borderId="34" xfId="0" applyFont="1" applyBorder="1" applyAlignment="1">
      <alignment horizontal="left" vertical="center" textRotation="90" wrapText="1"/>
    </xf>
    <xf numFmtId="0" fontId="16" fillId="0" borderId="0" xfId="0" applyFont="1" applyAlignment="1">
      <alignment textRotation="90"/>
    </xf>
    <xf numFmtId="0" fontId="17" fillId="0" borderId="26" xfId="0" applyFont="1" applyBorder="1" applyAlignment="1">
      <alignment horizontal="center" vertical="top" textRotation="90" wrapText="1"/>
    </xf>
    <xf numFmtId="0" fontId="17" fillId="9" borderId="26" xfId="0" applyFont="1" applyFill="1" applyBorder="1" applyAlignment="1">
      <alignment horizontal="center" vertical="top" textRotation="90" wrapText="1"/>
    </xf>
    <xf numFmtId="0" fontId="18" fillId="9" borderId="26" xfId="0" applyFont="1" applyFill="1" applyBorder="1" applyAlignment="1">
      <alignment horizontal="center" vertical="top" textRotation="90" wrapText="1"/>
    </xf>
    <xf numFmtId="0" fontId="18" fillId="9" borderId="26" xfId="0" applyFont="1" applyFill="1" applyBorder="1" applyAlignment="1">
      <alignment horizontal="right" vertical="top" textRotation="90" wrapText="1"/>
    </xf>
    <xf numFmtId="0" fontId="17" fillId="0" borderId="28" xfId="0" applyFont="1" applyBorder="1" applyAlignment="1">
      <alignment horizontal="right" textRotation="45"/>
    </xf>
    <xf numFmtId="0" fontId="17" fillId="0" borderId="28" xfId="0" applyFont="1" applyBorder="1" applyAlignment="1">
      <alignment horizontal="right" wrapText="1"/>
    </xf>
    <xf numFmtId="0" fontId="17" fillId="0" borderId="28" xfId="0" applyFont="1" applyBorder="1" applyAlignment="1">
      <alignment horizontal="right"/>
    </xf>
    <xf numFmtId="0" fontId="17" fillId="0" borderId="0" xfId="0" applyFont="1" applyAlignment="1">
      <alignment horizontal="right"/>
    </xf>
    <xf numFmtId="0" fontId="0" fillId="0" borderId="7" xfId="0" applyBorder="1" applyAlignment="1">
      <alignment wrapText="1"/>
    </xf>
    <xf numFmtId="0" fontId="10" fillId="0" borderId="6" xfId="0" applyFont="1" applyBorder="1"/>
    <xf numFmtId="0" fontId="8" fillId="0" borderId="1" xfId="0" applyFont="1" applyBorder="1"/>
    <xf numFmtId="0" fontId="8" fillId="0" borderId="4" xfId="0" applyFont="1" applyBorder="1"/>
    <xf numFmtId="0" fontId="8" fillId="0" borderId="6" xfId="0" applyFont="1" applyBorder="1"/>
    <xf numFmtId="0" fontId="9" fillId="0" borderId="2" xfId="0" applyFont="1" applyBorder="1" applyAlignment="1">
      <alignment horizontal="left" wrapText="1"/>
    </xf>
    <xf numFmtId="0" fontId="17" fillId="0" borderId="0" xfId="0" applyFont="1" applyAlignment="1">
      <alignment horizontal="right" textRotation="45"/>
    </xf>
    <xf numFmtId="0" fontId="17" fillId="0" borderId="0" xfId="0" applyFont="1" applyAlignment="1">
      <alignment horizontal="right" textRotation="45" wrapText="1"/>
    </xf>
    <xf numFmtId="0" fontId="20" fillId="0" borderId="0" xfId="0" applyFont="1" applyAlignment="1">
      <alignment horizontal="left" wrapText="1"/>
    </xf>
    <xf numFmtId="0" fontId="8" fillId="0" borderId="4" xfId="0" applyFont="1" applyBorder="1" applyAlignment="1">
      <alignment wrapText="1"/>
    </xf>
    <xf numFmtId="0" fontId="0" fillId="0" borderId="6" xfId="0" applyBorder="1" applyAlignment="1">
      <alignment wrapText="1"/>
    </xf>
    <xf numFmtId="0" fontId="9" fillId="0" borderId="7" xfId="0" applyFont="1" applyBorder="1" applyAlignment="1">
      <alignment horizontal="left" wrapText="1"/>
    </xf>
    <xf numFmtId="0" fontId="8" fillId="0" borderId="0" xfId="0" applyFont="1"/>
    <xf numFmtId="0" fontId="0" fillId="10" borderId="0" xfId="0" applyFill="1" applyAlignment="1">
      <alignment wrapText="1"/>
    </xf>
    <xf numFmtId="0" fontId="0" fillId="11" borderId="0" xfId="0" applyFill="1" applyAlignment="1">
      <alignment wrapText="1"/>
    </xf>
    <xf numFmtId="0" fontId="13" fillId="0" borderId="1" xfId="0" applyFont="1" applyBorder="1" applyAlignment="1">
      <alignment wrapText="1"/>
    </xf>
    <xf numFmtId="0" fontId="8" fillId="0" borderId="2" xfId="0" applyFont="1" applyBorder="1" applyAlignment="1">
      <alignment wrapText="1"/>
    </xf>
    <xf numFmtId="0" fontId="8" fillId="0" borderId="1" xfId="0" applyFont="1" applyBorder="1" applyAlignment="1">
      <alignment wrapText="1"/>
    </xf>
    <xf numFmtId="0" fontId="10" fillId="0" borderId="7" xfId="0" applyFont="1" applyBorder="1"/>
    <xf numFmtId="0" fontId="10" fillId="0" borderId="2" xfId="0" applyFont="1" applyBorder="1" applyAlignment="1">
      <alignment horizontal="left" vertical="center" wrapText="1"/>
    </xf>
    <xf numFmtId="0" fontId="10" fillId="0" borderId="0" xfId="0" applyFont="1" applyAlignment="1">
      <alignment horizontal="left" vertical="center" wrapText="1"/>
    </xf>
    <xf numFmtId="0" fontId="0" fillId="0" borderId="0" xfId="0" applyAlignment="1">
      <alignment horizontal="center"/>
    </xf>
    <xf numFmtId="0" fontId="10" fillId="0" borderId="7" xfId="0" applyFont="1" applyBorder="1" applyAlignment="1">
      <alignment horizontal="left" vertical="center" wrapText="1"/>
    </xf>
    <xf numFmtId="0" fontId="0" fillId="0" borderId="7" xfId="0" applyBorder="1" applyAlignment="1">
      <alignment horizontal="center"/>
    </xf>
    <xf numFmtId="0" fontId="13" fillId="0" borderId="0" xfId="0" applyFont="1" applyAlignment="1">
      <alignment wrapText="1"/>
    </xf>
    <xf numFmtId="0" fontId="13" fillId="0" borderId="7" xfId="0" applyFont="1" applyBorder="1" applyAlignment="1">
      <alignment wrapText="1"/>
    </xf>
    <xf numFmtId="0" fontId="17" fillId="0" borderId="26" xfId="0" applyFont="1" applyBorder="1" applyAlignment="1">
      <alignment horizontal="center" textRotation="90" wrapText="1"/>
    </xf>
    <xf numFmtId="0" fontId="17" fillId="9" borderId="26" xfId="0" applyFont="1" applyFill="1" applyBorder="1" applyAlignment="1">
      <alignment horizontal="center" textRotation="90" wrapText="1"/>
    </xf>
    <xf numFmtId="0" fontId="18" fillId="9" borderId="26" xfId="0" applyFont="1" applyFill="1" applyBorder="1" applyAlignment="1">
      <alignment horizontal="center" textRotation="90" wrapText="1"/>
    </xf>
    <xf numFmtId="0" fontId="0" fillId="0" borderId="52"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45" xfId="0" applyBorder="1" applyAlignment="1">
      <alignment horizontal="left" vertical="top" wrapText="1"/>
    </xf>
    <xf numFmtId="0" fontId="0" fillId="13" borderId="46" xfId="0" applyFill="1" applyBorder="1"/>
    <xf numFmtId="0" fontId="0" fillId="0" borderId="46" xfId="0" applyBorder="1"/>
    <xf numFmtId="0" fontId="0" fillId="13" borderId="35" xfId="0" applyFill="1" applyBorder="1"/>
    <xf numFmtId="0" fontId="0" fillId="0" borderId="51" xfId="0" applyBorder="1"/>
    <xf numFmtId="0" fontId="21" fillId="10" borderId="2" xfId="0" applyFont="1" applyFill="1" applyBorder="1" applyAlignment="1">
      <alignment horizontal="center" vertical="center" textRotation="90"/>
    </xf>
    <xf numFmtId="0" fontId="0" fillId="0" borderId="17" xfId="0" applyBorder="1"/>
    <xf numFmtId="0" fontId="0" fillId="0" borderId="18" xfId="0" applyBorder="1"/>
    <xf numFmtId="0" fontId="0" fillId="0" borderId="19" xfId="0" applyBorder="1"/>
    <xf numFmtId="0" fontId="0" fillId="0" borderId="7" xfId="0" applyBorder="1" applyAlignment="1">
      <alignment horizontal="left" vertical="top" wrapText="1"/>
    </xf>
    <xf numFmtId="0" fontId="4" fillId="0" borderId="48" xfId="0" applyFont="1" applyBorder="1" applyAlignment="1">
      <alignment horizontal="center"/>
    </xf>
    <xf numFmtId="0" fontId="4" fillId="0" borderId="54" xfId="0" applyFont="1" applyBorder="1" applyAlignment="1">
      <alignment horizontal="center"/>
    </xf>
    <xf numFmtId="0" fontId="4" fillId="0" borderId="50" xfId="0" applyFont="1" applyBorder="1" applyAlignment="1">
      <alignment horizontal="center"/>
    </xf>
    <xf numFmtId="0" fontId="4" fillId="0" borderId="55" xfId="0" applyFont="1" applyBorder="1" applyAlignment="1">
      <alignment horizontal="center"/>
    </xf>
    <xf numFmtId="0" fontId="0" fillId="0" borderId="0" xfId="0" applyAlignment="1">
      <alignment horizontal="left" wrapText="1"/>
    </xf>
    <xf numFmtId="0" fontId="4" fillId="0" borderId="0" xfId="0" applyFont="1" applyAlignment="1">
      <alignment horizontal="left"/>
    </xf>
    <xf numFmtId="0" fontId="9" fillId="0" borderId="0" xfId="0" applyFont="1" applyAlignment="1">
      <alignment horizontal="left"/>
    </xf>
    <xf numFmtId="0" fontId="4" fillId="0" borderId="0" xfId="0" applyFont="1"/>
    <xf numFmtId="0" fontId="0" fillId="13" borderId="36" xfId="0" applyFill="1" applyBorder="1"/>
    <xf numFmtId="0" fontId="0" fillId="13" borderId="51" xfId="0" applyFill="1" applyBorder="1"/>
    <xf numFmtId="0" fontId="0" fillId="13" borderId="56" xfId="0" applyFill="1" applyBorder="1"/>
    <xf numFmtId="0" fontId="0" fillId="0" borderId="56" xfId="0" applyBorder="1"/>
    <xf numFmtId="0" fontId="0" fillId="0" borderId="57" xfId="0" applyBorder="1"/>
    <xf numFmtId="0" fontId="0" fillId="0" borderId="58" xfId="0" applyBorder="1" applyAlignment="1">
      <alignment horizontal="left" vertical="top" wrapText="1"/>
    </xf>
    <xf numFmtId="0" fontId="0" fillId="0" borderId="10" xfId="0" applyBorder="1" applyAlignment="1">
      <alignment horizontal="left" vertical="top" wrapText="1"/>
    </xf>
    <xf numFmtId="0" fontId="0" fillId="0" borderId="59" xfId="0" applyBorder="1" applyAlignment="1">
      <alignment horizontal="left" vertical="top" wrapText="1"/>
    </xf>
    <xf numFmtId="0" fontId="0" fillId="0" borderId="39" xfId="0" applyBorder="1"/>
    <xf numFmtId="0" fontId="4" fillId="0" borderId="16" xfId="0" applyFont="1" applyBorder="1" applyAlignment="1">
      <alignment horizontal="left" vertical="top" wrapText="1"/>
    </xf>
    <xf numFmtId="0" fontId="4" fillId="0" borderId="21"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18" fillId="9" borderId="4" xfId="0" applyFont="1" applyFill="1" applyBorder="1" applyAlignment="1">
      <alignment horizontal="center" textRotation="90" wrapText="1"/>
    </xf>
    <xf numFmtId="0" fontId="0" fillId="0" borderId="0" xfId="0" quotePrefix="1"/>
    <xf numFmtId="0" fontId="0" fillId="0" borderId="48" xfId="0" applyBorder="1" applyAlignment="1">
      <alignment vertical="top" wrapText="1"/>
    </xf>
    <xf numFmtId="0" fontId="0" fillId="0" borderId="54" xfId="0" applyBorder="1" applyAlignment="1">
      <alignment vertical="top" wrapText="1"/>
    </xf>
    <xf numFmtId="0" fontId="0" fillId="0" borderId="54" xfId="0" applyBorder="1" applyAlignment="1">
      <alignment horizontal="left" vertical="center" wrapText="1"/>
    </xf>
    <xf numFmtId="0" fontId="4" fillId="0" borderId="47" xfId="0" applyFont="1" applyBorder="1" applyAlignment="1">
      <alignment horizontal="left" vertical="center" wrapText="1"/>
    </xf>
    <xf numFmtId="0" fontId="4" fillId="0" borderId="16" xfId="0" applyFont="1" applyBorder="1" applyAlignment="1">
      <alignment horizontal="center"/>
    </xf>
    <xf numFmtId="0" fontId="0" fillId="0" borderId="39" xfId="0" applyBorder="1" applyAlignment="1">
      <alignment vertical="center"/>
    </xf>
    <xf numFmtId="0" fontId="0" fillId="0" borderId="54" xfId="0" applyBorder="1" applyAlignment="1">
      <alignment vertical="center" wrapText="1"/>
    </xf>
    <xf numFmtId="0" fontId="4" fillId="0" borderId="47" xfId="0" applyFont="1" applyBorder="1" applyAlignment="1">
      <alignment vertical="center" wrapText="1"/>
    </xf>
    <xf numFmtId="0" fontId="4" fillId="0" borderId="52" xfId="0" applyFont="1" applyBorder="1" applyAlignment="1">
      <alignment horizontal="left" vertical="center" wrapText="1"/>
    </xf>
    <xf numFmtId="0" fontId="0" fillId="0" borderId="60" xfId="0" applyBorder="1" applyAlignment="1">
      <alignment horizontal="left" vertical="center" wrapText="1"/>
    </xf>
    <xf numFmtId="0" fontId="0" fillId="0" borderId="53" xfId="0" applyBorder="1" applyAlignment="1">
      <alignment vertical="top" wrapText="1"/>
    </xf>
    <xf numFmtId="0" fontId="0" fillId="0" borderId="60" xfId="0" applyBorder="1" applyAlignment="1">
      <alignment vertical="top" wrapText="1"/>
    </xf>
    <xf numFmtId="0" fontId="0" fillId="0" borderId="16" xfId="0" applyBorder="1" applyAlignment="1">
      <alignment wrapText="1"/>
    </xf>
    <xf numFmtId="0" fontId="0" fillId="0" borderId="20" xfId="0" applyBorder="1"/>
    <xf numFmtId="0" fontId="0" fillId="0" borderId="22" xfId="0" applyBorder="1"/>
    <xf numFmtId="0" fontId="26" fillId="0" borderId="58" xfId="0" applyFont="1" applyBorder="1" applyAlignment="1">
      <alignment vertical="top" wrapText="1"/>
    </xf>
    <xf numFmtId="0" fontId="0" fillId="0" borderId="21" xfId="0" applyBorder="1" applyAlignment="1">
      <alignment wrapText="1"/>
    </xf>
    <xf numFmtId="0" fontId="28" fillId="0" borderId="32" xfId="0" applyFont="1" applyBorder="1" applyAlignment="1">
      <alignment horizontal="left" vertical="center" wrapText="1"/>
    </xf>
    <xf numFmtId="0" fontId="3" fillId="0" borderId="39" xfId="0" applyFont="1" applyBorder="1" applyAlignment="1">
      <alignment horizontal="left" vertical="center" wrapText="1"/>
    </xf>
    <xf numFmtId="0" fontId="3" fillId="0" borderId="0" xfId="0" applyFont="1" applyAlignment="1">
      <alignment horizontal="center"/>
    </xf>
    <xf numFmtId="0" fontId="0" fillId="0" borderId="26" xfId="0" applyBorder="1" applyAlignment="1">
      <alignment wrapText="1"/>
    </xf>
    <xf numFmtId="0" fontId="4" fillId="0" borderId="0" xfId="0" applyFont="1" applyAlignment="1">
      <alignment horizontal="center"/>
    </xf>
    <xf numFmtId="0" fontId="0" fillId="0" borderId="20" xfId="0" applyBorder="1" applyAlignment="1">
      <alignment horizontal="left" vertical="center"/>
    </xf>
    <xf numFmtId="0" fontId="0" fillId="0" borderId="16" xfId="0" applyBorder="1" applyAlignment="1">
      <alignment horizontal="left" vertical="center"/>
    </xf>
    <xf numFmtId="0" fontId="0" fillId="0" borderId="16" xfId="0" applyBorder="1" applyAlignment="1">
      <alignment horizontal="left" vertical="center" wrapText="1"/>
    </xf>
    <xf numFmtId="0" fontId="0" fillId="0" borderId="21" xfId="0" applyBorder="1" applyAlignment="1">
      <alignment horizontal="left" vertical="center" wrapText="1"/>
    </xf>
    <xf numFmtId="0" fontId="0" fillId="0" borderId="0" xfId="0" applyFill="1" applyBorder="1"/>
    <xf numFmtId="0" fontId="0" fillId="0" borderId="4" xfId="0" applyFill="1" applyBorder="1"/>
    <xf numFmtId="0" fontId="0" fillId="0" borderId="0" xfId="0" applyBorder="1"/>
    <xf numFmtId="0" fontId="0" fillId="0" borderId="0" xfId="0" applyBorder="1" applyAlignment="1">
      <alignment horizontal="center"/>
    </xf>
    <xf numFmtId="0" fontId="0" fillId="0" borderId="0" xfId="0" applyBorder="1" applyAlignment="1">
      <alignment wrapText="1"/>
    </xf>
    <xf numFmtId="0" fontId="4" fillId="0" borderId="54" xfId="0" applyFont="1" applyBorder="1" applyAlignment="1">
      <alignment horizontal="center"/>
    </xf>
    <xf numFmtId="0" fontId="4" fillId="0" borderId="55" xfId="0" applyFont="1" applyBorder="1" applyAlignment="1">
      <alignment horizontal="center"/>
    </xf>
    <xf numFmtId="0" fontId="4" fillId="0" borderId="52" xfId="0" applyFont="1" applyBorder="1" applyAlignment="1">
      <alignment wrapText="1"/>
    </xf>
    <xf numFmtId="0" fontId="0" fillId="0" borderId="32" xfId="0" applyBorder="1" applyAlignment="1">
      <alignment wrapText="1"/>
    </xf>
    <xf numFmtId="0" fontId="0" fillId="0" borderId="32" xfId="0" applyBorder="1"/>
    <xf numFmtId="0" fontId="0" fillId="0" borderId="32" xfId="0" applyBorder="1" applyAlignment="1">
      <alignment horizontal="left" vertical="top" wrapText="1"/>
    </xf>
    <xf numFmtId="0" fontId="0" fillId="0" borderId="61" xfId="0" applyBorder="1" applyAlignment="1">
      <alignment wrapText="1"/>
    </xf>
    <xf numFmtId="0" fontId="4" fillId="0" borderId="16" xfId="0" applyFont="1" applyBorder="1" applyAlignment="1">
      <alignment wrapText="1"/>
    </xf>
    <xf numFmtId="0" fontId="4" fillId="0" borderId="16" xfId="0" applyFont="1" applyFill="1" applyBorder="1" applyAlignment="1">
      <alignment wrapText="1"/>
    </xf>
    <xf numFmtId="0" fontId="4" fillId="0" borderId="33" xfId="0" applyFont="1" applyBorder="1" applyAlignment="1">
      <alignment horizontal="center"/>
    </xf>
    <xf numFmtId="0" fontId="4" fillId="0" borderId="0" xfId="0" applyFont="1" applyBorder="1"/>
    <xf numFmtId="0" fontId="4" fillId="0" borderId="21" xfId="0" applyFont="1" applyFill="1" applyBorder="1" applyAlignment="1">
      <alignment wrapText="1"/>
    </xf>
    <xf numFmtId="0" fontId="0" fillId="0" borderId="21" xfId="0" applyBorder="1"/>
    <xf numFmtId="0" fontId="9" fillId="0" borderId="63" xfId="0" applyFont="1" applyBorder="1" applyAlignment="1">
      <alignment horizontal="left" wrapText="1"/>
    </xf>
    <xf numFmtId="0" fontId="30" fillId="0" borderId="63" xfId="0" applyFont="1" applyFill="1" applyBorder="1" applyAlignment="1">
      <alignment horizontal="left" wrapText="1"/>
    </xf>
    <xf numFmtId="0" fontId="9" fillId="0" borderId="63" xfId="0" applyFont="1" applyFill="1" applyBorder="1" applyAlignment="1">
      <alignment horizontal="left" wrapText="1"/>
    </xf>
    <xf numFmtId="0" fontId="9" fillId="0" borderId="63" xfId="0" applyFont="1" applyFill="1" applyBorder="1" applyAlignment="1">
      <alignment horizontal="center" textRotation="90" wrapText="1"/>
    </xf>
    <xf numFmtId="0" fontId="11" fillId="0" borderId="65" xfId="0" applyFont="1" applyFill="1" applyBorder="1" applyAlignment="1">
      <alignment horizontal="left" vertical="center" wrapText="1"/>
    </xf>
    <xf numFmtId="0" fontId="10" fillId="0" borderId="65" xfId="0" applyFont="1" applyFill="1" applyBorder="1"/>
    <xf numFmtId="0" fontId="30" fillId="0" borderId="65" xfId="0" applyFont="1" applyFill="1" applyBorder="1"/>
    <xf numFmtId="0" fontId="30" fillId="0" borderId="65" xfId="0" applyFont="1" applyFill="1" applyBorder="1" applyAlignment="1">
      <alignment wrapText="1"/>
    </xf>
    <xf numFmtId="0" fontId="30" fillId="0" borderId="65" xfId="0" applyFont="1" applyFill="1" applyBorder="1" applyAlignment="1">
      <alignment horizontal="center" vertical="center"/>
    </xf>
    <xf numFmtId="0" fontId="30" fillId="0" borderId="66" xfId="0" applyFont="1" applyFill="1" applyBorder="1" applyAlignment="1">
      <alignment horizontal="center" vertical="center"/>
    </xf>
    <xf numFmtId="0" fontId="11" fillId="0" borderId="68" xfId="0" applyFont="1" applyFill="1" applyBorder="1" applyAlignment="1">
      <alignment horizontal="left" vertical="center" wrapText="1"/>
    </xf>
    <xf numFmtId="0" fontId="10" fillId="0" borderId="68" xfId="0" applyFont="1" applyFill="1" applyBorder="1"/>
    <xf numFmtId="0" fontId="30" fillId="0" borderId="68" xfId="0" applyFont="1" applyFill="1" applyBorder="1"/>
    <xf numFmtId="0" fontId="30" fillId="0" borderId="68" xfId="0" applyFont="1" applyFill="1" applyBorder="1" applyAlignment="1">
      <alignment wrapText="1"/>
    </xf>
    <xf numFmtId="0" fontId="30" fillId="0" borderId="68" xfId="0" applyFont="1" applyFill="1" applyBorder="1" applyAlignment="1">
      <alignment horizontal="center" vertical="center"/>
    </xf>
    <xf numFmtId="0" fontId="30" fillId="0" borderId="69" xfId="0" applyFont="1" applyFill="1" applyBorder="1" applyAlignment="1">
      <alignment horizontal="center" vertical="center"/>
    </xf>
    <xf numFmtId="0" fontId="11" fillId="0" borderId="62" xfId="0" applyFont="1" applyFill="1" applyBorder="1" applyAlignment="1">
      <alignment horizontal="left" vertical="center" wrapText="1"/>
    </xf>
    <xf numFmtId="0" fontId="10" fillId="0" borderId="62" xfId="0" applyFont="1" applyFill="1" applyBorder="1"/>
    <xf numFmtId="0" fontId="30" fillId="0" borderId="62" xfId="0" applyFont="1" applyFill="1" applyBorder="1"/>
    <xf numFmtId="0" fontId="30" fillId="0" borderId="62" xfId="0" applyFont="1" applyFill="1" applyBorder="1" applyAlignment="1">
      <alignment wrapText="1"/>
    </xf>
    <xf numFmtId="0" fontId="30" fillId="0" borderId="62" xfId="0" applyFont="1" applyFill="1" applyBorder="1" applyAlignment="1">
      <alignment horizontal="center" vertical="center"/>
    </xf>
    <xf numFmtId="0" fontId="30" fillId="0" borderId="71" xfId="0" applyFont="1" applyFill="1" applyBorder="1" applyAlignment="1">
      <alignment horizontal="center" vertical="center"/>
    </xf>
    <xf numFmtId="0" fontId="10" fillId="0" borderId="65" xfId="0" applyFont="1" applyFill="1" applyBorder="1" applyAlignment="1">
      <alignment horizontal="center" vertical="center"/>
    </xf>
    <xf numFmtId="0" fontId="9" fillId="0" borderId="65" xfId="0" applyFont="1" applyFill="1" applyBorder="1" applyAlignment="1">
      <alignment horizontal="left" wrapText="1"/>
    </xf>
    <xf numFmtId="0" fontId="10" fillId="0" borderId="62" xfId="0" applyFont="1" applyFill="1" applyBorder="1" applyAlignment="1">
      <alignment wrapText="1"/>
    </xf>
    <xf numFmtId="0" fontId="10" fillId="0" borderId="68" xfId="0" applyFont="1" applyFill="1" applyBorder="1" applyAlignment="1">
      <alignment wrapText="1"/>
    </xf>
    <xf numFmtId="0" fontId="10" fillId="0" borderId="65" xfId="0" applyFont="1" applyFill="1" applyBorder="1" applyAlignment="1">
      <alignment horizontal="left" vertical="center" wrapText="1"/>
    </xf>
    <xf numFmtId="0" fontId="10" fillId="0" borderId="62" xfId="0" applyFont="1" applyFill="1" applyBorder="1" applyAlignment="1">
      <alignment horizontal="left" vertical="center" wrapText="1"/>
    </xf>
    <xf numFmtId="0" fontId="10" fillId="0" borderId="68" xfId="0" applyFont="1" applyFill="1" applyBorder="1" applyAlignment="1">
      <alignment horizontal="left" vertical="center" wrapText="1"/>
    </xf>
    <xf numFmtId="0" fontId="0" fillId="0" borderId="72" xfId="0" applyFont="1" applyBorder="1" applyAlignment="1">
      <alignment horizontal="center" textRotation="90" wrapText="1"/>
    </xf>
    <xf numFmtId="0" fontId="0" fillId="0" borderId="72" xfId="0" applyFont="1" applyBorder="1" applyAlignment="1">
      <alignment horizontal="center" textRotation="90"/>
    </xf>
    <xf numFmtId="0" fontId="29" fillId="0" borderId="72" xfId="0" applyFont="1" applyBorder="1" applyAlignment="1">
      <alignment horizontal="left" vertical="center" wrapText="1"/>
    </xf>
    <xf numFmtId="0" fontId="0" fillId="0" borderId="72" xfId="0" applyFont="1" applyBorder="1" applyAlignment="1">
      <alignment horizontal="center" vertical="center"/>
    </xf>
    <xf numFmtId="0" fontId="0" fillId="0" borderId="73" xfId="0" applyFont="1" applyBorder="1" applyAlignment="1">
      <alignment wrapText="1"/>
    </xf>
    <xf numFmtId="0" fontId="1" fillId="0" borderId="73" xfId="0" applyFont="1" applyBorder="1" applyAlignment="1">
      <alignment wrapText="1"/>
    </xf>
    <xf numFmtId="0" fontId="0" fillId="0" borderId="77" xfId="0" applyFont="1" applyBorder="1" applyAlignment="1">
      <alignment horizontal="center" textRotation="90" wrapText="1"/>
    </xf>
    <xf numFmtId="0" fontId="0" fillId="0" borderId="78" xfId="0" applyFont="1" applyBorder="1" applyAlignment="1">
      <alignment horizontal="center" textRotation="90" wrapText="1"/>
    </xf>
    <xf numFmtId="0" fontId="0" fillId="0" borderId="77" xfId="0" applyFont="1" applyBorder="1" applyAlignment="1">
      <alignment horizontal="center" vertical="center"/>
    </xf>
    <xf numFmtId="0" fontId="0" fillId="0" borderId="78" xfId="0" applyFont="1" applyBorder="1" applyAlignment="1">
      <alignment horizontal="center" vertical="center"/>
    </xf>
    <xf numFmtId="0" fontId="0" fillId="0" borderId="79" xfId="0" applyFont="1" applyBorder="1" applyAlignment="1">
      <alignment horizontal="center" vertical="center"/>
    </xf>
    <xf numFmtId="0" fontId="0" fillId="0" borderId="80" xfId="0" applyFont="1" applyBorder="1" applyAlignment="1">
      <alignment horizontal="center" vertical="center"/>
    </xf>
    <xf numFmtId="0" fontId="0" fillId="0" borderId="81" xfId="0" applyFont="1" applyBorder="1" applyAlignment="1">
      <alignment horizontal="center" vertical="center"/>
    </xf>
    <xf numFmtId="0" fontId="0" fillId="0" borderId="78" xfId="0" applyFont="1" applyBorder="1" applyAlignment="1">
      <alignment horizontal="center" textRotation="90"/>
    </xf>
    <xf numFmtId="0" fontId="4" fillId="0" borderId="18" xfId="0" applyFont="1" applyBorder="1" applyAlignment="1">
      <alignment horizontal="center" wrapText="1"/>
    </xf>
    <xf numFmtId="0" fontId="4" fillId="0" borderId="26" xfId="0" applyFont="1" applyBorder="1" applyAlignment="1">
      <alignment horizontal="center" wrapText="1"/>
    </xf>
    <xf numFmtId="0" fontId="4" fillId="0" borderId="19" xfId="0" applyFont="1" applyBorder="1" applyAlignment="1">
      <alignment horizontal="center" wrapText="1"/>
    </xf>
    <xf numFmtId="0" fontId="4" fillId="0" borderId="27" xfId="0" applyFont="1" applyBorder="1" applyAlignment="1">
      <alignment horizontal="center" wrapText="1"/>
    </xf>
    <xf numFmtId="0" fontId="0" fillId="0" borderId="12"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7" xfId="0" applyBorder="1" applyAlignment="1">
      <alignment horizontal="center" wrapText="1"/>
    </xf>
    <xf numFmtId="0" fontId="4" fillId="0" borderId="17" xfId="0" applyFont="1" applyBorder="1" applyAlignment="1">
      <alignment horizontal="center" vertical="center"/>
    </xf>
    <xf numFmtId="0" fontId="4" fillId="0" borderId="20" xfId="0" applyFont="1" applyBorder="1" applyAlignment="1">
      <alignment horizontal="center" vertical="center"/>
    </xf>
    <xf numFmtId="0" fontId="4" fillId="0" borderId="22" xfId="0" applyFont="1" applyBorder="1" applyAlignment="1">
      <alignment horizontal="center" vertical="center"/>
    </xf>
    <xf numFmtId="0" fontId="4" fillId="0" borderId="17"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2" xfId="0" applyFont="1" applyBorder="1" applyAlignment="1">
      <alignment horizontal="center" vertical="center" wrapText="1"/>
    </xf>
    <xf numFmtId="0" fontId="0" fillId="0" borderId="17" xfId="0" applyBorder="1" applyAlignment="1">
      <alignment horizontal="center"/>
    </xf>
    <xf numFmtId="0" fontId="0" fillId="0" borderId="25" xfId="0" applyBorder="1" applyAlignment="1">
      <alignment horizontal="center"/>
    </xf>
    <xf numFmtId="0" fontId="9" fillId="0" borderId="64" xfId="0" applyFont="1" applyBorder="1" applyAlignment="1">
      <alignment horizontal="left" vertical="center" wrapText="1"/>
    </xf>
    <xf numFmtId="0" fontId="9" fillId="0" borderId="70" xfId="0" applyFont="1" applyBorder="1" applyAlignment="1">
      <alignment horizontal="left" vertical="center" wrapText="1"/>
    </xf>
    <xf numFmtId="0" fontId="9" fillId="0" borderId="67" xfId="0" applyFont="1" applyBorder="1" applyAlignment="1">
      <alignment horizontal="left" vertical="center" wrapText="1"/>
    </xf>
    <xf numFmtId="0" fontId="16" fillId="10" borderId="0" xfId="0" applyFont="1" applyFill="1" applyAlignment="1">
      <alignment horizontal="center" vertical="center" textRotation="90"/>
    </xf>
    <xf numFmtId="0" fontId="4" fillId="0" borderId="74" xfId="0" applyFont="1" applyBorder="1" applyAlignment="1">
      <alignment horizontal="center" vertical="center"/>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4" fillId="0" borderId="74" xfId="0" applyFont="1" applyBorder="1" applyAlignment="1">
      <alignment horizontal="center" vertical="center" wrapText="1"/>
    </xf>
    <xf numFmtId="0" fontId="4" fillId="0" borderId="75" xfId="0" applyFont="1" applyBorder="1" applyAlignment="1">
      <alignment horizontal="center" vertical="center" wrapText="1"/>
    </xf>
    <xf numFmtId="0" fontId="4" fillId="0" borderId="76" xfId="0" applyFont="1" applyBorder="1" applyAlignment="1">
      <alignment horizontal="center" vertical="center" wrapText="1"/>
    </xf>
    <xf numFmtId="0" fontId="0" fillId="0" borderId="72" xfId="0" applyFont="1" applyBorder="1" applyAlignment="1">
      <alignment horizontal="left" wrapText="1"/>
    </xf>
    <xf numFmtId="0" fontId="0" fillId="0" borderId="73" xfId="0" applyFont="1" applyBorder="1" applyAlignment="1">
      <alignment horizontal="left"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4" fillId="0" borderId="48"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4" fillId="0" borderId="48"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50" xfId="0" applyFont="1" applyBorder="1" applyAlignment="1">
      <alignment horizontal="center" vertical="center" wrapText="1"/>
    </xf>
    <xf numFmtId="0" fontId="0" fillId="0" borderId="4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3" fillId="0" borderId="0" xfId="0" applyFont="1" applyAlignment="1">
      <alignment horizontal="left" wrapText="1"/>
    </xf>
    <xf numFmtId="0" fontId="0" fillId="0" borderId="0" xfId="0" applyAlignment="1">
      <alignment horizontal="left" wrapText="1"/>
    </xf>
    <xf numFmtId="0" fontId="17" fillId="0" borderId="48" xfId="0" applyFont="1" applyBorder="1" applyAlignment="1">
      <alignment horizontal="center" vertical="center"/>
    </xf>
    <xf numFmtId="0" fontId="17" fillId="0" borderId="50" xfId="0" applyFont="1" applyBorder="1" applyAlignment="1">
      <alignment horizontal="center" vertical="center"/>
    </xf>
    <xf numFmtId="0" fontId="4" fillId="0" borderId="18" xfId="0" applyFont="1" applyBorder="1" applyAlignment="1">
      <alignment horizontal="center"/>
    </xf>
    <xf numFmtId="0" fontId="4" fillId="0" borderId="19" xfId="0" applyFont="1" applyBorder="1" applyAlignment="1">
      <alignment horizontal="center"/>
    </xf>
    <xf numFmtId="0" fontId="0" fillId="0" borderId="18" xfId="0" applyBorder="1" applyAlignment="1">
      <alignment horizontal="center"/>
    </xf>
    <xf numFmtId="0" fontId="4" fillId="0" borderId="47" xfId="0" applyFont="1" applyBorder="1" applyAlignment="1">
      <alignment horizontal="center"/>
    </xf>
    <xf numFmtId="0" fontId="4" fillId="0" borderId="32" xfId="0" applyFont="1" applyBorder="1" applyAlignment="1">
      <alignment horizontal="center"/>
    </xf>
    <xf numFmtId="0" fontId="4" fillId="0" borderId="54" xfId="0" applyFont="1" applyBorder="1" applyAlignment="1">
      <alignment horizontal="center"/>
    </xf>
    <xf numFmtId="0" fontId="4" fillId="0" borderId="55" xfId="0" applyFont="1" applyBorder="1" applyAlignment="1">
      <alignment horizontal="center"/>
    </xf>
    <xf numFmtId="0" fontId="0" fillId="0" borderId="0" xfId="0"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xf>
    <xf numFmtId="0" fontId="0" fillId="0" borderId="6" xfId="0" applyBorder="1" applyAlignment="1">
      <alignment horizontal="left" vertical="top"/>
    </xf>
    <xf numFmtId="0" fontId="0" fillId="0" borderId="1"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2" borderId="2" xfId="0" applyFill="1" applyBorder="1" applyAlignment="1">
      <alignment horizontal="center" vertical="top" wrapText="1"/>
    </xf>
    <xf numFmtId="0" fontId="0" fillId="2" borderId="0" xfId="0" applyFill="1" applyAlignment="1">
      <alignment horizontal="center" vertical="top" wrapText="1"/>
    </xf>
    <xf numFmtId="0" fontId="0" fillId="2" borderId="7" xfId="0" applyFill="1" applyBorder="1" applyAlignment="1">
      <alignment horizontal="center" vertical="top" wrapText="1"/>
    </xf>
    <xf numFmtId="0" fontId="0" fillId="2" borderId="1" xfId="0" applyFill="1" applyBorder="1" applyAlignment="1">
      <alignment horizontal="left" vertical="top"/>
    </xf>
    <xf numFmtId="0" fontId="0" fillId="2" borderId="4" xfId="0" applyFill="1" applyBorder="1" applyAlignment="1">
      <alignment horizontal="left" vertical="top"/>
    </xf>
    <xf numFmtId="0" fontId="0" fillId="2" borderId="6" xfId="0" applyFill="1" applyBorder="1" applyAlignment="1">
      <alignment horizontal="left" vertical="top"/>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center" vertical="top" wrapText="1"/>
    </xf>
    <xf numFmtId="0" fontId="0" fillId="0" borderId="0" xfId="0" applyAlignment="1">
      <alignment horizontal="center" vertical="top" wrapText="1"/>
    </xf>
    <xf numFmtId="0" fontId="0" fillId="0" borderId="7" xfId="0" applyBorder="1" applyAlignment="1">
      <alignment horizontal="center" vertical="top" wrapText="1"/>
    </xf>
    <xf numFmtId="0" fontId="0" fillId="0" borderId="1" xfId="0" applyBorder="1" applyAlignment="1">
      <alignment horizontal="center" vertical="top"/>
    </xf>
    <xf numFmtId="0" fontId="0" fillId="0" borderId="4" xfId="0"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11" fillId="0" borderId="28" xfId="0" applyFont="1" applyBorder="1" applyAlignment="1">
      <alignment horizontal="center" wrapText="1"/>
    </xf>
    <xf numFmtId="0" fontId="11" fillId="0" borderId="34" xfId="0" applyFont="1" applyBorder="1" applyAlignment="1">
      <alignment horizontal="left" vertical="center" textRotation="90" wrapText="1"/>
    </xf>
    <xf numFmtId="0" fontId="11" fillId="0" borderId="35" xfId="0" applyFont="1" applyBorder="1" applyAlignment="1">
      <alignment horizontal="left" vertical="center" textRotation="90" wrapText="1"/>
    </xf>
    <xf numFmtId="0" fontId="11" fillId="0" borderId="36" xfId="0" applyFont="1" applyBorder="1" applyAlignment="1">
      <alignment horizontal="left" vertical="center" textRotation="90" wrapText="1"/>
    </xf>
    <xf numFmtId="0" fontId="11" fillId="0" borderId="41" xfId="0" applyFont="1" applyBorder="1" applyAlignment="1">
      <alignment horizontal="left" vertical="center" textRotation="90" wrapText="1"/>
    </xf>
    <xf numFmtId="0" fontId="0" fillId="0" borderId="22" xfId="0" applyBorder="1" applyAlignment="1">
      <alignment horizontal="center"/>
    </xf>
    <xf numFmtId="0" fontId="0" fillId="0" borderId="23" xfId="0" applyBorder="1" applyAlignment="1">
      <alignment horizontal="center"/>
    </xf>
    <xf numFmtId="0" fontId="0" fillId="0" borderId="16" xfId="0" applyBorder="1" applyAlignment="1">
      <alignment horizontal="center"/>
    </xf>
    <xf numFmtId="0" fontId="0" fillId="0" borderId="21" xfId="0" applyBorder="1" applyAlignment="1">
      <alignment horizontal="center"/>
    </xf>
    <xf numFmtId="0" fontId="14" fillId="0" borderId="16" xfId="0" applyFont="1" applyBorder="1" applyAlignment="1">
      <alignment horizontal="center"/>
    </xf>
    <xf numFmtId="0" fontId="14" fillId="0" borderId="21" xfId="0" applyFont="1" applyBorder="1" applyAlignment="1">
      <alignment horizontal="center"/>
    </xf>
    <xf numFmtId="0" fontId="14" fillId="0" borderId="23" xfId="0" applyFont="1" applyBorder="1" applyAlignment="1">
      <alignment horizontal="center"/>
    </xf>
    <xf numFmtId="0" fontId="14" fillId="0" borderId="24" xfId="0" applyFon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9" fillId="0" borderId="0" xfId="0" applyFont="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11" fillId="0" borderId="3" xfId="0" applyFont="1" applyBorder="1" applyAlignment="1">
      <alignment horizontal="center" wrapText="1"/>
    </xf>
    <xf numFmtId="0" fontId="11" fillId="0" borderId="5" xfId="0" applyFont="1" applyBorder="1" applyAlignment="1">
      <alignment horizontal="center" wrapText="1"/>
    </xf>
    <xf numFmtId="0" fontId="11" fillId="0" borderId="8" xfId="0" applyFont="1" applyBorder="1" applyAlignment="1">
      <alignment horizontal="center" wrapText="1"/>
    </xf>
    <xf numFmtId="0" fontId="11" fillId="0" borderId="26" xfId="0" applyFont="1" applyBorder="1" applyAlignment="1">
      <alignment horizontal="center" wrapText="1"/>
    </xf>
    <xf numFmtId="0" fontId="11" fillId="0" borderId="0" xfId="0" applyFont="1" applyAlignment="1">
      <alignment horizontal="center" wrapText="1"/>
    </xf>
    <xf numFmtId="0" fontId="10" fillId="0" borderId="0" xfId="0" applyFont="1" applyAlignment="1">
      <alignment horizontal="center" wrapText="1"/>
    </xf>
    <xf numFmtId="0" fontId="11" fillId="0" borderId="7" xfId="0" applyFont="1" applyBorder="1" applyAlignment="1">
      <alignment horizontal="center" wrapText="1"/>
    </xf>
    <xf numFmtId="0" fontId="11" fillId="0" borderId="41" xfId="0" applyFont="1" applyBorder="1" applyAlignment="1">
      <alignment horizontal="center" vertical="center" textRotation="90" wrapText="1"/>
    </xf>
    <xf numFmtId="0" fontId="11" fillId="0" borderId="35" xfId="0" applyFont="1" applyBorder="1" applyAlignment="1">
      <alignment horizontal="center" vertical="center" textRotation="90" wrapText="1"/>
    </xf>
    <xf numFmtId="0" fontId="11" fillId="0" borderId="36" xfId="0" applyFont="1" applyBorder="1" applyAlignment="1">
      <alignment horizontal="center" vertical="center" textRotation="90" wrapText="1"/>
    </xf>
    <xf numFmtId="0" fontId="14" fillId="0" borderId="20" xfId="0" applyFont="1" applyBorder="1" applyAlignment="1">
      <alignment horizontal="center"/>
    </xf>
    <xf numFmtId="0" fontId="14" fillId="0" borderId="22" xfId="0" applyFont="1" applyBorder="1" applyAlignment="1">
      <alignment horizontal="center"/>
    </xf>
    <xf numFmtId="0" fontId="14" fillId="0" borderId="9" xfId="0" applyFont="1" applyBorder="1" applyAlignment="1">
      <alignment horizontal="center"/>
    </xf>
    <xf numFmtId="0" fontId="11" fillId="0" borderId="34" xfId="0" applyFont="1" applyBorder="1" applyAlignment="1">
      <alignment horizontal="center" vertical="center" textRotation="90" wrapText="1"/>
    </xf>
    <xf numFmtId="0" fontId="11" fillId="0" borderId="37" xfId="0" applyFont="1" applyBorder="1" applyAlignment="1">
      <alignment horizontal="left" vertical="center" textRotation="90" wrapText="1"/>
    </xf>
    <xf numFmtId="0" fontId="15" fillId="0" borderId="34" xfId="0" applyFont="1" applyBorder="1" applyAlignment="1">
      <alignment horizontal="left" vertical="center" textRotation="90" wrapText="1"/>
    </xf>
    <xf numFmtId="0" fontId="15" fillId="0" borderId="35" xfId="0" applyFont="1" applyBorder="1" applyAlignment="1">
      <alignment horizontal="left" vertical="center" textRotation="90" wrapText="1"/>
    </xf>
    <xf numFmtId="0" fontId="0" fillId="0" borderId="42" xfId="0" applyBorder="1" applyAlignment="1">
      <alignment horizontal="center"/>
    </xf>
    <xf numFmtId="0" fontId="0" fillId="0" borderId="24" xfId="0" applyBorder="1" applyAlignment="1">
      <alignment horizontal="center"/>
    </xf>
    <xf numFmtId="0" fontId="14" fillId="0" borderId="11" xfId="0" applyFont="1" applyBorder="1" applyAlignment="1">
      <alignment horizontal="center"/>
    </xf>
    <xf numFmtId="0" fontId="14" fillId="0" borderId="43" xfId="0" applyFont="1" applyBorder="1" applyAlignment="1">
      <alignment horizontal="center"/>
    </xf>
    <xf numFmtId="0" fontId="0" fillId="0" borderId="43" xfId="0" applyBorder="1" applyAlignment="1">
      <alignment horizontal="center"/>
    </xf>
    <xf numFmtId="0" fontId="14" fillId="0" borderId="45" xfId="0" applyFont="1"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0" xfId="0" applyAlignment="1">
      <alignment horizontal="left" vertical="center"/>
    </xf>
    <xf numFmtId="0" fontId="0" fillId="0" borderId="2"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21" fillId="10" borderId="2" xfId="0" applyFont="1" applyFill="1" applyBorder="1" applyAlignment="1">
      <alignment horizontal="center" vertical="center" textRotation="90"/>
    </xf>
    <xf numFmtId="0" fontId="21" fillId="10" borderId="0" xfId="0" applyFont="1" applyFill="1" applyAlignment="1">
      <alignment horizontal="center" vertical="center" textRotation="90"/>
    </xf>
    <xf numFmtId="0" fontId="21" fillId="10" borderId="7" xfId="0" applyFont="1" applyFill="1" applyBorder="1" applyAlignment="1">
      <alignment horizontal="center" vertical="center" textRotation="90"/>
    </xf>
    <xf numFmtId="0" fontId="16" fillId="10" borderId="7" xfId="0" applyFont="1" applyFill="1" applyBorder="1" applyAlignment="1">
      <alignment horizontal="center" vertical="center" textRotation="90"/>
    </xf>
    <xf numFmtId="0" fontId="11" fillId="0" borderId="26" xfId="0" applyFont="1" applyBorder="1" applyAlignment="1">
      <alignment horizontal="left" vertical="center" wrapText="1"/>
    </xf>
    <xf numFmtId="0" fontId="11" fillId="0" borderId="28" xfId="0" applyFont="1" applyBorder="1" applyAlignment="1">
      <alignment horizontal="left" vertical="center" wrapText="1"/>
    </xf>
    <xf numFmtId="0" fontId="11" fillId="0" borderId="46" xfId="0" applyFont="1" applyBorder="1" applyAlignment="1">
      <alignment horizontal="left" vertical="center" wrapText="1"/>
    </xf>
    <xf numFmtId="0" fontId="11" fillId="0" borderId="1" xfId="0" applyFont="1" applyBorder="1" applyAlignment="1">
      <alignment horizontal="left" vertical="center"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0" fillId="12" borderId="2" xfId="0" applyFill="1" applyBorder="1" applyAlignment="1">
      <alignment horizontal="center"/>
    </xf>
    <xf numFmtId="0" fontId="0" fillId="12" borderId="0" xfId="0" applyFill="1" applyAlignment="1">
      <alignment horizontal="center"/>
    </xf>
    <xf numFmtId="0" fontId="0" fillId="12" borderId="7" xfId="0" applyFill="1" applyBorder="1" applyAlignment="1">
      <alignment horizontal="center"/>
    </xf>
    <xf numFmtId="0" fontId="19" fillId="0" borderId="26" xfId="0" applyFont="1" applyBorder="1" applyAlignment="1">
      <alignment horizontal="left" vertical="center" wrapText="1"/>
    </xf>
    <xf numFmtId="0" fontId="19" fillId="0" borderId="28" xfId="0" applyFont="1" applyBorder="1" applyAlignment="1">
      <alignment horizontal="left" vertical="center" wrapText="1"/>
    </xf>
    <xf numFmtId="0" fontId="19" fillId="0" borderId="46" xfId="0" applyFont="1" applyBorder="1" applyAlignment="1">
      <alignment horizontal="left" vertical="center" wrapText="1"/>
    </xf>
    <xf numFmtId="0" fontId="8" fillId="0" borderId="2" xfId="0" applyFont="1" applyBorder="1" applyAlignment="1">
      <alignment horizontal="center"/>
    </xf>
    <xf numFmtId="0" fontId="8" fillId="0" borderId="0" xfId="0" applyFont="1" applyAlignment="1">
      <alignment horizontal="center"/>
    </xf>
    <xf numFmtId="0" fontId="8" fillId="0" borderId="7" xfId="0" applyFont="1" applyBorder="1" applyAlignment="1">
      <alignment horizontal="center"/>
    </xf>
    <xf numFmtId="0" fontId="22" fillId="0" borderId="0" xfId="0" applyFont="1" applyAlignment="1">
      <alignment horizontal="center" vertical="center"/>
    </xf>
    <xf numFmtId="0" fontId="0" fillId="0" borderId="0" xfId="0" applyFont="1" applyFill="1" applyBorder="1" applyAlignment="1">
      <alignment horizontal="center" textRotation="90"/>
    </xf>
    <xf numFmtId="0" fontId="0" fillId="0" borderId="0" xfId="0" applyFont="1" applyFill="1" applyBorder="1" applyAlignment="1">
      <alignment horizontal="center" vertical="center"/>
    </xf>
  </cellXfs>
  <cellStyles count="2">
    <cellStyle name="Link" xfId="1" builtinId="8"/>
    <cellStyle name="Standard" xfId="0" builtinId="0"/>
  </cellStyles>
  <dxfs count="270">
    <dxf>
      <font>
        <color rgb="FF9C0006"/>
      </font>
      <fill>
        <patternFill>
          <bgColor rgb="FFFFC7CE"/>
        </patternFill>
      </fill>
    </dxf>
    <dxf>
      <font>
        <color rgb="FF9C0006"/>
      </font>
      <fill>
        <patternFill>
          <bgColor rgb="FFFFC7CE"/>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
      <fill>
        <patternFill>
          <bgColor rgb="FFFF0000"/>
        </patternFill>
      </fill>
    </dxf>
    <dxf>
      <fill>
        <patternFill>
          <bgColor theme="5" tint="0.39994506668294322"/>
        </patternFill>
      </fill>
    </dxf>
    <dxf>
      <fill>
        <patternFill>
          <bgColor theme="7" tint="0.79998168889431442"/>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677539</xdr:colOff>
      <xdr:row>17</xdr:row>
      <xdr:rowOff>178501</xdr:rowOff>
    </xdr:to>
    <xdr:pic>
      <xdr:nvPicPr>
        <xdr:cNvPr id="2" name="Grafik 1">
          <a:extLst>
            <a:ext uri="{FF2B5EF4-FFF2-40B4-BE49-F238E27FC236}">
              <a16:creationId xmlns:a16="http://schemas.microsoft.com/office/drawing/2014/main" id="{AD522DDF-2BFF-4153-F6E2-4800F74C2EDF}"/>
            </a:ext>
          </a:extLst>
        </xdr:cNvPr>
        <xdr:cNvPicPr>
          <a:picLocks noChangeAspect="1"/>
        </xdr:cNvPicPr>
      </xdr:nvPicPr>
      <xdr:blipFill>
        <a:blip xmlns:r="http://schemas.openxmlformats.org/officeDocument/2006/relationships" r:embed="rId1"/>
        <a:stretch>
          <a:fillRect/>
        </a:stretch>
      </xdr:blipFill>
      <xdr:spPr>
        <a:xfrm>
          <a:off x="15830550" y="981075"/>
          <a:ext cx="9059539" cy="50203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ebecca" id="{F0E660D5-F237-429E-AF97-0876F72EA0D7}" userId="Rebecca" providerId="None"/>
  <person displayName="Könemann, Ulf" id="{8AE6F94B-FCB2-49DE-B05F-85985BCA52FA}" userId="S::ulf.koenemann@iem.fraunhofer.de::a83910bc-68f8-45e1-8c6f-3b3a131e79d1"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9" dT="2021-08-12T08:13:22.29" personId="{8AE6F94B-FCB2-49DE-B05F-85985BCA52FA}" id="{3F2D9C34-2320-4E1C-A1D3-B802C4CE4AFE}">
    <text>Abgrenzung zu "Logistics" prüfen. Betrieb und Support: Erweiteurng, Trouble-Shooting; Logictics: Von A nach B bringen, Service und Maintainance</text>
  </threadedComment>
  <threadedComment ref="K39" dT="2021-08-12T07:31:34.75" personId="{8AE6F94B-FCB2-49DE-B05F-85985BCA52FA}" id="{182E2CDA-306E-4838-AAEE-465C0891FD02}">
    <text>Bei Produktowner = 2; Sonster 1 oder 0</text>
  </threadedComment>
  <threadedComment ref="K45" dT="2021-08-12T07:31:56.42" personId="{8AE6F94B-FCB2-49DE-B05F-85985BCA52FA}" id="{E810DEF2-0857-4595-953C-FB4D60A0818E}">
    <text>Für Produktowenr =2 ; ansomsten eine 1</text>
  </threadedComment>
</ThreadedComments>
</file>

<file path=xl/threadedComments/threadedComment2.xml><?xml version="1.0" encoding="utf-8"?>
<ThreadedComments xmlns="http://schemas.microsoft.com/office/spreadsheetml/2018/threadedcomments" xmlns:x="http://schemas.openxmlformats.org/spreadsheetml/2006/main">
  <threadedComment ref="M101" dT="2021-07-23T12:12:12.53" personId="{F0E660D5-F237-429E-AF97-0876F72EA0D7}" id="{9C2FA526-AF46-47B1-9B2D-EE3989EB74C5}">
    <text>behält Verantwortung nach Projektende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bin"/><Relationship Id="rId1" Type="http://schemas.openxmlformats.org/officeDocument/2006/relationships/hyperlink" Target="../../2021/Sprint_20210930_211022/Literatur%20und%20Input/05%20Kompetenzen/ISECF-v1_INCOSE%20SE-Competency%20Framework.pdf"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E8610-4C75-41C3-9821-BE56EC9F4A51}">
  <dimension ref="A1:M35"/>
  <sheetViews>
    <sheetView topLeftCell="B11" zoomScaleNormal="100" workbookViewId="0">
      <selection activeCell="O18" sqref="O18"/>
    </sheetView>
  </sheetViews>
  <sheetFormatPr baseColWidth="10" defaultColWidth="11.3984375" defaultRowHeight="12.75" x14ac:dyDescent="0.35"/>
  <cols>
    <col min="1" max="1" width="23.86328125" hidden="1" customWidth="1"/>
    <col min="2" max="2" width="32.86328125" customWidth="1"/>
    <col min="3" max="3" width="40.59765625" customWidth="1"/>
    <col min="4" max="4" width="29.59765625" customWidth="1"/>
    <col min="5" max="5" width="7" hidden="1" customWidth="1"/>
    <col min="6" max="6" width="72.3984375" hidden="1" customWidth="1"/>
    <col min="7" max="7" width="26" hidden="1" customWidth="1"/>
    <col min="8" max="8" width="34" hidden="1" customWidth="1"/>
    <col min="9" max="9" width="28.59765625" hidden="1" customWidth="1"/>
    <col min="10" max="10" width="34.3984375" hidden="1" customWidth="1"/>
    <col min="11" max="11" width="32.1328125" hidden="1" customWidth="1"/>
  </cols>
  <sheetData>
    <row r="1" spans="1:13" ht="18" customHeight="1" thickBot="1" x14ac:dyDescent="0.4"/>
    <row r="2" spans="1:13" ht="25.5" customHeight="1" x14ac:dyDescent="0.35">
      <c r="A2" s="315"/>
      <c r="B2" s="301" t="s">
        <v>925</v>
      </c>
      <c r="C2" s="301" t="s">
        <v>0</v>
      </c>
      <c r="D2" s="303" t="s">
        <v>1</v>
      </c>
      <c r="E2" s="307"/>
      <c r="F2" s="305" t="s">
        <v>2</v>
      </c>
      <c r="G2" s="66" t="s">
        <v>3</v>
      </c>
      <c r="H2" s="66" t="s">
        <v>4</v>
      </c>
      <c r="I2" s="66" t="s">
        <v>5</v>
      </c>
      <c r="J2" s="66" t="s">
        <v>6</v>
      </c>
      <c r="K2" s="66" t="s">
        <v>7</v>
      </c>
      <c r="L2" s="240"/>
      <c r="M2" s="240"/>
    </row>
    <row r="3" spans="1:13" ht="14.65" thickBot="1" x14ac:dyDescent="0.5">
      <c r="A3" s="316"/>
      <c r="B3" s="302"/>
      <c r="C3" s="302"/>
      <c r="D3" s="304"/>
      <c r="E3" s="308"/>
      <c r="F3" s="306"/>
      <c r="G3" s="65" t="s">
        <v>8</v>
      </c>
      <c r="H3" s="65" t="s">
        <v>9</v>
      </c>
      <c r="I3" s="65" t="s">
        <v>10</v>
      </c>
      <c r="J3" s="65" t="s">
        <v>11</v>
      </c>
      <c r="K3" s="65" t="s">
        <v>12</v>
      </c>
    </row>
    <row r="4" spans="1:13" ht="128.25" x14ac:dyDescent="0.35">
      <c r="A4" s="309" t="s">
        <v>13</v>
      </c>
      <c r="B4" s="86" t="s">
        <v>14</v>
      </c>
      <c r="C4" s="86" t="s">
        <v>15</v>
      </c>
      <c r="D4" s="87" t="s">
        <v>16</v>
      </c>
      <c r="E4" s="16"/>
      <c r="F4" s="67" t="s">
        <v>17</v>
      </c>
      <c r="G4" s="68" t="s">
        <v>18</v>
      </c>
      <c r="H4" s="68" t="s">
        <v>19</v>
      </c>
      <c r="I4" s="68" t="s">
        <v>20</v>
      </c>
      <c r="J4" s="68" t="s">
        <v>21</v>
      </c>
      <c r="K4" s="68" t="s">
        <v>22</v>
      </c>
      <c r="L4" s="68"/>
      <c r="M4" s="68"/>
    </row>
    <row r="5" spans="1:13" ht="73.349999999999994" customHeight="1" x14ac:dyDescent="0.35">
      <c r="A5" s="310"/>
      <c r="B5" s="76" t="s">
        <v>23</v>
      </c>
      <c r="C5" s="76" t="s">
        <v>24</v>
      </c>
      <c r="D5" s="82" t="s">
        <v>23</v>
      </c>
      <c r="E5" s="16"/>
      <c r="F5" s="69" t="s">
        <v>25</v>
      </c>
      <c r="G5" s="68" t="s">
        <v>26</v>
      </c>
      <c r="H5" s="68" t="s">
        <v>27</v>
      </c>
      <c r="I5" s="68" t="s">
        <v>28</v>
      </c>
      <c r="J5" s="68" t="s">
        <v>29</v>
      </c>
      <c r="K5" s="68" t="s">
        <v>30</v>
      </c>
    </row>
    <row r="6" spans="1:13" ht="73.349999999999994" customHeight="1" x14ac:dyDescent="0.35">
      <c r="A6" s="310"/>
      <c r="B6" s="77" t="s">
        <v>31</v>
      </c>
      <c r="C6" s="76" t="s">
        <v>32</v>
      </c>
      <c r="D6" s="82" t="s">
        <v>33</v>
      </c>
      <c r="E6" s="16"/>
      <c r="F6" s="69"/>
      <c r="G6" s="68"/>
      <c r="H6" s="68"/>
      <c r="I6" s="68"/>
      <c r="J6" s="68"/>
      <c r="K6" s="68"/>
    </row>
    <row r="7" spans="1:13" ht="73.349999999999994" customHeight="1" thickBot="1" x14ac:dyDescent="0.4">
      <c r="A7" s="311"/>
      <c r="B7" s="88" t="s">
        <v>34</v>
      </c>
      <c r="C7" s="88" t="s">
        <v>35</v>
      </c>
      <c r="D7" s="85"/>
      <c r="E7" s="16"/>
      <c r="F7" s="69"/>
      <c r="G7" s="68"/>
      <c r="H7" s="68"/>
      <c r="I7" s="68"/>
      <c r="J7" s="68"/>
      <c r="K7" s="68"/>
    </row>
    <row r="8" spans="1:13" ht="66" customHeight="1" x14ac:dyDescent="0.35">
      <c r="A8" s="309" t="s">
        <v>36</v>
      </c>
      <c r="B8" s="86" t="s">
        <v>37</v>
      </c>
      <c r="C8" s="86" t="s">
        <v>38</v>
      </c>
      <c r="D8" s="87" t="s">
        <v>39</v>
      </c>
      <c r="E8" s="16"/>
      <c r="F8" s="67" t="s">
        <v>40</v>
      </c>
      <c r="G8" s="68" t="s">
        <v>41</v>
      </c>
      <c r="H8" s="16" t="s">
        <v>42</v>
      </c>
      <c r="I8" s="16" t="s">
        <v>43</v>
      </c>
      <c r="J8" s="16" t="s">
        <v>44</v>
      </c>
      <c r="K8" s="16" t="s">
        <v>45</v>
      </c>
    </row>
    <row r="9" spans="1:13" ht="84" customHeight="1" x14ac:dyDescent="0.35">
      <c r="A9" s="310"/>
      <c r="B9" s="76" t="s">
        <v>46</v>
      </c>
      <c r="C9" s="76" t="s">
        <v>47</v>
      </c>
      <c r="D9" s="82" t="s">
        <v>48</v>
      </c>
      <c r="E9" s="16"/>
      <c r="F9" s="70" t="s">
        <v>49</v>
      </c>
      <c r="G9" s="68" t="s">
        <v>50</v>
      </c>
      <c r="H9" s="16" t="s">
        <v>51</v>
      </c>
      <c r="I9" s="16" t="s">
        <v>52</v>
      </c>
      <c r="J9" s="16" t="s">
        <v>53</v>
      </c>
      <c r="K9" s="16" t="s">
        <v>54</v>
      </c>
    </row>
    <row r="10" spans="1:13" ht="113.1" customHeight="1" x14ac:dyDescent="0.35">
      <c r="A10" s="310"/>
      <c r="B10" s="76" t="s">
        <v>55</v>
      </c>
      <c r="C10" s="76" t="s">
        <v>56</v>
      </c>
      <c r="D10" s="82" t="s">
        <v>57</v>
      </c>
      <c r="E10" s="16"/>
      <c r="F10" s="70" t="s">
        <v>58</v>
      </c>
      <c r="G10" s="16" t="s">
        <v>59</v>
      </c>
      <c r="H10" s="16" t="s">
        <v>60</v>
      </c>
      <c r="I10" s="16" t="s">
        <v>61</v>
      </c>
      <c r="J10" s="16" t="s">
        <v>62</v>
      </c>
      <c r="K10" s="16" t="s">
        <v>63</v>
      </c>
    </row>
    <row r="11" spans="1:13" ht="113.1" customHeight="1" x14ac:dyDescent="0.35">
      <c r="A11" s="310"/>
      <c r="B11" s="76" t="s">
        <v>64</v>
      </c>
      <c r="C11" s="76" t="s">
        <v>65</v>
      </c>
      <c r="D11" s="82" t="s">
        <v>66</v>
      </c>
      <c r="E11" s="16"/>
      <c r="F11" s="70"/>
      <c r="G11" s="16"/>
      <c r="H11" s="16"/>
      <c r="I11" s="16"/>
      <c r="J11" s="16"/>
      <c r="K11" s="16"/>
    </row>
    <row r="12" spans="1:13" ht="51" customHeight="1" thickBot="1" x14ac:dyDescent="0.4">
      <c r="A12" s="311"/>
      <c r="B12" s="88" t="s">
        <v>67</v>
      </c>
      <c r="C12" s="88" t="s">
        <v>68</v>
      </c>
      <c r="D12" s="85" t="s">
        <v>69</v>
      </c>
      <c r="E12" s="16"/>
      <c r="F12" s="70"/>
      <c r="G12" s="16"/>
      <c r="H12" s="16"/>
      <c r="I12" s="16"/>
      <c r="J12" s="16"/>
      <c r="K12" s="16"/>
    </row>
    <row r="13" spans="1:13" ht="67.5" customHeight="1" x14ac:dyDescent="0.35">
      <c r="A13" s="312" t="s">
        <v>70</v>
      </c>
      <c r="B13" s="86" t="s">
        <v>71</v>
      </c>
      <c r="C13" s="86" t="s">
        <v>72</v>
      </c>
      <c r="D13" s="87" t="s">
        <v>73</v>
      </c>
      <c r="E13" s="16"/>
      <c r="F13" s="70"/>
      <c r="G13" s="16"/>
      <c r="H13" s="16"/>
      <c r="I13" s="16"/>
      <c r="J13" s="16"/>
      <c r="K13" s="16"/>
    </row>
    <row r="14" spans="1:13" ht="90" customHeight="1" x14ac:dyDescent="0.35">
      <c r="A14" s="313"/>
      <c r="B14" s="208" t="s">
        <v>74</v>
      </c>
      <c r="C14" s="208" t="s">
        <v>75</v>
      </c>
      <c r="D14" s="209" t="s">
        <v>76</v>
      </c>
      <c r="E14" s="16"/>
      <c r="F14" s="70"/>
      <c r="G14" s="16"/>
      <c r="H14" s="16"/>
      <c r="I14" s="16"/>
      <c r="J14" s="16"/>
      <c r="K14" s="16"/>
    </row>
    <row r="15" spans="1:13" ht="85.5" customHeight="1" thickBot="1" x14ac:dyDescent="0.4">
      <c r="A15" s="314"/>
      <c r="B15" s="210" t="s">
        <v>77</v>
      </c>
      <c r="C15" s="210" t="s">
        <v>78</v>
      </c>
      <c r="D15" s="211" t="s">
        <v>79</v>
      </c>
      <c r="E15" s="16"/>
      <c r="F15" s="70"/>
      <c r="G15" s="16"/>
      <c r="H15" s="16"/>
      <c r="I15" s="16"/>
      <c r="J15" s="16"/>
      <c r="K15" s="16"/>
    </row>
    <row r="16" spans="1:13" ht="73.349999999999994" customHeight="1" x14ac:dyDescent="0.35">
      <c r="A16" s="309" t="s">
        <v>80</v>
      </c>
      <c r="B16" s="86" t="s">
        <v>81</v>
      </c>
      <c r="C16" s="86" t="s">
        <v>82</v>
      </c>
      <c r="D16" s="87" t="s">
        <v>83</v>
      </c>
      <c r="E16" s="16"/>
      <c r="F16" s="70" t="s">
        <v>84</v>
      </c>
      <c r="G16" s="16" t="s">
        <v>85</v>
      </c>
      <c r="H16" s="16" t="s">
        <v>86</v>
      </c>
      <c r="I16" s="16" t="s">
        <v>87</v>
      </c>
      <c r="J16" s="16" t="s">
        <v>88</v>
      </c>
      <c r="K16" s="16" t="s">
        <v>89</v>
      </c>
    </row>
    <row r="17" spans="1:11" ht="61.35" customHeight="1" x14ac:dyDescent="0.35">
      <c r="A17" s="310"/>
      <c r="B17" s="78" t="s">
        <v>90</v>
      </c>
      <c r="C17" s="79" t="s">
        <v>91</v>
      </c>
      <c r="D17" s="82" t="s">
        <v>92</v>
      </c>
      <c r="E17" s="16"/>
      <c r="F17" s="70"/>
      <c r="G17" s="16"/>
      <c r="H17" s="16"/>
      <c r="I17" s="16"/>
      <c r="J17" s="16"/>
      <c r="K17" s="16"/>
    </row>
    <row r="18" spans="1:11" ht="64.349999999999994" customHeight="1" x14ac:dyDescent="0.35">
      <c r="A18" s="310"/>
      <c r="B18" s="78" t="s">
        <v>93</v>
      </c>
      <c r="C18" s="79" t="s">
        <v>94</v>
      </c>
      <c r="D18" s="82" t="s">
        <v>95</v>
      </c>
      <c r="E18" s="16"/>
      <c r="F18" s="70"/>
      <c r="G18" s="16"/>
      <c r="H18" s="16"/>
      <c r="I18" s="16"/>
      <c r="J18" s="16"/>
      <c r="K18" s="16"/>
    </row>
    <row r="19" spans="1:11" ht="63.6" customHeight="1" thickBot="1" x14ac:dyDescent="0.4">
      <c r="A19" s="311"/>
      <c r="B19" s="83" t="s">
        <v>96</v>
      </c>
      <c r="C19" s="84" t="s">
        <v>97</v>
      </c>
      <c r="D19" s="85"/>
      <c r="E19" s="16"/>
      <c r="F19" s="70"/>
      <c r="G19" s="16"/>
      <c r="H19" s="16"/>
      <c r="I19" s="16"/>
      <c r="J19" s="16"/>
      <c r="K19" s="16"/>
    </row>
    <row r="20" spans="1:11" ht="21" customHeight="1" x14ac:dyDescent="0.35">
      <c r="B20" s="16"/>
      <c r="C20" s="16"/>
      <c r="D20" s="16"/>
      <c r="E20" s="16"/>
      <c r="F20" s="16"/>
    </row>
    <row r="21" spans="1:11" x14ac:dyDescent="0.35">
      <c r="B21" s="16"/>
      <c r="C21" s="16"/>
      <c r="D21" s="16"/>
      <c r="E21" s="16"/>
      <c r="F21" s="16"/>
    </row>
    <row r="22" spans="1:11" x14ac:dyDescent="0.35">
      <c r="B22" s="16"/>
      <c r="C22" s="16"/>
      <c r="D22" s="16"/>
      <c r="E22" s="16"/>
      <c r="F22" s="16"/>
    </row>
    <row r="23" spans="1:11" x14ac:dyDescent="0.35">
      <c r="B23" s="16"/>
      <c r="C23" s="16"/>
      <c r="D23" s="16"/>
      <c r="E23" s="16"/>
      <c r="F23" s="16"/>
    </row>
    <row r="24" spans="1:11" x14ac:dyDescent="0.35">
      <c r="B24" s="16"/>
      <c r="C24" s="16"/>
      <c r="D24" s="16"/>
      <c r="E24" s="16"/>
      <c r="F24" s="16"/>
    </row>
    <row r="25" spans="1:11" x14ac:dyDescent="0.35">
      <c r="B25" s="16"/>
      <c r="C25" s="16"/>
      <c r="D25" s="16"/>
      <c r="E25" s="16"/>
      <c r="F25" s="16"/>
    </row>
    <row r="26" spans="1:11" x14ac:dyDescent="0.35">
      <c r="B26" s="16"/>
      <c r="C26" s="16"/>
      <c r="D26" s="16"/>
      <c r="E26" s="16"/>
      <c r="F26" s="16"/>
    </row>
    <row r="27" spans="1:11" x14ac:dyDescent="0.35">
      <c r="B27" s="16"/>
      <c r="C27" s="16"/>
      <c r="D27" s="16"/>
      <c r="E27" s="16"/>
      <c r="F27" s="16"/>
    </row>
    <row r="28" spans="1:11" x14ac:dyDescent="0.35">
      <c r="B28" s="16"/>
      <c r="C28" s="16"/>
      <c r="D28" s="16"/>
      <c r="E28" s="16"/>
      <c r="F28" s="16"/>
    </row>
    <row r="29" spans="1:11" x14ac:dyDescent="0.35">
      <c r="B29" s="16"/>
      <c r="C29" s="16"/>
      <c r="D29" s="16"/>
      <c r="E29" s="16"/>
      <c r="F29" s="16"/>
    </row>
    <row r="30" spans="1:11" x14ac:dyDescent="0.35">
      <c r="B30" s="16"/>
      <c r="C30" s="16"/>
      <c r="D30" s="16"/>
      <c r="E30" s="16"/>
      <c r="F30" s="16"/>
    </row>
    <row r="31" spans="1:11" x14ac:dyDescent="0.35">
      <c r="B31" s="16"/>
      <c r="C31" s="16"/>
      <c r="D31" s="16"/>
      <c r="E31" s="16"/>
      <c r="F31" s="16"/>
    </row>
    <row r="32" spans="1:11" x14ac:dyDescent="0.35">
      <c r="B32" s="16"/>
      <c r="C32" s="16"/>
      <c r="D32" s="16"/>
      <c r="E32" s="16"/>
      <c r="F32" s="16"/>
    </row>
    <row r="33" spans="2:6" x14ac:dyDescent="0.35">
      <c r="B33" s="1"/>
      <c r="C33" s="1"/>
      <c r="D33" s="1"/>
      <c r="E33" s="1"/>
      <c r="F33" s="1"/>
    </row>
    <row r="34" spans="2:6" x14ac:dyDescent="0.35">
      <c r="B34" s="1"/>
      <c r="C34" s="1"/>
      <c r="D34" s="1"/>
      <c r="E34" s="1"/>
      <c r="F34" s="1"/>
    </row>
    <row r="35" spans="2:6" x14ac:dyDescent="0.35">
      <c r="B35" s="1"/>
      <c r="C35" s="1"/>
      <c r="D35" s="1"/>
      <c r="E35" s="1"/>
      <c r="F35" s="1"/>
    </row>
  </sheetData>
  <mergeCells count="10">
    <mergeCell ref="A8:A12"/>
    <mergeCell ref="A13:A15"/>
    <mergeCell ref="A16:A19"/>
    <mergeCell ref="A2:A3"/>
    <mergeCell ref="A4:A7"/>
    <mergeCell ref="B2:B3"/>
    <mergeCell ref="C2:C3"/>
    <mergeCell ref="D2:D3"/>
    <mergeCell ref="F2:F3"/>
    <mergeCell ref="E2:E3"/>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0A10-4357-4CFE-B111-EC00C2367AAB}">
  <dimension ref="A1:U34"/>
  <sheetViews>
    <sheetView view="pageBreakPreview" topLeftCell="C1" zoomScale="70" zoomScaleNormal="130" zoomScaleSheetLayoutView="70" workbookViewId="0">
      <selection activeCell="X3" sqref="X3"/>
    </sheetView>
  </sheetViews>
  <sheetFormatPr baseColWidth="10" defaultColWidth="11.3984375" defaultRowHeight="12.75" x14ac:dyDescent="0.35"/>
  <cols>
    <col min="1" max="1" width="40.265625" hidden="1" customWidth="1"/>
    <col min="2" max="2" width="23.3984375" hidden="1" customWidth="1"/>
    <col min="3" max="3" width="37.73046875" customWidth="1"/>
    <col min="4" max="4" width="39" hidden="1" customWidth="1"/>
    <col min="5" max="5" width="46.59765625" hidden="1" customWidth="1"/>
    <col min="6" max="6" width="42" hidden="1" customWidth="1"/>
    <col min="7" max="7" width="60.1328125" hidden="1" customWidth="1"/>
    <col min="8" max="21" width="4.1328125" customWidth="1"/>
  </cols>
  <sheetData>
    <row r="1" spans="1:21" ht="182.25" customHeight="1" collapsed="1" thickBot="1" x14ac:dyDescent="0.45">
      <c r="A1" s="140"/>
      <c r="B1" s="258" t="s">
        <v>98</v>
      </c>
      <c r="C1" s="259" t="s">
        <v>921</v>
      </c>
      <c r="D1" s="260" t="s">
        <v>99</v>
      </c>
      <c r="E1" s="260" t="s">
        <v>100</v>
      </c>
      <c r="F1" s="260" t="s">
        <v>101</v>
      </c>
      <c r="G1" s="260" t="s">
        <v>102</v>
      </c>
      <c r="H1" s="261" t="s">
        <v>103</v>
      </c>
      <c r="I1" s="261" t="s">
        <v>104</v>
      </c>
      <c r="J1" s="261" t="s">
        <v>105</v>
      </c>
      <c r="K1" s="261" t="s">
        <v>106</v>
      </c>
      <c r="L1" s="261" t="s">
        <v>107</v>
      </c>
      <c r="M1" s="261" t="s">
        <v>108</v>
      </c>
      <c r="N1" s="261" t="s">
        <v>109</v>
      </c>
      <c r="O1" s="261" t="s">
        <v>110</v>
      </c>
      <c r="P1" s="261" t="s">
        <v>111</v>
      </c>
      <c r="Q1" s="261" t="s">
        <v>112</v>
      </c>
      <c r="R1" s="261" t="s">
        <v>113</v>
      </c>
      <c r="S1" s="261" t="s">
        <v>114</v>
      </c>
      <c r="T1" s="261" t="s">
        <v>115</v>
      </c>
      <c r="U1" s="261" t="s">
        <v>116</v>
      </c>
    </row>
    <row r="2" spans="1:21" ht="24" customHeight="1" x14ac:dyDescent="0.5">
      <c r="A2" s="320" t="s">
        <v>119</v>
      </c>
      <c r="B2" s="317" t="s">
        <v>120</v>
      </c>
      <c r="C2" s="262" t="s">
        <v>463</v>
      </c>
      <c r="D2" s="263" t="s">
        <v>122</v>
      </c>
      <c r="E2" s="262" t="s">
        <v>123</v>
      </c>
      <c r="F2" s="264" t="s">
        <v>124</v>
      </c>
      <c r="G2" s="265"/>
      <c r="H2" s="266">
        <v>0</v>
      </c>
      <c r="I2" s="266">
        <v>0</v>
      </c>
      <c r="J2" s="266">
        <v>0</v>
      </c>
      <c r="K2" s="266">
        <v>0</v>
      </c>
      <c r="L2" s="266">
        <v>3</v>
      </c>
      <c r="M2" s="266">
        <v>1</v>
      </c>
      <c r="N2" s="266">
        <v>1</v>
      </c>
      <c r="O2" s="266">
        <v>2</v>
      </c>
      <c r="P2" s="266">
        <v>1</v>
      </c>
      <c r="Q2" s="266">
        <v>0</v>
      </c>
      <c r="R2" s="266">
        <v>0</v>
      </c>
      <c r="S2" s="266">
        <v>0</v>
      </c>
      <c r="T2" s="266">
        <v>0</v>
      </c>
      <c r="U2" s="267">
        <v>0</v>
      </c>
    </row>
    <row r="3" spans="1:21" ht="24" customHeight="1" thickBot="1" x14ac:dyDescent="0.55000000000000004">
      <c r="A3" s="320"/>
      <c r="B3" s="319"/>
      <c r="C3" s="268" t="s">
        <v>464</v>
      </c>
      <c r="D3" s="269" t="s">
        <v>126</v>
      </c>
      <c r="E3" s="268" t="s">
        <v>127</v>
      </c>
      <c r="F3" s="270" t="s">
        <v>128</v>
      </c>
      <c r="G3" s="271"/>
      <c r="H3" s="272">
        <v>0</v>
      </c>
      <c r="I3" s="272">
        <v>2</v>
      </c>
      <c r="J3" s="272">
        <v>1</v>
      </c>
      <c r="K3" s="272">
        <v>0</v>
      </c>
      <c r="L3" s="272">
        <v>3</v>
      </c>
      <c r="M3" s="272">
        <v>1</v>
      </c>
      <c r="N3" s="272">
        <v>0</v>
      </c>
      <c r="O3" s="272">
        <v>1</v>
      </c>
      <c r="P3" s="272">
        <v>0</v>
      </c>
      <c r="Q3" s="272">
        <v>0</v>
      </c>
      <c r="R3" s="272">
        <v>1</v>
      </c>
      <c r="S3" s="272">
        <v>0</v>
      </c>
      <c r="T3" s="272">
        <v>0</v>
      </c>
      <c r="U3" s="273">
        <v>0</v>
      </c>
    </row>
    <row r="4" spans="1:21" ht="24" customHeight="1" x14ac:dyDescent="0.5">
      <c r="A4" s="320"/>
      <c r="B4" s="317" t="s">
        <v>129</v>
      </c>
      <c r="C4" s="262" t="s">
        <v>465</v>
      </c>
      <c r="D4" s="263" t="s">
        <v>131</v>
      </c>
      <c r="E4" s="262" t="s">
        <v>132</v>
      </c>
      <c r="F4" s="264" t="s">
        <v>133</v>
      </c>
      <c r="G4" s="265"/>
      <c r="H4" s="266">
        <v>0</v>
      </c>
      <c r="I4" s="266">
        <v>0</v>
      </c>
      <c r="J4" s="266">
        <v>0</v>
      </c>
      <c r="K4" s="266">
        <v>1</v>
      </c>
      <c r="L4" s="266">
        <v>3</v>
      </c>
      <c r="M4" s="266">
        <v>0</v>
      </c>
      <c r="N4" s="266">
        <v>0</v>
      </c>
      <c r="O4" s="266">
        <v>0</v>
      </c>
      <c r="P4" s="266">
        <v>0</v>
      </c>
      <c r="Q4" s="266">
        <v>0</v>
      </c>
      <c r="R4" s="266">
        <v>0</v>
      </c>
      <c r="S4" s="266">
        <v>0</v>
      </c>
      <c r="T4" s="266">
        <v>0</v>
      </c>
      <c r="U4" s="267">
        <v>0</v>
      </c>
    </row>
    <row r="5" spans="1:21" ht="24" customHeight="1" x14ac:dyDescent="0.5">
      <c r="A5" s="320"/>
      <c r="B5" s="318"/>
      <c r="C5" s="274" t="s">
        <v>466</v>
      </c>
      <c r="D5" s="275" t="s">
        <v>135</v>
      </c>
      <c r="E5" s="274" t="s">
        <v>136</v>
      </c>
      <c r="F5" s="276" t="s">
        <v>137</v>
      </c>
      <c r="G5" s="277"/>
      <c r="H5" s="278">
        <v>0</v>
      </c>
      <c r="I5" s="278">
        <v>0</v>
      </c>
      <c r="J5" s="278">
        <v>0</v>
      </c>
      <c r="K5" s="278">
        <v>2</v>
      </c>
      <c r="L5" s="278">
        <v>3</v>
      </c>
      <c r="M5" s="278">
        <v>0</v>
      </c>
      <c r="N5" s="278">
        <v>0</v>
      </c>
      <c r="O5" s="278">
        <v>0</v>
      </c>
      <c r="P5" s="278">
        <v>0</v>
      </c>
      <c r="Q5" s="278">
        <v>0</v>
      </c>
      <c r="R5" s="278">
        <v>0</v>
      </c>
      <c r="S5" s="278">
        <v>0</v>
      </c>
      <c r="T5" s="278">
        <v>0</v>
      </c>
      <c r="U5" s="279">
        <v>0</v>
      </c>
    </row>
    <row r="6" spans="1:21" ht="24" customHeight="1" x14ac:dyDescent="0.5">
      <c r="A6" s="320"/>
      <c r="B6" s="318"/>
      <c r="C6" s="274" t="s">
        <v>467</v>
      </c>
      <c r="D6" s="275" t="s">
        <v>139</v>
      </c>
      <c r="E6" s="274" t="s">
        <v>140</v>
      </c>
      <c r="F6" s="276" t="s">
        <v>141</v>
      </c>
      <c r="G6" s="277"/>
      <c r="H6" s="278">
        <v>0</v>
      </c>
      <c r="I6" s="278">
        <v>1</v>
      </c>
      <c r="J6" s="278">
        <v>1</v>
      </c>
      <c r="K6" s="278">
        <v>0</v>
      </c>
      <c r="L6" s="278">
        <v>3</v>
      </c>
      <c r="M6" s="278">
        <v>0</v>
      </c>
      <c r="N6" s="278">
        <v>0</v>
      </c>
      <c r="O6" s="278">
        <v>0</v>
      </c>
      <c r="P6" s="278">
        <v>0</v>
      </c>
      <c r="Q6" s="278">
        <v>0</v>
      </c>
      <c r="R6" s="278">
        <v>0</v>
      </c>
      <c r="S6" s="278">
        <v>0</v>
      </c>
      <c r="T6" s="278">
        <v>2</v>
      </c>
      <c r="U6" s="279">
        <v>1</v>
      </c>
    </row>
    <row r="7" spans="1:21" ht="24" customHeight="1" x14ac:dyDescent="0.5">
      <c r="A7" s="320"/>
      <c r="B7" s="318"/>
      <c r="C7" s="274" t="s">
        <v>468</v>
      </c>
      <c r="D7" s="275" t="s">
        <v>143</v>
      </c>
      <c r="E7" s="274" t="s">
        <v>144</v>
      </c>
      <c r="F7" s="276" t="s">
        <v>145</v>
      </c>
      <c r="G7" s="277"/>
      <c r="H7" s="278">
        <v>0</v>
      </c>
      <c r="I7" s="278">
        <v>0</v>
      </c>
      <c r="J7" s="278">
        <v>0</v>
      </c>
      <c r="K7" s="278">
        <v>2</v>
      </c>
      <c r="L7" s="278">
        <v>3</v>
      </c>
      <c r="M7" s="278">
        <v>0</v>
      </c>
      <c r="N7" s="278">
        <v>0</v>
      </c>
      <c r="O7" s="278">
        <v>0</v>
      </c>
      <c r="P7" s="278">
        <v>0</v>
      </c>
      <c r="Q7" s="278">
        <v>0</v>
      </c>
      <c r="R7" s="278">
        <v>0</v>
      </c>
      <c r="S7" s="278">
        <v>0</v>
      </c>
      <c r="T7" s="278">
        <v>0</v>
      </c>
      <c r="U7" s="279">
        <v>1</v>
      </c>
    </row>
    <row r="8" spans="1:21" ht="24" customHeight="1" x14ac:dyDescent="0.5">
      <c r="A8" s="320"/>
      <c r="B8" s="318"/>
      <c r="C8" s="274" t="s">
        <v>469</v>
      </c>
      <c r="D8" s="275" t="s">
        <v>147</v>
      </c>
      <c r="E8" s="274" t="s">
        <v>148</v>
      </c>
      <c r="F8" s="276" t="s">
        <v>149</v>
      </c>
      <c r="G8" s="277"/>
      <c r="H8" s="278">
        <v>0</v>
      </c>
      <c r="I8" s="278">
        <v>0</v>
      </c>
      <c r="J8" s="278">
        <v>0</v>
      </c>
      <c r="K8" s="278">
        <v>0</v>
      </c>
      <c r="L8" s="278">
        <v>3</v>
      </c>
      <c r="M8" s="278">
        <v>0</v>
      </c>
      <c r="N8" s="278">
        <v>0</v>
      </c>
      <c r="O8" s="278">
        <v>0</v>
      </c>
      <c r="P8" s="278">
        <v>1</v>
      </c>
      <c r="Q8" s="278">
        <v>0</v>
      </c>
      <c r="R8" s="278">
        <v>0</v>
      </c>
      <c r="S8" s="278">
        <v>2</v>
      </c>
      <c r="T8" s="278">
        <v>0</v>
      </c>
      <c r="U8" s="279">
        <v>0</v>
      </c>
    </row>
    <row r="9" spans="1:21" ht="24" customHeight="1" thickBot="1" x14ac:dyDescent="0.55000000000000004">
      <c r="A9" s="320"/>
      <c r="B9" s="319"/>
      <c r="C9" s="268" t="s">
        <v>470</v>
      </c>
      <c r="D9" s="269" t="s">
        <v>151</v>
      </c>
      <c r="E9" s="268" t="s">
        <v>152</v>
      </c>
      <c r="F9" s="270" t="s">
        <v>153</v>
      </c>
      <c r="G9" s="271"/>
      <c r="H9" s="272">
        <v>0</v>
      </c>
      <c r="I9" s="272">
        <v>0</v>
      </c>
      <c r="J9" s="272">
        <v>0</v>
      </c>
      <c r="K9" s="272">
        <v>2</v>
      </c>
      <c r="L9" s="272">
        <v>3</v>
      </c>
      <c r="M9" s="272">
        <v>0</v>
      </c>
      <c r="N9" s="272">
        <v>0</v>
      </c>
      <c r="O9" s="272">
        <v>0</v>
      </c>
      <c r="P9" s="272">
        <v>0</v>
      </c>
      <c r="Q9" s="272">
        <v>0</v>
      </c>
      <c r="R9" s="272">
        <v>0</v>
      </c>
      <c r="S9" s="272">
        <v>0</v>
      </c>
      <c r="T9" s="272">
        <v>0</v>
      </c>
      <c r="U9" s="273">
        <v>0</v>
      </c>
    </row>
    <row r="10" spans="1:21" ht="24" customHeight="1" x14ac:dyDescent="0.5">
      <c r="A10" s="320"/>
      <c r="B10" s="317" t="s">
        <v>154</v>
      </c>
      <c r="C10" s="262" t="s">
        <v>845</v>
      </c>
      <c r="D10" s="263" t="s">
        <v>156</v>
      </c>
      <c r="E10" s="262" t="s">
        <v>157</v>
      </c>
      <c r="F10" s="263" t="s">
        <v>158</v>
      </c>
      <c r="G10" s="265"/>
      <c r="H10" s="266">
        <v>0</v>
      </c>
      <c r="I10" s="266">
        <v>0</v>
      </c>
      <c r="J10" s="280">
        <v>2</v>
      </c>
      <c r="K10" s="266">
        <v>0</v>
      </c>
      <c r="L10" s="266">
        <v>3</v>
      </c>
      <c r="M10" s="266">
        <v>0</v>
      </c>
      <c r="N10" s="266">
        <v>0</v>
      </c>
      <c r="O10" s="266">
        <v>0</v>
      </c>
      <c r="P10" s="266">
        <v>0</v>
      </c>
      <c r="Q10" s="266">
        <v>0</v>
      </c>
      <c r="R10" s="266">
        <v>0</v>
      </c>
      <c r="S10" s="266">
        <v>0</v>
      </c>
      <c r="T10" s="266">
        <v>0</v>
      </c>
      <c r="U10" s="267">
        <v>0</v>
      </c>
    </row>
    <row r="11" spans="1:21" ht="24" customHeight="1" x14ac:dyDescent="0.5">
      <c r="A11" s="320"/>
      <c r="B11" s="318"/>
      <c r="C11" s="274" t="s">
        <v>472</v>
      </c>
      <c r="D11" s="275" t="s">
        <v>160</v>
      </c>
      <c r="E11" s="274" t="s">
        <v>161</v>
      </c>
      <c r="F11" s="276" t="s">
        <v>162</v>
      </c>
      <c r="G11" s="277"/>
      <c r="H11" s="278">
        <v>0</v>
      </c>
      <c r="I11" s="278">
        <v>0</v>
      </c>
      <c r="J11" s="278">
        <v>2</v>
      </c>
      <c r="K11" s="278">
        <v>0</v>
      </c>
      <c r="L11" s="278">
        <v>3</v>
      </c>
      <c r="M11" s="278">
        <v>0</v>
      </c>
      <c r="N11" s="278">
        <v>0</v>
      </c>
      <c r="O11" s="278">
        <v>0</v>
      </c>
      <c r="P11" s="278">
        <v>0</v>
      </c>
      <c r="Q11" s="278">
        <v>0</v>
      </c>
      <c r="R11" s="278">
        <v>0</v>
      </c>
      <c r="S11" s="278">
        <v>0</v>
      </c>
      <c r="T11" s="278">
        <v>0</v>
      </c>
      <c r="U11" s="279">
        <v>1</v>
      </c>
    </row>
    <row r="12" spans="1:21" ht="24" customHeight="1" x14ac:dyDescent="0.5">
      <c r="A12" s="320"/>
      <c r="B12" s="318"/>
      <c r="C12" s="274" t="s">
        <v>90</v>
      </c>
      <c r="D12" s="275" t="s">
        <v>164</v>
      </c>
      <c r="E12" s="274" t="s">
        <v>165</v>
      </c>
      <c r="F12" s="276" t="s">
        <v>166</v>
      </c>
      <c r="G12" s="277"/>
      <c r="H12" s="278">
        <v>0</v>
      </c>
      <c r="I12" s="278">
        <v>2</v>
      </c>
      <c r="J12" s="278">
        <v>2</v>
      </c>
      <c r="K12" s="278">
        <v>0</v>
      </c>
      <c r="L12" s="278">
        <v>3</v>
      </c>
      <c r="M12" s="278">
        <v>2</v>
      </c>
      <c r="N12" s="278">
        <v>1</v>
      </c>
      <c r="O12" s="278">
        <v>1</v>
      </c>
      <c r="P12" s="278">
        <v>1</v>
      </c>
      <c r="Q12" s="278">
        <v>0</v>
      </c>
      <c r="R12" s="278">
        <v>0</v>
      </c>
      <c r="S12" s="278">
        <v>0</v>
      </c>
      <c r="T12" s="278">
        <v>1</v>
      </c>
      <c r="U12" s="279">
        <v>2</v>
      </c>
    </row>
    <row r="13" spans="1:21" ht="24" customHeight="1" x14ac:dyDescent="0.5">
      <c r="A13" s="320"/>
      <c r="B13" s="318"/>
      <c r="C13" s="274" t="s">
        <v>473</v>
      </c>
      <c r="D13" s="275" t="s">
        <v>168</v>
      </c>
      <c r="E13" s="274" t="s">
        <v>169</v>
      </c>
      <c r="F13" s="276" t="s">
        <v>170</v>
      </c>
      <c r="G13" s="277"/>
      <c r="H13" s="278">
        <v>0</v>
      </c>
      <c r="I13" s="278">
        <v>1</v>
      </c>
      <c r="J13" s="278">
        <v>2</v>
      </c>
      <c r="K13" s="278">
        <v>0</v>
      </c>
      <c r="L13" s="278">
        <v>3</v>
      </c>
      <c r="M13" s="278">
        <v>2</v>
      </c>
      <c r="N13" s="278">
        <v>1</v>
      </c>
      <c r="O13" s="278">
        <v>1</v>
      </c>
      <c r="P13" s="278">
        <v>0</v>
      </c>
      <c r="Q13" s="278">
        <v>0</v>
      </c>
      <c r="R13" s="278">
        <v>0</v>
      </c>
      <c r="S13" s="278">
        <v>1</v>
      </c>
      <c r="T13" s="278">
        <v>0</v>
      </c>
      <c r="U13" s="279">
        <v>0</v>
      </c>
    </row>
    <row r="14" spans="1:21" ht="24" customHeight="1" x14ac:dyDescent="0.5">
      <c r="A14" s="320"/>
      <c r="B14" s="318"/>
      <c r="C14" s="274" t="s">
        <v>96</v>
      </c>
      <c r="D14" s="275" t="s">
        <v>172</v>
      </c>
      <c r="E14" s="274" t="s">
        <v>173</v>
      </c>
      <c r="F14" s="276" t="s">
        <v>174</v>
      </c>
      <c r="G14" s="277"/>
      <c r="H14" s="278">
        <v>0</v>
      </c>
      <c r="I14" s="278">
        <v>1</v>
      </c>
      <c r="J14" s="278">
        <v>2</v>
      </c>
      <c r="K14" s="278">
        <v>0</v>
      </c>
      <c r="L14" s="278">
        <v>3</v>
      </c>
      <c r="M14" s="278">
        <v>2</v>
      </c>
      <c r="N14" s="278">
        <v>1</v>
      </c>
      <c r="O14" s="278">
        <v>0</v>
      </c>
      <c r="P14" s="278">
        <v>1</v>
      </c>
      <c r="Q14" s="278">
        <v>0</v>
      </c>
      <c r="R14" s="278">
        <v>0</v>
      </c>
      <c r="S14" s="278">
        <v>0</v>
      </c>
      <c r="T14" s="278">
        <v>0</v>
      </c>
      <c r="U14" s="279">
        <v>0</v>
      </c>
    </row>
    <row r="15" spans="1:21" ht="24" customHeight="1" x14ac:dyDescent="0.5">
      <c r="A15" s="320"/>
      <c r="B15" s="318"/>
      <c r="C15" s="274" t="s">
        <v>93</v>
      </c>
      <c r="D15" s="275" t="s">
        <v>176</v>
      </c>
      <c r="E15" s="274" t="s">
        <v>177</v>
      </c>
      <c r="F15" s="276" t="s">
        <v>178</v>
      </c>
      <c r="G15" s="277"/>
      <c r="H15" s="278">
        <v>0</v>
      </c>
      <c r="I15" s="278">
        <v>1</v>
      </c>
      <c r="J15" s="278">
        <v>2</v>
      </c>
      <c r="K15" s="278">
        <v>0</v>
      </c>
      <c r="L15" s="278">
        <v>3</v>
      </c>
      <c r="M15" s="278">
        <v>1</v>
      </c>
      <c r="N15" s="278">
        <v>1</v>
      </c>
      <c r="O15" s="278">
        <v>0</v>
      </c>
      <c r="P15" s="278">
        <v>1</v>
      </c>
      <c r="Q15" s="278">
        <v>0</v>
      </c>
      <c r="R15" s="278">
        <v>0</v>
      </c>
      <c r="S15" s="278">
        <v>0</v>
      </c>
      <c r="T15" s="278">
        <v>0</v>
      </c>
      <c r="U15" s="279">
        <v>0</v>
      </c>
    </row>
    <row r="16" spans="1:21" ht="24" customHeight="1" x14ac:dyDescent="0.5">
      <c r="A16" s="320"/>
      <c r="B16" s="318"/>
      <c r="C16" s="274" t="s">
        <v>474</v>
      </c>
      <c r="D16" s="275" t="s">
        <v>180</v>
      </c>
      <c r="E16" s="274" t="s">
        <v>181</v>
      </c>
      <c r="F16" s="276" t="s">
        <v>182</v>
      </c>
      <c r="G16" s="277"/>
      <c r="H16" s="278">
        <v>0</v>
      </c>
      <c r="I16" s="278">
        <v>0</v>
      </c>
      <c r="J16" s="278">
        <v>0</v>
      </c>
      <c r="K16" s="278">
        <v>0</v>
      </c>
      <c r="L16" s="278">
        <v>3</v>
      </c>
      <c r="M16" s="278">
        <v>0</v>
      </c>
      <c r="N16" s="278">
        <v>1</v>
      </c>
      <c r="O16" s="278">
        <v>0</v>
      </c>
      <c r="P16" s="278">
        <v>2</v>
      </c>
      <c r="Q16" s="278">
        <v>0</v>
      </c>
      <c r="R16" s="278">
        <v>0</v>
      </c>
      <c r="S16" s="278">
        <v>0</v>
      </c>
      <c r="T16" s="278">
        <v>0</v>
      </c>
      <c r="U16" s="279">
        <v>0</v>
      </c>
    </row>
    <row r="17" spans="1:21" ht="24" customHeight="1" thickBot="1" x14ac:dyDescent="0.55000000000000004">
      <c r="A17" s="320"/>
      <c r="B17" s="319"/>
      <c r="C17" s="268" t="s">
        <v>475</v>
      </c>
      <c r="D17" s="269" t="s">
        <v>184</v>
      </c>
      <c r="E17" s="268" t="s">
        <v>185</v>
      </c>
      <c r="F17" s="270" t="s">
        <v>186</v>
      </c>
      <c r="G17" s="271"/>
      <c r="H17" s="272">
        <v>0</v>
      </c>
      <c r="I17" s="272">
        <v>1</v>
      </c>
      <c r="J17" s="272">
        <v>1</v>
      </c>
      <c r="K17" s="272">
        <v>0</v>
      </c>
      <c r="L17" s="272">
        <v>3</v>
      </c>
      <c r="M17" s="272">
        <v>0</v>
      </c>
      <c r="N17" s="272">
        <v>0</v>
      </c>
      <c r="O17" s="272">
        <v>0</v>
      </c>
      <c r="P17" s="272">
        <v>2</v>
      </c>
      <c r="Q17" s="272">
        <v>0</v>
      </c>
      <c r="R17" s="272">
        <v>0</v>
      </c>
      <c r="S17" s="272">
        <v>2</v>
      </c>
      <c r="T17" s="272">
        <v>0</v>
      </c>
      <c r="U17" s="273">
        <v>0</v>
      </c>
    </row>
    <row r="18" spans="1:21" ht="24" customHeight="1" x14ac:dyDescent="0.5">
      <c r="A18" s="320"/>
      <c r="B18" s="317" t="s">
        <v>187</v>
      </c>
      <c r="C18" s="262" t="s">
        <v>846</v>
      </c>
      <c r="D18" s="263" t="s">
        <v>189</v>
      </c>
      <c r="E18" s="262" t="s">
        <v>190</v>
      </c>
      <c r="F18" s="265" t="s">
        <v>191</v>
      </c>
      <c r="G18" s="281"/>
      <c r="H18" s="266">
        <v>0</v>
      </c>
      <c r="I18" s="266">
        <v>2</v>
      </c>
      <c r="J18" s="266">
        <v>0</v>
      </c>
      <c r="K18" s="266">
        <v>0</v>
      </c>
      <c r="L18" s="266">
        <v>3</v>
      </c>
      <c r="M18" s="266">
        <v>0</v>
      </c>
      <c r="N18" s="266">
        <v>0</v>
      </c>
      <c r="O18" s="266">
        <v>0</v>
      </c>
      <c r="P18" s="266">
        <v>0</v>
      </c>
      <c r="Q18" s="266">
        <v>0</v>
      </c>
      <c r="R18" s="266">
        <v>0</v>
      </c>
      <c r="S18" s="266">
        <v>0</v>
      </c>
      <c r="T18" s="266">
        <v>2</v>
      </c>
      <c r="U18" s="267">
        <v>1</v>
      </c>
    </row>
    <row r="19" spans="1:21" ht="24" customHeight="1" x14ac:dyDescent="0.5">
      <c r="A19" s="320"/>
      <c r="B19" s="318"/>
      <c r="C19" s="274" t="s">
        <v>847</v>
      </c>
      <c r="D19" s="282" t="s">
        <v>193</v>
      </c>
      <c r="E19" s="274" t="s">
        <v>194</v>
      </c>
      <c r="F19" s="277" t="s">
        <v>195</v>
      </c>
      <c r="G19" s="277" t="s">
        <v>196</v>
      </c>
      <c r="H19" s="278">
        <v>0</v>
      </c>
      <c r="I19" s="278">
        <v>2</v>
      </c>
      <c r="J19" s="278">
        <v>0</v>
      </c>
      <c r="K19" s="278">
        <v>0</v>
      </c>
      <c r="L19" s="278">
        <v>3</v>
      </c>
      <c r="M19" s="278">
        <v>1</v>
      </c>
      <c r="N19" s="278">
        <v>0</v>
      </c>
      <c r="O19" s="278">
        <v>0</v>
      </c>
      <c r="P19" s="278">
        <v>1</v>
      </c>
      <c r="Q19" s="278">
        <v>0</v>
      </c>
      <c r="R19" s="278">
        <v>0</v>
      </c>
      <c r="S19" s="278">
        <v>0</v>
      </c>
      <c r="T19" s="278">
        <v>0</v>
      </c>
      <c r="U19" s="279">
        <v>0</v>
      </c>
    </row>
    <row r="20" spans="1:21" ht="24" customHeight="1" x14ac:dyDescent="0.5">
      <c r="A20" s="320"/>
      <c r="B20" s="318"/>
      <c r="C20" s="274" t="s">
        <v>848</v>
      </c>
      <c r="D20" s="282" t="s">
        <v>200</v>
      </c>
      <c r="E20" s="274" t="s">
        <v>201</v>
      </c>
      <c r="F20" s="277" t="s">
        <v>202</v>
      </c>
      <c r="G20" s="277"/>
      <c r="H20" s="278">
        <v>0</v>
      </c>
      <c r="I20" s="278">
        <v>2</v>
      </c>
      <c r="J20" s="278">
        <v>0</v>
      </c>
      <c r="K20" s="278">
        <v>0</v>
      </c>
      <c r="L20" s="278">
        <v>3</v>
      </c>
      <c r="M20" s="278">
        <v>2</v>
      </c>
      <c r="N20" s="278">
        <v>1</v>
      </c>
      <c r="O20" s="278">
        <v>0</v>
      </c>
      <c r="P20" s="278">
        <v>1</v>
      </c>
      <c r="Q20" s="278">
        <v>0</v>
      </c>
      <c r="R20" s="278">
        <v>0</v>
      </c>
      <c r="S20" s="278">
        <v>0</v>
      </c>
      <c r="T20" s="278">
        <v>0</v>
      </c>
      <c r="U20" s="279">
        <v>0</v>
      </c>
    </row>
    <row r="21" spans="1:21" ht="24" customHeight="1" x14ac:dyDescent="0.5">
      <c r="A21" s="320"/>
      <c r="B21" s="318"/>
      <c r="C21" s="274" t="s">
        <v>849</v>
      </c>
      <c r="D21" s="275" t="s">
        <v>204</v>
      </c>
      <c r="E21" s="274" t="s">
        <v>205</v>
      </c>
      <c r="F21" s="277" t="s">
        <v>206</v>
      </c>
      <c r="G21" s="277"/>
      <c r="H21" s="278">
        <v>0</v>
      </c>
      <c r="I21" s="278">
        <v>1</v>
      </c>
      <c r="J21" s="278">
        <v>0</v>
      </c>
      <c r="K21" s="278">
        <v>0</v>
      </c>
      <c r="L21" s="278">
        <v>3</v>
      </c>
      <c r="M21" s="278">
        <v>2</v>
      </c>
      <c r="N21" s="278">
        <v>1</v>
      </c>
      <c r="O21" s="278">
        <v>0</v>
      </c>
      <c r="P21" s="278">
        <v>0</v>
      </c>
      <c r="Q21" s="278">
        <v>0</v>
      </c>
      <c r="R21" s="278">
        <v>0</v>
      </c>
      <c r="S21" s="278">
        <v>0</v>
      </c>
      <c r="T21" s="278">
        <v>0</v>
      </c>
      <c r="U21" s="279">
        <v>0</v>
      </c>
    </row>
    <row r="22" spans="1:21" ht="24" customHeight="1" x14ac:dyDescent="0.5">
      <c r="A22" s="320"/>
      <c r="B22" s="318"/>
      <c r="C22" s="274" t="s">
        <v>850</v>
      </c>
      <c r="D22" s="275" t="s">
        <v>208</v>
      </c>
      <c r="E22" s="274" t="s">
        <v>209</v>
      </c>
      <c r="F22" s="277" t="s">
        <v>210</v>
      </c>
      <c r="G22" s="277"/>
      <c r="H22" s="278">
        <v>0</v>
      </c>
      <c r="I22" s="278">
        <v>1</v>
      </c>
      <c r="J22" s="278">
        <v>0</v>
      </c>
      <c r="K22" s="278">
        <v>0</v>
      </c>
      <c r="L22" s="278">
        <v>3</v>
      </c>
      <c r="M22" s="278">
        <v>2</v>
      </c>
      <c r="N22" s="278">
        <v>2</v>
      </c>
      <c r="O22" s="278">
        <v>0</v>
      </c>
      <c r="P22" s="278">
        <v>0</v>
      </c>
      <c r="Q22" s="278">
        <v>0</v>
      </c>
      <c r="R22" s="278">
        <v>0</v>
      </c>
      <c r="S22" s="278">
        <v>0</v>
      </c>
      <c r="T22" s="278">
        <v>0</v>
      </c>
      <c r="U22" s="279">
        <v>0</v>
      </c>
    </row>
    <row r="23" spans="1:21" ht="24" customHeight="1" x14ac:dyDescent="0.5">
      <c r="A23" s="320"/>
      <c r="B23" s="318"/>
      <c r="C23" s="274" t="s">
        <v>851</v>
      </c>
      <c r="D23" s="275" t="s">
        <v>212</v>
      </c>
      <c r="E23" s="274" t="s">
        <v>213</v>
      </c>
      <c r="F23" s="277" t="s">
        <v>214</v>
      </c>
      <c r="G23" s="277"/>
      <c r="H23" s="278">
        <v>0</v>
      </c>
      <c r="I23" s="278">
        <v>0</v>
      </c>
      <c r="J23" s="278">
        <v>0</v>
      </c>
      <c r="K23" s="278">
        <v>0</v>
      </c>
      <c r="L23" s="278">
        <v>3</v>
      </c>
      <c r="M23" s="278">
        <v>1</v>
      </c>
      <c r="N23" s="278">
        <v>0</v>
      </c>
      <c r="O23" s="278">
        <v>0</v>
      </c>
      <c r="P23" s="278">
        <v>2</v>
      </c>
      <c r="Q23" s="278">
        <v>0</v>
      </c>
      <c r="R23" s="278">
        <v>0</v>
      </c>
      <c r="S23" s="278">
        <v>0</v>
      </c>
      <c r="T23" s="278">
        <v>0</v>
      </c>
      <c r="U23" s="279">
        <v>0</v>
      </c>
    </row>
    <row r="24" spans="1:21" ht="24" customHeight="1" x14ac:dyDescent="0.5">
      <c r="A24" s="320"/>
      <c r="B24" s="318"/>
      <c r="C24" s="274" t="s">
        <v>852</v>
      </c>
      <c r="D24" s="275" t="s">
        <v>216</v>
      </c>
      <c r="E24" s="274" t="s">
        <v>217</v>
      </c>
      <c r="F24" s="282" t="s">
        <v>218</v>
      </c>
      <c r="G24" s="282" t="s">
        <v>219</v>
      </c>
      <c r="H24" s="278">
        <v>0</v>
      </c>
      <c r="I24" s="278">
        <v>0</v>
      </c>
      <c r="J24" s="278">
        <v>0</v>
      </c>
      <c r="K24" s="278">
        <v>0</v>
      </c>
      <c r="L24" s="278">
        <v>3</v>
      </c>
      <c r="M24" s="278">
        <v>0</v>
      </c>
      <c r="N24" s="278">
        <v>2</v>
      </c>
      <c r="O24" s="278">
        <v>2</v>
      </c>
      <c r="P24" s="278">
        <v>0</v>
      </c>
      <c r="Q24" s="278">
        <v>2</v>
      </c>
      <c r="R24" s="278">
        <v>0</v>
      </c>
      <c r="S24" s="278">
        <v>0</v>
      </c>
      <c r="T24" s="278">
        <v>0</v>
      </c>
      <c r="U24" s="279">
        <v>0</v>
      </c>
    </row>
    <row r="25" spans="1:21" ht="24" customHeight="1" x14ac:dyDescent="0.5">
      <c r="A25" s="320"/>
      <c r="B25" s="318"/>
      <c r="C25" s="274" t="s">
        <v>853</v>
      </c>
      <c r="D25" s="275" t="s">
        <v>222</v>
      </c>
      <c r="E25" s="274" t="s">
        <v>223</v>
      </c>
      <c r="F25" s="282" t="s">
        <v>224</v>
      </c>
      <c r="G25" s="282" t="s">
        <v>225</v>
      </c>
      <c r="H25" s="278">
        <v>0</v>
      </c>
      <c r="I25" s="278">
        <v>1</v>
      </c>
      <c r="J25" s="278">
        <v>0</v>
      </c>
      <c r="K25" s="278">
        <v>0</v>
      </c>
      <c r="L25" s="278">
        <v>3</v>
      </c>
      <c r="M25" s="278">
        <v>0</v>
      </c>
      <c r="N25" s="278">
        <v>0</v>
      </c>
      <c r="O25" s="278">
        <v>1</v>
      </c>
      <c r="P25" s="278">
        <v>1</v>
      </c>
      <c r="Q25" s="278">
        <v>2</v>
      </c>
      <c r="R25" s="278">
        <v>0</v>
      </c>
      <c r="S25" s="278">
        <v>0</v>
      </c>
      <c r="T25" s="278">
        <v>0</v>
      </c>
      <c r="U25" s="279">
        <v>0</v>
      </c>
    </row>
    <row r="26" spans="1:21" ht="24" customHeight="1" x14ac:dyDescent="0.5">
      <c r="A26" s="320"/>
      <c r="B26" s="318"/>
      <c r="C26" s="274" t="s">
        <v>854</v>
      </c>
      <c r="D26" s="275" t="s">
        <v>228</v>
      </c>
      <c r="E26" s="274" t="s">
        <v>229</v>
      </c>
      <c r="F26" s="282" t="s">
        <v>230</v>
      </c>
      <c r="G26" s="282" t="s">
        <v>231</v>
      </c>
      <c r="H26" s="278">
        <v>0</v>
      </c>
      <c r="I26" s="278">
        <v>1</v>
      </c>
      <c r="J26" s="278">
        <v>0</v>
      </c>
      <c r="K26" s="278">
        <v>0</v>
      </c>
      <c r="L26" s="278">
        <v>3</v>
      </c>
      <c r="M26" s="278">
        <v>1</v>
      </c>
      <c r="N26" s="278">
        <v>1</v>
      </c>
      <c r="O26" s="278">
        <v>0</v>
      </c>
      <c r="P26" s="278">
        <v>2</v>
      </c>
      <c r="Q26" s="278">
        <v>0</v>
      </c>
      <c r="R26" s="278">
        <v>0</v>
      </c>
      <c r="S26" s="278">
        <v>1</v>
      </c>
      <c r="T26" s="278">
        <v>0</v>
      </c>
      <c r="U26" s="279">
        <v>0</v>
      </c>
    </row>
    <row r="27" spans="1:21" ht="24" customHeight="1" x14ac:dyDescent="0.5">
      <c r="A27" s="320"/>
      <c r="B27" s="318"/>
      <c r="C27" s="274" t="s">
        <v>855</v>
      </c>
      <c r="D27" s="275" t="s">
        <v>234</v>
      </c>
      <c r="E27" s="274" t="s">
        <v>235</v>
      </c>
      <c r="F27" s="282" t="s">
        <v>236</v>
      </c>
      <c r="G27" s="282" t="s">
        <v>237</v>
      </c>
      <c r="H27" s="278">
        <v>2</v>
      </c>
      <c r="I27" s="278">
        <v>2</v>
      </c>
      <c r="J27" s="278">
        <v>0</v>
      </c>
      <c r="K27" s="278">
        <v>0</v>
      </c>
      <c r="L27" s="278">
        <v>3</v>
      </c>
      <c r="M27" s="278">
        <v>0</v>
      </c>
      <c r="N27" s="278">
        <v>0</v>
      </c>
      <c r="O27" s="278">
        <v>2</v>
      </c>
      <c r="P27" s="278">
        <v>0</v>
      </c>
      <c r="Q27" s="278">
        <v>0</v>
      </c>
      <c r="R27" s="278">
        <v>2</v>
      </c>
      <c r="S27" s="278">
        <v>0</v>
      </c>
      <c r="T27" s="278">
        <v>0</v>
      </c>
      <c r="U27" s="279">
        <v>0</v>
      </c>
    </row>
    <row r="28" spans="1:21" ht="24" customHeight="1" x14ac:dyDescent="0.5">
      <c r="A28" s="320"/>
      <c r="B28" s="318"/>
      <c r="C28" s="274" t="s">
        <v>856</v>
      </c>
      <c r="D28" s="275" t="s">
        <v>241</v>
      </c>
      <c r="E28" s="274" t="s">
        <v>242</v>
      </c>
      <c r="F28" s="282" t="s">
        <v>243</v>
      </c>
      <c r="G28" s="282" t="s">
        <v>244</v>
      </c>
      <c r="H28" s="278">
        <v>1</v>
      </c>
      <c r="I28" s="278">
        <v>1</v>
      </c>
      <c r="J28" s="278">
        <v>0</v>
      </c>
      <c r="K28" s="278">
        <v>0</v>
      </c>
      <c r="L28" s="278">
        <v>3</v>
      </c>
      <c r="M28" s="278">
        <v>0</v>
      </c>
      <c r="N28" s="278">
        <v>0</v>
      </c>
      <c r="O28" s="278">
        <v>0</v>
      </c>
      <c r="P28" s="278">
        <v>2</v>
      </c>
      <c r="Q28" s="278">
        <v>0</v>
      </c>
      <c r="R28" s="278">
        <v>0</v>
      </c>
      <c r="S28" s="278">
        <v>1</v>
      </c>
      <c r="T28" s="278">
        <v>0</v>
      </c>
      <c r="U28" s="279">
        <v>0</v>
      </c>
    </row>
    <row r="29" spans="1:21" ht="24" customHeight="1" x14ac:dyDescent="0.5">
      <c r="A29" s="320"/>
      <c r="B29" s="318"/>
      <c r="C29" s="274" t="s">
        <v>857</v>
      </c>
      <c r="D29" s="275" t="s">
        <v>247</v>
      </c>
      <c r="E29" s="274" t="s">
        <v>248</v>
      </c>
      <c r="F29" s="277" t="s">
        <v>249</v>
      </c>
      <c r="G29" s="277" t="s">
        <v>250</v>
      </c>
      <c r="H29" s="278">
        <v>2</v>
      </c>
      <c r="I29" s="278">
        <v>0</v>
      </c>
      <c r="J29" s="278">
        <v>0</v>
      </c>
      <c r="K29" s="278">
        <v>0</v>
      </c>
      <c r="L29" s="278">
        <v>3</v>
      </c>
      <c r="M29" s="278">
        <v>1</v>
      </c>
      <c r="N29" s="278">
        <v>0</v>
      </c>
      <c r="O29" s="278">
        <v>0</v>
      </c>
      <c r="P29" s="278">
        <v>0</v>
      </c>
      <c r="Q29" s="278">
        <v>0</v>
      </c>
      <c r="R29" s="278">
        <v>1</v>
      </c>
      <c r="S29" s="278">
        <v>0</v>
      </c>
      <c r="T29" s="278">
        <v>0</v>
      </c>
      <c r="U29" s="279">
        <v>0</v>
      </c>
    </row>
    <row r="30" spans="1:21" ht="24" customHeight="1" x14ac:dyDescent="0.5">
      <c r="A30" s="320"/>
      <c r="B30" s="318"/>
      <c r="C30" s="274" t="s">
        <v>858</v>
      </c>
      <c r="D30" s="275" t="s">
        <v>254</v>
      </c>
      <c r="E30" s="274" t="s">
        <v>255</v>
      </c>
      <c r="F30" s="282" t="s">
        <v>256</v>
      </c>
      <c r="G30" s="282" t="s">
        <v>257</v>
      </c>
      <c r="H30" s="278">
        <v>2</v>
      </c>
      <c r="I30" s="278">
        <v>0</v>
      </c>
      <c r="J30" s="278">
        <v>0</v>
      </c>
      <c r="K30" s="278">
        <v>0</v>
      </c>
      <c r="L30" s="278">
        <v>3</v>
      </c>
      <c r="M30" s="278">
        <v>1</v>
      </c>
      <c r="N30" s="278">
        <v>0</v>
      </c>
      <c r="O30" s="278">
        <v>0</v>
      </c>
      <c r="P30" s="278">
        <v>0</v>
      </c>
      <c r="Q30" s="278">
        <v>0</v>
      </c>
      <c r="R30" s="278">
        <v>2</v>
      </c>
      <c r="S30" s="278">
        <v>0</v>
      </c>
      <c r="T30" s="278">
        <v>0</v>
      </c>
      <c r="U30" s="279">
        <v>0</v>
      </c>
    </row>
    <row r="31" spans="1:21" ht="24" customHeight="1" thickBot="1" x14ac:dyDescent="0.55000000000000004">
      <c r="A31" s="320"/>
      <c r="B31" s="319"/>
      <c r="C31" s="268" t="s">
        <v>859</v>
      </c>
      <c r="D31" s="269" t="s">
        <v>260</v>
      </c>
      <c r="E31" s="268" t="s">
        <v>261</v>
      </c>
      <c r="F31" s="271" t="s">
        <v>262</v>
      </c>
      <c r="G31" s="283" t="s">
        <v>263</v>
      </c>
      <c r="H31" s="272">
        <v>2</v>
      </c>
      <c r="I31" s="272">
        <v>0</v>
      </c>
      <c r="J31" s="272">
        <v>0</v>
      </c>
      <c r="K31" s="272">
        <v>0</v>
      </c>
      <c r="L31" s="272">
        <v>3</v>
      </c>
      <c r="M31" s="272">
        <v>0</v>
      </c>
      <c r="N31" s="272">
        <v>0</v>
      </c>
      <c r="O31" s="272">
        <v>0</v>
      </c>
      <c r="P31" s="272">
        <v>0</v>
      </c>
      <c r="Q31" s="272">
        <v>0</v>
      </c>
      <c r="R31" s="272">
        <v>1</v>
      </c>
      <c r="S31" s="272">
        <v>0</v>
      </c>
      <c r="T31" s="272">
        <v>0</v>
      </c>
      <c r="U31" s="273">
        <v>0</v>
      </c>
    </row>
    <row r="32" spans="1:21" ht="24" customHeight="1" x14ac:dyDescent="0.5">
      <c r="A32" s="186" t="s">
        <v>264</v>
      </c>
      <c r="B32" s="317" t="s">
        <v>922</v>
      </c>
      <c r="C32" s="262" t="s">
        <v>264</v>
      </c>
      <c r="D32" s="263"/>
      <c r="E32" s="284"/>
      <c r="F32" s="265" t="s">
        <v>265</v>
      </c>
      <c r="G32" s="265"/>
      <c r="H32" s="266">
        <v>0</v>
      </c>
      <c r="I32" s="266">
        <v>0</v>
      </c>
      <c r="J32" s="266">
        <v>0</v>
      </c>
      <c r="K32" s="266">
        <v>2</v>
      </c>
      <c r="L32" s="266">
        <v>1</v>
      </c>
      <c r="M32" s="266">
        <v>0</v>
      </c>
      <c r="N32" s="266">
        <v>0</v>
      </c>
      <c r="O32" s="266">
        <v>0</v>
      </c>
      <c r="P32" s="266">
        <v>0</v>
      </c>
      <c r="Q32" s="266">
        <v>0</v>
      </c>
      <c r="R32" s="266">
        <v>0</v>
      </c>
      <c r="S32" s="266">
        <v>0</v>
      </c>
      <c r="T32" s="266">
        <v>0</v>
      </c>
      <c r="U32" s="267">
        <v>0</v>
      </c>
    </row>
    <row r="33" spans="1:21" ht="24" customHeight="1" x14ac:dyDescent="0.5">
      <c r="A33" s="186" t="s">
        <v>266</v>
      </c>
      <c r="B33" s="318"/>
      <c r="C33" s="274" t="s">
        <v>266</v>
      </c>
      <c r="D33" s="275"/>
      <c r="E33" s="285"/>
      <c r="F33" s="277" t="s">
        <v>267</v>
      </c>
      <c r="G33" s="277"/>
      <c r="H33" s="278">
        <v>0</v>
      </c>
      <c r="I33" s="278">
        <v>0</v>
      </c>
      <c r="J33" s="278">
        <v>2</v>
      </c>
      <c r="K33" s="278">
        <v>2</v>
      </c>
      <c r="L33" s="278">
        <v>0</v>
      </c>
      <c r="M33" s="278">
        <v>2</v>
      </c>
      <c r="N33" s="278">
        <v>1</v>
      </c>
      <c r="O33" s="278">
        <v>0</v>
      </c>
      <c r="P33" s="278">
        <v>1</v>
      </c>
      <c r="Q33" s="278">
        <v>0</v>
      </c>
      <c r="R33" s="278">
        <v>0</v>
      </c>
      <c r="S33" s="278">
        <v>0</v>
      </c>
      <c r="T33" s="278">
        <v>0</v>
      </c>
      <c r="U33" s="279">
        <v>0</v>
      </c>
    </row>
    <row r="34" spans="1:21" ht="24" customHeight="1" thickBot="1" x14ac:dyDescent="0.55000000000000004">
      <c r="A34" s="186" t="s">
        <v>268</v>
      </c>
      <c r="B34" s="319"/>
      <c r="C34" s="268" t="s">
        <v>289</v>
      </c>
      <c r="D34" s="269"/>
      <c r="E34" s="286" t="s">
        <v>269</v>
      </c>
      <c r="F34" s="271" t="s">
        <v>270</v>
      </c>
      <c r="G34" s="271"/>
      <c r="H34" s="272">
        <v>0</v>
      </c>
      <c r="I34" s="272">
        <v>0</v>
      </c>
      <c r="J34" s="272">
        <v>0</v>
      </c>
      <c r="K34" s="272">
        <v>2</v>
      </c>
      <c r="L34" s="272">
        <v>0</v>
      </c>
      <c r="M34" s="272">
        <v>0</v>
      </c>
      <c r="N34" s="272">
        <v>0</v>
      </c>
      <c r="O34" s="272">
        <v>0</v>
      </c>
      <c r="P34" s="272">
        <v>0</v>
      </c>
      <c r="Q34" s="272">
        <v>0</v>
      </c>
      <c r="R34" s="272">
        <v>0</v>
      </c>
      <c r="S34" s="272">
        <v>0</v>
      </c>
      <c r="T34" s="272">
        <v>0</v>
      </c>
      <c r="U34" s="273">
        <v>0</v>
      </c>
    </row>
  </sheetData>
  <mergeCells count="6">
    <mergeCell ref="B32:B34"/>
    <mergeCell ref="B18:B31"/>
    <mergeCell ref="B10:B17"/>
    <mergeCell ref="B4:B9"/>
    <mergeCell ref="A2:A31"/>
    <mergeCell ref="B2:B3"/>
  </mergeCells>
  <pageMargins left="0.7" right="0.7" top="0.78740157499999996" bottom="0.78740157499999996"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0A0F032-C951-4851-83D2-C4F2A92C5AA3}">
          <x14:formula1>
            <xm:f>Tabelle2!$B$3:$B$6</xm:f>
          </x14:formula1>
          <xm:sqref>H2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B2A4-4A6D-4337-AD48-DDDF78A59D9D}">
  <dimension ref="B3:AN38"/>
  <sheetViews>
    <sheetView tabSelected="1" topLeftCell="A3" zoomScaleNormal="100" workbookViewId="0">
      <selection activeCell="AO8" sqref="AO8"/>
    </sheetView>
  </sheetViews>
  <sheetFormatPr baseColWidth="10" defaultColWidth="8" defaultRowHeight="18" customHeight="1" x14ac:dyDescent="0.35"/>
  <cols>
    <col min="2" max="2" width="32.3984375" customWidth="1"/>
    <col min="3" max="3" width="80.3984375" hidden="1" customWidth="1"/>
    <col min="4" max="19" width="5.59765625" customWidth="1"/>
  </cols>
  <sheetData>
    <row r="3" spans="2:40" ht="20.100000000000001" customHeight="1" thickBot="1" x14ac:dyDescent="0.4"/>
    <row r="4" spans="2:40" ht="36" customHeight="1" x14ac:dyDescent="0.35">
      <c r="B4" s="327" t="s">
        <v>924</v>
      </c>
      <c r="C4" s="328"/>
      <c r="D4" s="321" t="s">
        <v>13</v>
      </c>
      <c r="E4" s="322"/>
      <c r="F4" s="322"/>
      <c r="G4" s="323"/>
      <c r="H4" s="321" t="s">
        <v>36</v>
      </c>
      <c r="I4" s="322"/>
      <c r="J4" s="322"/>
      <c r="K4" s="322"/>
      <c r="L4" s="323"/>
      <c r="M4" s="324" t="s">
        <v>70</v>
      </c>
      <c r="N4" s="325"/>
      <c r="O4" s="326"/>
      <c r="P4" s="324" t="s">
        <v>923</v>
      </c>
      <c r="Q4" s="322"/>
      <c r="R4" s="322"/>
      <c r="S4" s="323"/>
      <c r="X4" s="321" t="s">
        <v>13</v>
      </c>
      <c r="Y4" s="322"/>
      <c r="Z4" s="322"/>
      <c r="AA4" s="323"/>
      <c r="AB4" s="321" t="s">
        <v>36</v>
      </c>
      <c r="AC4" s="322"/>
      <c r="AD4" s="322"/>
      <c r="AE4" s="322"/>
      <c r="AF4" s="323"/>
      <c r="AG4" s="324" t="s">
        <v>70</v>
      </c>
      <c r="AH4" s="325"/>
      <c r="AI4" s="326"/>
      <c r="AJ4" s="324" t="s">
        <v>923</v>
      </c>
      <c r="AK4" s="322"/>
      <c r="AL4" s="322"/>
      <c r="AM4" s="323"/>
    </row>
    <row r="5" spans="2:40" ht="138" customHeight="1" x14ac:dyDescent="0.35">
      <c r="B5" s="327"/>
      <c r="C5" s="328"/>
      <c r="D5" s="293" t="s">
        <v>14</v>
      </c>
      <c r="E5" s="287" t="s">
        <v>23</v>
      </c>
      <c r="F5" s="287" t="s">
        <v>31</v>
      </c>
      <c r="G5" s="294" t="s">
        <v>34</v>
      </c>
      <c r="H5" s="293" t="s">
        <v>37</v>
      </c>
      <c r="I5" s="287" t="s">
        <v>46</v>
      </c>
      <c r="J5" s="287" t="s">
        <v>55</v>
      </c>
      <c r="K5" s="287" t="s">
        <v>64</v>
      </c>
      <c r="L5" s="294" t="s">
        <v>67</v>
      </c>
      <c r="M5" s="293" t="s">
        <v>71</v>
      </c>
      <c r="N5" s="287" t="s">
        <v>74</v>
      </c>
      <c r="O5" s="294" t="s">
        <v>77</v>
      </c>
      <c r="P5" s="293" t="s">
        <v>81</v>
      </c>
      <c r="Q5" s="288" t="s">
        <v>90</v>
      </c>
      <c r="R5" s="288" t="s">
        <v>93</v>
      </c>
      <c r="S5" s="300" t="s">
        <v>96</v>
      </c>
      <c r="V5" s="462" t="s">
        <v>926</v>
      </c>
      <c r="X5" s="293" t="s">
        <v>14</v>
      </c>
      <c r="Y5" s="287" t="s">
        <v>23</v>
      </c>
      <c r="Z5" s="287" t="s">
        <v>31</v>
      </c>
      <c r="AA5" s="294" t="s">
        <v>34</v>
      </c>
      <c r="AB5" s="293" t="s">
        <v>37</v>
      </c>
      <c r="AC5" s="287" t="s">
        <v>46</v>
      </c>
      <c r="AD5" s="287" t="s">
        <v>55</v>
      </c>
      <c r="AE5" s="287" t="s">
        <v>64</v>
      </c>
      <c r="AF5" s="294" t="s">
        <v>67</v>
      </c>
      <c r="AG5" s="293" t="s">
        <v>71</v>
      </c>
      <c r="AH5" s="287" t="s">
        <v>74</v>
      </c>
      <c r="AI5" s="294" t="s">
        <v>77</v>
      </c>
      <c r="AJ5" s="293" t="s">
        <v>81</v>
      </c>
      <c r="AK5" s="288" t="s">
        <v>90</v>
      </c>
      <c r="AL5" s="288" t="s">
        <v>93</v>
      </c>
      <c r="AM5" s="300" t="s">
        <v>96</v>
      </c>
      <c r="AN5" s="462" t="s">
        <v>927</v>
      </c>
    </row>
    <row r="6" spans="2:40" ht="18" customHeight="1" x14ac:dyDescent="0.4">
      <c r="B6" s="289" t="s">
        <v>463</v>
      </c>
      <c r="C6" s="291" t="s">
        <v>124</v>
      </c>
      <c r="D6" s="295">
        <v>1</v>
      </c>
      <c r="E6" s="290">
        <v>0</v>
      </c>
      <c r="F6" s="290">
        <v>0</v>
      </c>
      <c r="G6" s="296">
        <v>0</v>
      </c>
      <c r="H6" s="295">
        <v>1</v>
      </c>
      <c r="I6" s="290">
        <v>0</v>
      </c>
      <c r="J6" s="290">
        <v>0</v>
      </c>
      <c r="K6" s="290">
        <v>0</v>
      </c>
      <c r="L6" s="296">
        <v>0</v>
      </c>
      <c r="M6" s="295">
        <v>1</v>
      </c>
      <c r="N6" s="290">
        <v>2</v>
      </c>
      <c r="O6" s="296">
        <v>0</v>
      </c>
      <c r="P6" s="295">
        <v>0</v>
      </c>
      <c r="Q6" s="290">
        <v>0</v>
      </c>
      <c r="R6" s="290">
        <v>0</v>
      </c>
      <c r="S6" s="296">
        <v>0</v>
      </c>
      <c r="V6" s="463">
        <v>0</v>
      </c>
      <c r="X6">
        <f>D6*$V6</f>
        <v>0</v>
      </c>
      <c r="Y6">
        <f t="shared" ref="Y6:AM6" si="0">E6*$V6</f>
        <v>0</v>
      </c>
      <c r="Z6">
        <f t="shared" si="0"/>
        <v>0</v>
      </c>
      <c r="AA6">
        <f t="shared" si="0"/>
        <v>0</v>
      </c>
      <c r="AB6">
        <f t="shared" si="0"/>
        <v>0</v>
      </c>
      <c r="AC6">
        <f t="shared" si="0"/>
        <v>0</v>
      </c>
      <c r="AD6">
        <f t="shared" si="0"/>
        <v>0</v>
      </c>
      <c r="AE6">
        <f t="shared" si="0"/>
        <v>0</v>
      </c>
      <c r="AF6">
        <f t="shared" si="0"/>
        <v>0</v>
      </c>
      <c r="AG6">
        <f t="shared" si="0"/>
        <v>0</v>
      </c>
      <c r="AH6">
        <f t="shared" si="0"/>
        <v>0</v>
      </c>
      <c r="AI6">
        <f t="shared" si="0"/>
        <v>0</v>
      </c>
      <c r="AJ6">
        <f t="shared" si="0"/>
        <v>0</v>
      </c>
      <c r="AK6">
        <f t="shared" si="0"/>
        <v>0</v>
      </c>
      <c r="AL6">
        <f t="shared" si="0"/>
        <v>0</v>
      </c>
      <c r="AM6">
        <f t="shared" si="0"/>
        <v>0</v>
      </c>
      <c r="AN6" s="198">
        <f>MAX(X6:AM6)</f>
        <v>0</v>
      </c>
    </row>
    <row r="7" spans="2:40" ht="18" customHeight="1" x14ac:dyDescent="0.4">
      <c r="B7" s="289" t="s">
        <v>464</v>
      </c>
      <c r="C7" s="291" t="s">
        <v>128</v>
      </c>
      <c r="D7" s="295">
        <v>1</v>
      </c>
      <c r="E7" s="290">
        <v>0</v>
      </c>
      <c r="F7" s="290">
        <v>0</v>
      </c>
      <c r="G7" s="296">
        <v>0</v>
      </c>
      <c r="H7" s="295">
        <v>1</v>
      </c>
      <c r="I7" s="290">
        <v>0</v>
      </c>
      <c r="J7" s="290">
        <v>0</v>
      </c>
      <c r="K7" s="290">
        <v>0</v>
      </c>
      <c r="L7" s="296">
        <v>0</v>
      </c>
      <c r="M7" s="295">
        <v>1</v>
      </c>
      <c r="N7" s="290">
        <v>2</v>
      </c>
      <c r="O7" s="296">
        <v>0</v>
      </c>
      <c r="P7" s="295">
        <v>0</v>
      </c>
      <c r="Q7" s="290">
        <v>0</v>
      </c>
      <c r="R7" s="290">
        <v>0</v>
      </c>
      <c r="S7" s="296">
        <v>0</v>
      </c>
      <c r="V7" s="463">
        <v>0</v>
      </c>
      <c r="X7">
        <f t="shared" ref="X7:X32" si="1">D7*$V7</f>
        <v>0</v>
      </c>
      <c r="Y7">
        <f t="shared" ref="Y7:Y33" si="2">E7*$V7</f>
        <v>0</v>
      </c>
      <c r="Z7">
        <f t="shared" ref="Z7:Z33" si="3">F7*$V7</f>
        <v>0</v>
      </c>
      <c r="AA7">
        <f t="shared" ref="AA7:AA33" si="4">G7*$V7</f>
        <v>0</v>
      </c>
      <c r="AB7">
        <f t="shared" ref="AB7:AB33" si="5">H7*$V7</f>
        <v>0</v>
      </c>
      <c r="AC7">
        <f t="shared" ref="AC7:AC33" si="6">I7*$V7</f>
        <v>0</v>
      </c>
      <c r="AD7">
        <f t="shared" ref="AD7:AD33" si="7">J7*$V7</f>
        <v>0</v>
      </c>
      <c r="AE7">
        <f t="shared" ref="AE7:AE33" si="8">K7*$V7</f>
        <v>0</v>
      </c>
      <c r="AF7">
        <f t="shared" ref="AF7:AF33" si="9">L7*$V7</f>
        <v>0</v>
      </c>
      <c r="AG7">
        <f t="shared" ref="AG7:AG33" si="10">M7*$V7</f>
        <v>0</v>
      </c>
      <c r="AH7">
        <f t="shared" ref="AH7:AH33" si="11">N7*$V7</f>
        <v>0</v>
      </c>
      <c r="AI7">
        <f t="shared" ref="AI7:AI33" si="12">O7*$V7</f>
        <v>0</v>
      </c>
      <c r="AJ7">
        <f t="shared" ref="AJ7:AJ33" si="13">P7*$V7</f>
        <v>0</v>
      </c>
      <c r="AK7">
        <f t="shared" ref="AK7:AK33" si="14">Q7*$V7</f>
        <v>0</v>
      </c>
      <c r="AL7">
        <f t="shared" ref="AL7:AL33" si="15">R7*$V7</f>
        <v>0</v>
      </c>
      <c r="AM7">
        <f t="shared" ref="AM7:AM33" si="16">S7*$V7</f>
        <v>0</v>
      </c>
      <c r="AN7" s="198">
        <f t="shared" ref="AN7:AN38" si="17">MAX(X7:AM7)</f>
        <v>0</v>
      </c>
    </row>
    <row r="8" spans="2:40" ht="18" customHeight="1" x14ac:dyDescent="0.4">
      <c r="B8" s="289" t="s">
        <v>465</v>
      </c>
      <c r="C8" s="291" t="s">
        <v>133</v>
      </c>
      <c r="D8" s="295">
        <v>2</v>
      </c>
      <c r="E8" s="290">
        <v>2</v>
      </c>
      <c r="F8" s="290">
        <v>2</v>
      </c>
      <c r="G8" s="296">
        <v>1</v>
      </c>
      <c r="H8" s="295">
        <v>2</v>
      </c>
      <c r="I8" s="290">
        <v>2</v>
      </c>
      <c r="J8" s="290">
        <v>2</v>
      </c>
      <c r="K8" s="290">
        <v>2</v>
      </c>
      <c r="L8" s="296">
        <v>2</v>
      </c>
      <c r="M8" s="295">
        <v>1</v>
      </c>
      <c r="N8" s="290">
        <v>0</v>
      </c>
      <c r="O8" s="296">
        <v>0</v>
      </c>
      <c r="P8" s="295">
        <v>2</v>
      </c>
      <c r="Q8" s="290">
        <v>2</v>
      </c>
      <c r="R8" s="290">
        <v>2</v>
      </c>
      <c r="S8" s="296">
        <v>2</v>
      </c>
      <c r="V8" s="463">
        <v>0</v>
      </c>
      <c r="X8">
        <f t="shared" si="1"/>
        <v>0</v>
      </c>
      <c r="Y8">
        <f t="shared" si="2"/>
        <v>0</v>
      </c>
      <c r="Z8">
        <f t="shared" si="3"/>
        <v>0</v>
      </c>
      <c r="AA8">
        <f t="shared" si="4"/>
        <v>0</v>
      </c>
      <c r="AB8">
        <f t="shared" si="5"/>
        <v>0</v>
      </c>
      <c r="AC8">
        <f t="shared" si="6"/>
        <v>0</v>
      </c>
      <c r="AD8">
        <f t="shared" si="7"/>
        <v>0</v>
      </c>
      <c r="AE8">
        <f t="shared" si="8"/>
        <v>0</v>
      </c>
      <c r="AF8">
        <f t="shared" si="9"/>
        <v>0</v>
      </c>
      <c r="AG8">
        <f t="shared" si="10"/>
        <v>0</v>
      </c>
      <c r="AH8">
        <f t="shared" si="11"/>
        <v>0</v>
      </c>
      <c r="AI8">
        <f t="shared" si="12"/>
        <v>0</v>
      </c>
      <c r="AJ8">
        <f t="shared" si="13"/>
        <v>0</v>
      </c>
      <c r="AK8">
        <f t="shared" si="14"/>
        <v>0</v>
      </c>
      <c r="AL8">
        <f t="shared" si="15"/>
        <v>0</v>
      </c>
      <c r="AM8">
        <f t="shared" si="16"/>
        <v>0</v>
      </c>
      <c r="AN8" s="198">
        <f t="shared" si="17"/>
        <v>0</v>
      </c>
    </row>
    <row r="9" spans="2:40" ht="18" customHeight="1" x14ac:dyDescent="0.4">
      <c r="B9" s="289" t="s">
        <v>466</v>
      </c>
      <c r="C9" s="291" t="s">
        <v>137</v>
      </c>
      <c r="D9" s="295">
        <v>1</v>
      </c>
      <c r="E9" s="290">
        <v>1</v>
      </c>
      <c r="F9" s="290">
        <v>0</v>
      </c>
      <c r="G9" s="296">
        <v>0</v>
      </c>
      <c r="H9" s="295">
        <v>1</v>
      </c>
      <c r="I9" s="290">
        <v>1</v>
      </c>
      <c r="J9" s="290">
        <v>0</v>
      </c>
      <c r="K9" s="290">
        <v>0</v>
      </c>
      <c r="L9" s="296">
        <v>0</v>
      </c>
      <c r="M9" s="295">
        <v>1</v>
      </c>
      <c r="N9" s="290">
        <v>1</v>
      </c>
      <c r="O9" s="296">
        <v>1</v>
      </c>
      <c r="P9" s="295">
        <v>0</v>
      </c>
      <c r="Q9" s="290">
        <v>1</v>
      </c>
      <c r="R9" s="290">
        <v>1</v>
      </c>
      <c r="S9" s="296">
        <v>1</v>
      </c>
      <c r="V9" s="463">
        <v>0</v>
      </c>
      <c r="X9">
        <f t="shared" si="1"/>
        <v>0</v>
      </c>
      <c r="Y9">
        <f t="shared" si="2"/>
        <v>0</v>
      </c>
      <c r="Z9">
        <f t="shared" si="3"/>
        <v>0</v>
      </c>
      <c r="AA9">
        <f t="shared" si="4"/>
        <v>0</v>
      </c>
      <c r="AB9">
        <f t="shared" si="5"/>
        <v>0</v>
      </c>
      <c r="AC9">
        <f t="shared" si="6"/>
        <v>0</v>
      </c>
      <c r="AD9">
        <f t="shared" si="7"/>
        <v>0</v>
      </c>
      <c r="AE9">
        <f t="shared" si="8"/>
        <v>0</v>
      </c>
      <c r="AF9">
        <f t="shared" si="9"/>
        <v>0</v>
      </c>
      <c r="AG9">
        <f t="shared" si="10"/>
        <v>0</v>
      </c>
      <c r="AH9">
        <f t="shared" si="11"/>
        <v>0</v>
      </c>
      <c r="AI9">
        <f t="shared" si="12"/>
        <v>0</v>
      </c>
      <c r="AJ9">
        <f t="shared" si="13"/>
        <v>0</v>
      </c>
      <c r="AK9">
        <f t="shared" si="14"/>
        <v>0</v>
      </c>
      <c r="AL9">
        <f t="shared" si="15"/>
        <v>0</v>
      </c>
      <c r="AM9">
        <f t="shared" si="16"/>
        <v>0</v>
      </c>
      <c r="AN9" s="198">
        <f t="shared" si="17"/>
        <v>0</v>
      </c>
    </row>
    <row r="10" spans="2:40" ht="18" customHeight="1" x14ac:dyDescent="0.4">
      <c r="B10" s="289" t="s">
        <v>467</v>
      </c>
      <c r="C10" s="291" t="s">
        <v>141</v>
      </c>
      <c r="D10" s="295">
        <v>1</v>
      </c>
      <c r="E10" s="290">
        <v>0</v>
      </c>
      <c r="F10" s="290">
        <v>0</v>
      </c>
      <c r="G10" s="296">
        <v>0</v>
      </c>
      <c r="H10" s="295">
        <v>0</v>
      </c>
      <c r="I10" s="290">
        <v>0</v>
      </c>
      <c r="J10" s="290">
        <v>0</v>
      </c>
      <c r="K10" s="290">
        <v>0</v>
      </c>
      <c r="L10" s="296">
        <v>0</v>
      </c>
      <c r="M10" s="295">
        <v>1</v>
      </c>
      <c r="N10" s="290">
        <v>1</v>
      </c>
      <c r="O10" s="296">
        <v>2</v>
      </c>
      <c r="P10" s="295">
        <v>1</v>
      </c>
      <c r="Q10" s="290">
        <v>2</v>
      </c>
      <c r="R10" s="290">
        <v>0</v>
      </c>
      <c r="S10" s="296">
        <v>0</v>
      </c>
      <c r="V10" s="463">
        <v>2</v>
      </c>
      <c r="X10">
        <f t="shared" si="1"/>
        <v>2</v>
      </c>
      <c r="Y10">
        <f t="shared" si="2"/>
        <v>0</v>
      </c>
      <c r="Z10">
        <f t="shared" si="3"/>
        <v>0</v>
      </c>
      <c r="AA10">
        <f t="shared" si="4"/>
        <v>0</v>
      </c>
      <c r="AB10">
        <f t="shared" si="5"/>
        <v>0</v>
      </c>
      <c r="AC10">
        <f t="shared" si="6"/>
        <v>0</v>
      </c>
      <c r="AD10">
        <f t="shared" si="7"/>
        <v>0</v>
      </c>
      <c r="AE10">
        <f t="shared" si="8"/>
        <v>0</v>
      </c>
      <c r="AF10">
        <f t="shared" si="9"/>
        <v>0</v>
      </c>
      <c r="AG10">
        <f t="shared" si="10"/>
        <v>2</v>
      </c>
      <c r="AH10">
        <f t="shared" si="11"/>
        <v>2</v>
      </c>
      <c r="AI10">
        <f t="shared" si="12"/>
        <v>4</v>
      </c>
      <c r="AJ10">
        <f t="shared" si="13"/>
        <v>2</v>
      </c>
      <c r="AK10">
        <f t="shared" si="14"/>
        <v>4</v>
      </c>
      <c r="AL10">
        <f t="shared" si="15"/>
        <v>0</v>
      </c>
      <c r="AM10">
        <f t="shared" si="16"/>
        <v>0</v>
      </c>
      <c r="AN10" s="198">
        <f t="shared" si="17"/>
        <v>4</v>
      </c>
    </row>
    <row r="11" spans="2:40" ht="18" customHeight="1" x14ac:dyDescent="0.4">
      <c r="B11" s="289" t="s">
        <v>468</v>
      </c>
      <c r="C11" s="291" t="s">
        <v>145</v>
      </c>
      <c r="D11" s="295">
        <v>1</v>
      </c>
      <c r="E11" s="290">
        <v>1</v>
      </c>
      <c r="F11" s="290">
        <v>1</v>
      </c>
      <c r="G11" s="296">
        <v>0</v>
      </c>
      <c r="H11" s="295">
        <v>0</v>
      </c>
      <c r="I11" s="290">
        <v>0</v>
      </c>
      <c r="J11" s="290">
        <v>0</v>
      </c>
      <c r="K11" s="290">
        <v>0</v>
      </c>
      <c r="L11" s="296">
        <v>0</v>
      </c>
      <c r="M11" s="295">
        <v>1</v>
      </c>
      <c r="N11" s="290">
        <v>1</v>
      </c>
      <c r="O11" s="296">
        <v>1</v>
      </c>
      <c r="P11" s="295">
        <v>0</v>
      </c>
      <c r="Q11" s="290">
        <v>0</v>
      </c>
      <c r="R11" s="290">
        <v>0</v>
      </c>
      <c r="S11" s="296">
        <v>0</v>
      </c>
      <c r="V11" s="463">
        <v>0</v>
      </c>
      <c r="X11">
        <f t="shared" si="1"/>
        <v>0</v>
      </c>
      <c r="Y11">
        <f t="shared" si="2"/>
        <v>0</v>
      </c>
      <c r="Z11">
        <f t="shared" si="3"/>
        <v>0</v>
      </c>
      <c r="AA11">
        <f t="shared" si="4"/>
        <v>0</v>
      </c>
      <c r="AB11">
        <f t="shared" si="5"/>
        <v>0</v>
      </c>
      <c r="AC11">
        <f t="shared" si="6"/>
        <v>0</v>
      </c>
      <c r="AD11">
        <f t="shared" si="7"/>
        <v>0</v>
      </c>
      <c r="AE11">
        <f t="shared" si="8"/>
        <v>0</v>
      </c>
      <c r="AF11">
        <f t="shared" si="9"/>
        <v>0</v>
      </c>
      <c r="AG11">
        <f t="shared" si="10"/>
        <v>0</v>
      </c>
      <c r="AH11">
        <f t="shared" si="11"/>
        <v>0</v>
      </c>
      <c r="AI11">
        <f t="shared" si="12"/>
        <v>0</v>
      </c>
      <c r="AJ11">
        <f t="shared" si="13"/>
        <v>0</v>
      </c>
      <c r="AK11">
        <f t="shared" si="14"/>
        <v>0</v>
      </c>
      <c r="AL11">
        <f t="shared" si="15"/>
        <v>0</v>
      </c>
      <c r="AM11">
        <f t="shared" si="16"/>
        <v>0</v>
      </c>
      <c r="AN11" s="198">
        <f t="shared" si="17"/>
        <v>0</v>
      </c>
    </row>
    <row r="12" spans="2:40" ht="18" customHeight="1" x14ac:dyDescent="0.4">
      <c r="B12" s="289" t="s">
        <v>469</v>
      </c>
      <c r="C12" s="291" t="s">
        <v>149</v>
      </c>
      <c r="D12" s="295">
        <v>1</v>
      </c>
      <c r="E12" s="290">
        <v>1</v>
      </c>
      <c r="F12" s="290">
        <v>1</v>
      </c>
      <c r="G12" s="296">
        <v>0</v>
      </c>
      <c r="H12" s="295">
        <v>2</v>
      </c>
      <c r="I12" s="290">
        <v>2</v>
      </c>
      <c r="J12" s="290">
        <v>0</v>
      </c>
      <c r="K12" s="290">
        <v>0</v>
      </c>
      <c r="L12" s="296">
        <v>0</v>
      </c>
      <c r="M12" s="295">
        <v>1</v>
      </c>
      <c r="N12" s="290">
        <v>1</v>
      </c>
      <c r="O12" s="296">
        <v>1</v>
      </c>
      <c r="P12" s="295">
        <v>2</v>
      </c>
      <c r="Q12" s="290">
        <v>0</v>
      </c>
      <c r="R12" s="290">
        <v>0</v>
      </c>
      <c r="S12" s="296">
        <v>0</v>
      </c>
      <c r="V12" s="463">
        <v>0</v>
      </c>
      <c r="X12">
        <f t="shared" si="1"/>
        <v>0</v>
      </c>
      <c r="Y12">
        <f t="shared" si="2"/>
        <v>0</v>
      </c>
      <c r="Z12">
        <f t="shared" si="3"/>
        <v>0</v>
      </c>
      <c r="AA12">
        <f t="shared" si="4"/>
        <v>0</v>
      </c>
      <c r="AB12">
        <f t="shared" si="5"/>
        <v>0</v>
      </c>
      <c r="AC12">
        <f t="shared" si="6"/>
        <v>0</v>
      </c>
      <c r="AD12">
        <f t="shared" si="7"/>
        <v>0</v>
      </c>
      <c r="AE12">
        <f t="shared" si="8"/>
        <v>0</v>
      </c>
      <c r="AF12">
        <f t="shared" si="9"/>
        <v>0</v>
      </c>
      <c r="AG12">
        <f t="shared" si="10"/>
        <v>0</v>
      </c>
      <c r="AH12">
        <f t="shared" si="11"/>
        <v>0</v>
      </c>
      <c r="AI12">
        <f t="shared" si="12"/>
        <v>0</v>
      </c>
      <c r="AJ12">
        <f t="shared" si="13"/>
        <v>0</v>
      </c>
      <c r="AK12">
        <f t="shared" si="14"/>
        <v>0</v>
      </c>
      <c r="AL12">
        <f t="shared" si="15"/>
        <v>0</v>
      </c>
      <c r="AM12">
        <f t="shared" si="16"/>
        <v>0</v>
      </c>
      <c r="AN12" s="198">
        <f t="shared" si="17"/>
        <v>0</v>
      </c>
    </row>
    <row r="13" spans="2:40" ht="18" customHeight="1" x14ac:dyDescent="0.4">
      <c r="B13" s="289" t="s">
        <v>470</v>
      </c>
      <c r="C13" s="291" t="s">
        <v>153</v>
      </c>
      <c r="D13" s="295">
        <v>1</v>
      </c>
      <c r="E13" s="290">
        <v>1</v>
      </c>
      <c r="F13" s="290">
        <v>0</v>
      </c>
      <c r="G13" s="296">
        <v>0</v>
      </c>
      <c r="H13" s="295">
        <v>0</v>
      </c>
      <c r="I13" s="290">
        <v>1</v>
      </c>
      <c r="J13" s="290">
        <v>0</v>
      </c>
      <c r="K13" s="290">
        <v>0</v>
      </c>
      <c r="L13" s="296">
        <v>0</v>
      </c>
      <c r="M13" s="295">
        <v>1</v>
      </c>
      <c r="N13" s="290">
        <v>1</v>
      </c>
      <c r="O13" s="296">
        <v>1</v>
      </c>
      <c r="P13" s="295">
        <v>0</v>
      </c>
      <c r="Q13" s="290">
        <v>0</v>
      </c>
      <c r="R13" s="290">
        <v>2</v>
      </c>
      <c r="S13" s="296">
        <v>0</v>
      </c>
      <c r="V13" s="463">
        <v>0</v>
      </c>
      <c r="X13">
        <f t="shared" si="1"/>
        <v>0</v>
      </c>
      <c r="Y13">
        <f t="shared" si="2"/>
        <v>0</v>
      </c>
      <c r="Z13">
        <f t="shared" si="3"/>
        <v>0</v>
      </c>
      <c r="AA13">
        <f t="shared" si="4"/>
        <v>0</v>
      </c>
      <c r="AB13">
        <f t="shared" si="5"/>
        <v>0</v>
      </c>
      <c r="AC13">
        <f t="shared" si="6"/>
        <v>0</v>
      </c>
      <c r="AD13">
        <f t="shared" si="7"/>
        <v>0</v>
      </c>
      <c r="AE13">
        <f t="shared" si="8"/>
        <v>0</v>
      </c>
      <c r="AF13">
        <f t="shared" si="9"/>
        <v>0</v>
      </c>
      <c r="AG13">
        <f t="shared" si="10"/>
        <v>0</v>
      </c>
      <c r="AH13">
        <f t="shared" si="11"/>
        <v>0</v>
      </c>
      <c r="AI13">
        <f t="shared" si="12"/>
        <v>0</v>
      </c>
      <c r="AJ13">
        <f t="shared" si="13"/>
        <v>0</v>
      </c>
      <c r="AK13">
        <f t="shared" si="14"/>
        <v>0</v>
      </c>
      <c r="AL13">
        <f t="shared" si="15"/>
        <v>0</v>
      </c>
      <c r="AM13">
        <f t="shared" si="16"/>
        <v>0</v>
      </c>
      <c r="AN13" s="198">
        <f t="shared" si="17"/>
        <v>0</v>
      </c>
    </row>
    <row r="14" spans="2:40" ht="18" customHeight="1" x14ac:dyDescent="0.45">
      <c r="B14" s="289" t="s">
        <v>845</v>
      </c>
      <c r="C14" s="292" t="s">
        <v>158</v>
      </c>
      <c r="D14" s="295">
        <v>2</v>
      </c>
      <c r="E14" s="290">
        <v>0</v>
      </c>
      <c r="F14" s="290">
        <v>1</v>
      </c>
      <c r="G14" s="296">
        <v>2</v>
      </c>
      <c r="H14" s="295">
        <v>1</v>
      </c>
      <c r="I14" s="290">
        <v>1</v>
      </c>
      <c r="J14" s="290">
        <v>1</v>
      </c>
      <c r="K14" s="290">
        <v>1</v>
      </c>
      <c r="L14" s="296">
        <v>2</v>
      </c>
      <c r="M14" s="295">
        <v>2</v>
      </c>
      <c r="N14" s="290">
        <v>2</v>
      </c>
      <c r="O14" s="296">
        <v>2</v>
      </c>
      <c r="P14" s="295">
        <v>2</v>
      </c>
      <c r="Q14" s="290">
        <v>1</v>
      </c>
      <c r="R14" s="290">
        <v>1</v>
      </c>
      <c r="S14" s="296">
        <v>0</v>
      </c>
      <c r="V14" s="463">
        <v>0</v>
      </c>
      <c r="X14">
        <f t="shared" si="1"/>
        <v>0</v>
      </c>
      <c r="Y14">
        <f t="shared" si="2"/>
        <v>0</v>
      </c>
      <c r="Z14">
        <f t="shared" si="3"/>
        <v>0</v>
      </c>
      <c r="AA14">
        <f t="shared" si="4"/>
        <v>0</v>
      </c>
      <c r="AB14">
        <f t="shared" si="5"/>
        <v>0</v>
      </c>
      <c r="AC14">
        <f t="shared" si="6"/>
        <v>0</v>
      </c>
      <c r="AD14">
        <f t="shared" si="7"/>
        <v>0</v>
      </c>
      <c r="AE14">
        <f t="shared" si="8"/>
        <v>0</v>
      </c>
      <c r="AF14">
        <f t="shared" si="9"/>
        <v>0</v>
      </c>
      <c r="AG14">
        <f t="shared" si="10"/>
        <v>0</v>
      </c>
      <c r="AH14">
        <f t="shared" si="11"/>
        <v>0</v>
      </c>
      <c r="AI14">
        <f t="shared" si="12"/>
        <v>0</v>
      </c>
      <c r="AJ14">
        <f t="shared" si="13"/>
        <v>0</v>
      </c>
      <c r="AK14">
        <f t="shared" si="14"/>
        <v>0</v>
      </c>
      <c r="AL14">
        <f t="shared" si="15"/>
        <v>0</v>
      </c>
      <c r="AM14">
        <f t="shared" si="16"/>
        <v>0</v>
      </c>
      <c r="AN14" s="198">
        <f t="shared" si="17"/>
        <v>0</v>
      </c>
    </row>
    <row r="15" spans="2:40" ht="18" customHeight="1" x14ac:dyDescent="0.4">
      <c r="B15" s="289" t="s">
        <v>472</v>
      </c>
      <c r="C15" s="291" t="s">
        <v>162</v>
      </c>
      <c r="D15" s="295">
        <v>1</v>
      </c>
      <c r="E15" s="290">
        <v>0</v>
      </c>
      <c r="F15" s="290">
        <v>1</v>
      </c>
      <c r="G15" s="296">
        <v>2</v>
      </c>
      <c r="H15" s="295">
        <v>1</v>
      </c>
      <c r="I15" s="290">
        <v>1</v>
      </c>
      <c r="J15" s="290">
        <v>1</v>
      </c>
      <c r="K15" s="290">
        <v>1</v>
      </c>
      <c r="L15" s="296">
        <v>2</v>
      </c>
      <c r="M15" s="295">
        <v>2</v>
      </c>
      <c r="N15" s="290">
        <v>2</v>
      </c>
      <c r="O15" s="296">
        <v>2</v>
      </c>
      <c r="P15" s="295">
        <v>2</v>
      </c>
      <c r="Q15" s="290">
        <v>1</v>
      </c>
      <c r="R15" s="290">
        <v>1</v>
      </c>
      <c r="S15" s="296">
        <v>0</v>
      </c>
      <c r="V15" s="463">
        <v>2</v>
      </c>
      <c r="X15">
        <f t="shared" si="1"/>
        <v>2</v>
      </c>
      <c r="Y15">
        <f t="shared" si="2"/>
        <v>0</v>
      </c>
      <c r="Z15">
        <f t="shared" si="3"/>
        <v>2</v>
      </c>
      <c r="AA15">
        <f t="shared" si="4"/>
        <v>4</v>
      </c>
      <c r="AB15">
        <f t="shared" si="5"/>
        <v>2</v>
      </c>
      <c r="AC15">
        <f t="shared" si="6"/>
        <v>2</v>
      </c>
      <c r="AD15">
        <f t="shared" si="7"/>
        <v>2</v>
      </c>
      <c r="AE15">
        <f t="shared" si="8"/>
        <v>2</v>
      </c>
      <c r="AF15">
        <f t="shared" si="9"/>
        <v>4</v>
      </c>
      <c r="AG15">
        <f t="shared" si="10"/>
        <v>4</v>
      </c>
      <c r="AH15">
        <f t="shared" si="11"/>
        <v>4</v>
      </c>
      <c r="AI15">
        <f t="shared" si="12"/>
        <v>4</v>
      </c>
      <c r="AJ15">
        <f t="shared" si="13"/>
        <v>4</v>
      </c>
      <c r="AK15">
        <f t="shared" si="14"/>
        <v>2</v>
      </c>
      <c r="AL15">
        <f t="shared" si="15"/>
        <v>2</v>
      </c>
      <c r="AM15">
        <f t="shared" si="16"/>
        <v>0</v>
      </c>
      <c r="AN15" s="198">
        <f t="shared" si="17"/>
        <v>4</v>
      </c>
    </row>
    <row r="16" spans="2:40" ht="18" customHeight="1" x14ac:dyDescent="0.4">
      <c r="B16" s="289" t="s">
        <v>90</v>
      </c>
      <c r="C16" s="291" t="s">
        <v>166</v>
      </c>
      <c r="D16" s="295">
        <v>1</v>
      </c>
      <c r="E16" s="290">
        <v>1</v>
      </c>
      <c r="F16" s="290">
        <v>2</v>
      </c>
      <c r="G16" s="296">
        <v>1</v>
      </c>
      <c r="H16" s="295">
        <v>0</v>
      </c>
      <c r="I16" s="290">
        <v>0</v>
      </c>
      <c r="J16" s="290">
        <v>0</v>
      </c>
      <c r="K16" s="290">
        <v>0</v>
      </c>
      <c r="L16" s="296">
        <v>0</v>
      </c>
      <c r="M16" s="295">
        <v>1</v>
      </c>
      <c r="N16" s="290">
        <v>1</v>
      </c>
      <c r="O16" s="296">
        <v>1</v>
      </c>
      <c r="P16" s="295">
        <v>1</v>
      </c>
      <c r="Q16" s="290">
        <v>2</v>
      </c>
      <c r="R16" s="290">
        <v>0</v>
      </c>
      <c r="S16" s="296">
        <v>0</v>
      </c>
      <c r="V16" s="463">
        <v>0</v>
      </c>
      <c r="X16">
        <f t="shared" si="1"/>
        <v>0</v>
      </c>
      <c r="Y16">
        <f t="shared" si="2"/>
        <v>0</v>
      </c>
      <c r="Z16">
        <f t="shared" si="3"/>
        <v>0</v>
      </c>
      <c r="AA16">
        <f t="shared" si="4"/>
        <v>0</v>
      </c>
      <c r="AB16">
        <f t="shared" si="5"/>
        <v>0</v>
      </c>
      <c r="AC16">
        <f t="shared" si="6"/>
        <v>0</v>
      </c>
      <c r="AD16">
        <f t="shared" si="7"/>
        <v>0</v>
      </c>
      <c r="AE16">
        <f t="shared" si="8"/>
        <v>0</v>
      </c>
      <c r="AF16">
        <f t="shared" si="9"/>
        <v>0</v>
      </c>
      <c r="AG16">
        <f t="shared" si="10"/>
        <v>0</v>
      </c>
      <c r="AH16">
        <f t="shared" si="11"/>
        <v>0</v>
      </c>
      <c r="AI16">
        <f t="shared" si="12"/>
        <v>0</v>
      </c>
      <c r="AJ16">
        <f t="shared" si="13"/>
        <v>0</v>
      </c>
      <c r="AK16">
        <f t="shared" si="14"/>
        <v>0</v>
      </c>
      <c r="AL16">
        <f t="shared" si="15"/>
        <v>0</v>
      </c>
      <c r="AM16">
        <f t="shared" si="16"/>
        <v>0</v>
      </c>
      <c r="AN16" s="198">
        <f t="shared" si="17"/>
        <v>0</v>
      </c>
    </row>
    <row r="17" spans="2:40" ht="18" customHeight="1" x14ac:dyDescent="0.4">
      <c r="B17" s="289" t="s">
        <v>473</v>
      </c>
      <c r="C17" s="291" t="s">
        <v>170</v>
      </c>
      <c r="D17" s="295">
        <v>1</v>
      </c>
      <c r="E17" s="290">
        <v>2</v>
      </c>
      <c r="F17" s="290">
        <v>2</v>
      </c>
      <c r="G17" s="296">
        <v>1</v>
      </c>
      <c r="H17" s="295">
        <v>1</v>
      </c>
      <c r="I17" s="290">
        <v>0</v>
      </c>
      <c r="J17" s="290">
        <v>0</v>
      </c>
      <c r="K17" s="290">
        <v>0</v>
      </c>
      <c r="L17" s="296">
        <v>0</v>
      </c>
      <c r="M17" s="295">
        <v>1</v>
      </c>
      <c r="N17" s="290">
        <v>1</v>
      </c>
      <c r="O17" s="296">
        <v>1</v>
      </c>
      <c r="P17" s="295">
        <v>1</v>
      </c>
      <c r="Q17" s="290">
        <v>2</v>
      </c>
      <c r="R17" s="290">
        <v>1</v>
      </c>
      <c r="S17" s="296">
        <v>0</v>
      </c>
      <c r="V17" s="463">
        <v>0</v>
      </c>
      <c r="X17">
        <f t="shared" si="1"/>
        <v>0</v>
      </c>
      <c r="Y17">
        <f t="shared" si="2"/>
        <v>0</v>
      </c>
      <c r="Z17">
        <f t="shared" si="3"/>
        <v>0</v>
      </c>
      <c r="AA17">
        <f t="shared" si="4"/>
        <v>0</v>
      </c>
      <c r="AB17">
        <f t="shared" si="5"/>
        <v>0</v>
      </c>
      <c r="AC17">
        <f t="shared" si="6"/>
        <v>0</v>
      </c>
      <c r="AD17">
        <f t="shared" si="7"/>
        <v>0</v>
      </c>
      <c r="AE17">
        <f t="shared" si="8"/>
        <v>0</v>
      </c>
      <c r="AF17">
        <f t="shared" si="9"/>
        <v>0</v>
      </c>
      <c r="AG17">
        <f t="shared" si="10"/>
        <v>0</v>
      </c>
      <c r="AH17">
        <f t="shared" si="11"/>
        <v>0</v>
      </c>
      <c r="AI17">
        <f t="shared" si="12"/>
        <v>0</v>
      </c>
      <c r="AJ17">
        <f t="shared" si="13"/>
        <v>0</v>
      </c>
      <c r="AK17">
        <f t="shared" si="14"/>
        <v>0</v>
      </c>
      <c r="AL17">
        <f t="shared" si="15"/>
        <v>0</v>
      </c>
      <c r="AM17">
        <f t="shared" si="16"/>
        <v>0</v>
      </c>
      <c r="AN17" s="198">
        <f t="shared" si="17"/>
        <v>0</v>
      </c>
    </row>
    <row r="18" spans="2:40" ht="18" customHeight="1" x14ac:dyDescent="0.4">
      <c r="B18" s="289" t="s">
        <v>96</v>
      </c>
      <c r="C18" s="291" t="s">
        <v>174</v>
      </c>
      <c r="D18" s="295">
        <v>0</v>
      </c>
      <c r="E18" s="290">
        <v>1</v>
      </c>
      <c r="F18" s="290">
        <v>0</v>
      </c>
      <c r="G18" s="296">
        <v>0</v>
      </c>
      <c r="H18" s="295">
        <v>0</v>
      </c>
      <c r="I18" s="290">
        <v>0</v>
      </c>
      <c r="J18" s="290">
        <v>0</v>
      </c>
      <c r="K18" s="290">
        <v>0</v>
      </c>
      <c r="L18" s="296">
        <v>0</v>
      </c>
      <c r="M18" s="295">
        <v>1</v>
      </c>
      <c r="N18" s="290">
        <v>1</v>
      </c>
      <c r="O18" s="296">
        <v>1</v>
      </c>
      <c r="P18" s="295">
        <v>0</v>
      </c>
      <c r="Q18" s="290">
        <v>0</v>
      </c>
      <c r="R18" s="290">
        <v>1</v>
      </c>
      <c r="S18" s="296">
        <v>2</v>
      </c>
      <c r="V18" s="463">
        <v>0</v>
      </c>
      <c r="X18">
        <f t="shared" si="1"/>
        <v>0</v>
      </c>
      <c r="Y18">
        <f t="shared" si="2"/>
        <v>0</v>
      </c>
      <c r="Z18">
        <f t="shared" si="3"/>
        <v>0</v>
      </c>
      <c r="AA18">
        <f t="shared" si="4"/>
        <v>0</v>
      </c>
      <c r="AB18">
        <f t="shared" si="5"/>
        <v>0</v>
      </c>
      <c r="AC18">
        <f t="shared" si="6"/>
        <v>0</v>
      </c>
      <c r="AD18">
        <f t="shared" si="7"/>
        <v>0</v>
      </c>
      <c r="AE18">
        <f t="shared" si="8"/>
        <v>0</v>
      </c>
      <c r="AF18">
        <f t="shared" si="9"/>
        <v>0</v>
      </c>
      <c r="AG18">
        <f t="shared" si="10"/>
        <v>0</v>
      </c>
      <c r="AH18">
        <f t="shared" si="11"/>
        <v>0</v>
      </c>
      <c r="AI18">
        <f t="shared" si="12"/>
        <v>0</v>
      </c>
      <c r="AJ18">
        <f t="shared" si="13"/>
        <v>0</v>
      </c>
      <c r="AK18">
        <f t="shared" si="14"/>
        <v>0</v>
      </c>
      <c r="AL18">
        <f t="shared" si="15"/>
        <v>0</v>
      </c>
      <c r="AM18">
        <f t="shared" si="16"/>
        <v>0</v>
      </c>
      <c r="AN18" s="198">
        <f t="shared" si="17"/>
        <v>0</v>
      </c>
    </row>
    <row r="19" spans="2:40" ht="18" customHeight="1" x14ac:dyDescent="0.4">
      <c r="B19" s="289" t="s">
        <v>93</v>
      </c>
      <c r="C19" s="291" t="s">
        <v>178</v>
      </c>
      <c r="D19" s="295">
        <v>1</v>
      </c>
      <c r="E19" s="290">
        <v>1</v>
      </c>
      <c r="F19" s="290">
        <v>0</v>
      </c>
      <c r="G19" s="296">
        <v>0</v>
      </c>
      <c r="H19" s="295">
        <v>1</v>
      </c>
      <c r="I19" s="290">
        <v>0</v>
      </c>
      <c r="J19" s="290">
        <v>0</v>
      </c>
      <c r="K19" s="290">
        <v>0</v>
      </c>
      <c r="L19" s="296">
        <v>0</v>
      </c>
      <c r="M19" s="295">
        <v>1</v>
      </c>
      <c r="N19" s="290">
        <v>1</v>
      </c>
      <c r="O19" s="296">
        <v>1</v>
      </c>
      <c r="P19" s="295">
        <v>0</v>
      </c>
      <c r="Q19" s="290">
        <v>0</v>
      </c>
      <c r="R19" s="290">
        <v>2</v>
      </c>
      <c r="S19" s="296">
        <v>0</v>
      </c>
      <c r="V19" s="463">
        <v>0</v>
      </c>
      <c r="X19">
        <f t="shared" si="1"/>
        <v>0</v>
      </c>
      <c r="Y19">
        <f t="shared" si="2"/>
        <v>0</v>
      </c>
      <c r="Z19">
        <f t="shared" si="3"/>
        <v>0</v>
      </c>
      <c r="AA19">
        <f t="shared" si="4"/>
        <v>0</v>
      </c>
      <c r="AB19">
        <f t="shared" si="5"/>
        <v>0</v>
      </c>
      <c r="AC19">
        <f t="shared" si="6"/>
        <v>0</v>
      </c>
      <c r="AD19">
        <f t="shared" si="7"/>
        <v>0</v>
      </c>
      <c r="AE19">
        <f t="shared" si="8"/>
        <v>0</v>
      </c>
      <c r="AF19">
        <f t="shared" si="9"/>
        <v>0</v>
      </c>
      <c r="AG19">
        <f t="shared" si="10"/>
        <v>0</v>
      </c>
      <c r="AH19">
        <f t="shared" si="11"/>
        <v>0</v>
      </c>
      <c r="AI19">
        <f t="shared" si="12"/>
        <v>0</v>
      </c>
      <c r="AJ19">
        <f t="shared" si="13"/>
        <v>0</v>
      </c>
      <c r="AK19">
        <f t="shared" si="14"/>
        <v>0</v>
      </c>
      <c r="AL19">
        <f t="shared" si="15"/>
        <v>0</v>
      </c>
      <c r="AM19">
        <f t="shared" si="16"/>
        <v>0</v>
      </c>
      <c r="AN19" s="198">
        <f t="shared" si="17"/>
        <v>0</v>
      </c>
    </row>
    <row r="20" spans="2:40" ht="18" customHeight="1" x14ac:dyDescent="0.4">
      <c r="B20" s="289" t="s">
        <v>474</v>
      </c>
      <c r="C20" s="291" t="s">
        <v>182</v>
      </c>
      <c r="D20" s="295">
        <v>1</v>
      </c>
      <c r="E20" s="290">
        <v>0</v>
      </c>
      <c r="F20" s="290">
        <v>0</v>
      </c>
      <c r="G20" s="296">
        <v>0</v>
      </c>
      <c r="H20" s="295">
        <v>0</v>
      </c>
      <c r="I20" s="290">
        <v>0</v>
      </c>
      <c r="J20" s="290">
        <v>0</v>
      </c>
      <c r="K20" s="290">
        <v>0</v>
      </c>
      <c r="L20" s="296">
        <v>0</v>
      </c>
      <c r="M20" s="295">
        <v>0</v>
      </c>
      <c r="N20" s="290">
        <v>0</v>
      </c>
      <c r="O20" s="296">
        <v>0</v>
      </c>
      <c r="P20" s="295">
        <v>2</v>
      </c>
      <c r="Q20" s="290">
        <v>0</v>
      </c>
      <c r="R20" s="290">
        <v>1</v>
      </c>
      <c r="S20" s="296">
        <v>0</v>
      </c>
      <c r="V20" s="463">
        <v>2</v>
      </c>
      <c r="X20">
        <f t="shared" si="1"/>
        <v>2</v>
      </c>
      <c r="Y20">
        <f t="shared" si="2"/>
        <v>0</v>
      </c>
      <c r="Z20">
        <f t="shared" si="3"/>
        <v>0</v>
      </c>
      <c r="AA20">
        <f t="shared" si="4"/>
        <v>0</v>
      </c>
      <c r="AB20">
        <f t="shared" si="5"/>
        <v>0</v>
      </c>
      <c r="AC20">
        <f t="shared" si="6"/>
        <v>0</v>
      </c>
      <c r="AD20">
        <f t="shared" si="7"/>
        <v>0</v>
      </c>
      <c r="AE20">
        <f t="shared" si="8"/>
        <v>0</v>
      </c>
      <c r="AF20">
        <f t="shared" si="9"/>
        <v>0</v>
      </c>
      <c r="AG20">
        <f t="shared" si="10"/>
        <v>0</v>
      </c>
      <c r="AH20">
        <f t="shared" si="11"/>
        <v>0</v>
      </c>
      <c r="AI20">
        <f t="shared" si="12"/>
        <v>0</v>
      </c>
      <c r="AJ20">
        <f t="shared" si="13"/>
        <v>4</v>
      </c>
      <c r="AK20">
        <f t="shared" si="14"/>
        <v>0</v>
      </c>
      <c r="AL20">
        <f t="shared" si="15"/>
        <v>2</v>
      </c>
      <c r="AM20">
        <f t="shared" si="16"/>
        <v>0</v>
      </c>
      <c r="AN20" s="198">
        <f t="shared" si="17"/>
        <v>4</v>
      </c>
    </row>
    <row r="21" spans="2:40" ht="18" customHeight="1" x14ac:dyDescent="0.4">
      <c r="B21" s="289" t="s">
        <v>475</v>
      </c>
      <c r="C21" s="291" t="s">
        <v>186</v>
      </c>
      <c r="D21" s="295">
        <v>1</v>
      </c>
      <c r="E21" s="290">
        <v>0</v>
      </c>
      <c r="F21" s="290">
        <v>0</v>
      </c>
      <c r="G21" s="296">
        <v>0</v>
      </c>
      <c r="H21" s="295">
        <v>2</v>
      </c>
      <c r="I21" s="290">
        <v>0</v>
      </c>
      <c r="J21" s="290">
        <v>0</v>
      </c>
      <c r="K21" s="290">
        <v>0</v>
      </c>
      <c r="L21" s="296">
        <v>0</v>
      </c>
      <c r="M21" s="295">
        <v>1</v>
      </c>
      <c r="N21" s="290">
        <v>1</v>
      </c>
      <c r="O21" s="296">
        <v>1</v>
      </c>
      <c r="P21" s="295">
        <v>2</v>
      </c>
      <c r="Q21" s="290">
        <v>0</v>
      </c>
      <c r="R21" s="290">
        <v>1</v>
      </c>
      <c r="S21" s="296">
        <v>0</v>
      </c>
      <c r="V21" s="463">
        <v>0</v>
      </c>
      <c r="X21">
        <f t="shared" si="1"/>
        <v>0</v>
      </c>
      <c r="Y21">
        <f t="shared" si="2"/>
        <v>0</v>
      </c>
      <c r="Z21">
        <f t="shared" si="3"/>
        <v>0</v>
      </c>
      <c r="AA21">
        <f t="shared" si="4"/>
        <v>0</v>
      </c>
      <c r="AB21">
        <f t="shared" si="5"/>
        <v>0</v>
      </c>
      <c r="AC21">
        <f t="shared" si="6"/>
        <v>0</v>
      </c>
      <c r="AD21">
        <f t="shared" si="7"/>
        <v>0</v>
      </c>
      <c r="AE21">
        <f t="shared" si="8"/>
        <v>0</v>
      </c>
      <c r="AF21">
        <f t="shared" si="9"/>
        <v>0</v>
      </c>
      <c r="AG21">
        <f t="shared" si="10"/>
        <v>0</v>
      </c>
      <c r="AH21">
        <f t="shared" si="11"/>
        <v>0</v>
      </c>
      <c r="AI21">
        <f t="shared" si="12"/>
        <v>0</v>
      </c>
      <c r="AJ21">
        <f t="shared" si="13"/>
        <v>0</v>
      </c>
      <c r="AK21">
        <f t="shared" si="14"/>
        <v>0</v>
      </c>
      <c r="AL21">
        <f t="shared" si="15"/>
        <v>0</v>
      </c>
      <c r="AM21">
        <f t="shared" si="16"/>
        <v>0</v>
      </c>
      <c r="AN21" s="198">
        <f t="shared" si="17"/>
        <v>0</v>
      </c>
    </row>
    <row r="22" spans="2:40" ht="18" customHeight="1" x14ac:dyDescent="0.4">
      <c r="B22" s="289" t="s">
        <v>846</v>
      </c>
      <c r="C22" s="291" t="s">
        <v>191</v>
      </c>
      <c r="D22" s="295">
        <v>2</v>
      </c>
      <c r="E22" s="290">
        <v>2</v>
      </c>
      <c r="F22" s="290">
        <v>2</v>
      </c>
      <c r="G22" s="296">
        <v>2</v>
      </c>
      <c r="H22" s="295">
        <v>2</v>
      </c>
      <c r="I22" s="290">
        <v>0</v>
      </c>
      <c r="J22" s="290">
        <v>1</v>
      </c>
      <c r="K22" s="290">
        <v>0</v>
      </c>
      <c r="L22" s="296">
        <v>2</v>
      </c>
      <c r="M22" s="295">
        <v>2</v>
      </c>
      <c r="N22" s="290">
        <v>2</v>
      </c>
      <c r="O22" s="296">
        <v>1</v>
      </c>
      <c r="P22" s="295">
        <v>1</v>
      </c>
      <c r="Q22" s="290">
        <v>1</v>
      </c>
      <c r="R22" s="290">
        <v>1</v>
      </c>
      <c r="S22" s="296">
        <v>1</v>
      </c>
      <c r="V22" s="463">
        <v>0</v>
      </c>
      <c r="X22">
        <f t="shared" si="1"/>
        <v>0</v>
      </c>
      <c r="Y22">
        <f t="shared" si="2"/>
        <v>0</v>
      </c>
      <c r="Z22">
        <f t="shared" si="3"/>
        <v>0</v>
      </c>
      <c r="AA22">
        <f t="shared" si="4"/>
        <v>0</v>
      </c>
      <c r="AB22">
        <f t="shared" si="5"/>
        <v>0</v>
      </c>
      <c r="AC22">
        <f t="shared" si="6"/>
        <v>0</v>
      </c>
      <c r="AD22">
        <f t="shared" si="7"/>
        <v>0</v>
      </c>
      <c r="AE22">
        <f t="shared" si="8"/>
        <v>0</v>
      </c>
      <c r="AF22">
        <f t="shared" si="9"/>
        <v>0</v>
      </c>
      <c r="AG22">
        <f t="shared" si="10"/>
        <v>0</v>
      </c>
      <c r="AH22">
        <f t="shared" si="11"/>
        <v>0</v>
      </c>
      <c r="AI22">
        <f t="shared" si="12"/>
        <v>0</v>
      </c>
      <c r="AJ22">
        <f t="shared" si="13"/>
        <v>0</v>
      </c>
      <c r="AK22">
        <f t="shared" si="14"/>
        <v>0</v>
      </c>
      <c r="AL22">
        <f t="shared" si="15"/>
        <v>0</v>
      </c>
      <c r="AM22">
        <f t="shared" si="16"/>
        <v>0</v>
      </c>
      <c r="AN22" s="198">
        <f t="shared" si="17"/>
        <v>0</v>
      </c>
    </row>
    <row r="23" spans="2:40" ht="26.25" x14ac:dyDescent="0.4">
      <c r="B23" s="289" t="s">
        <v>847</v>
      </c>
      <c r="C23" s="291" t="s">
        <v>195</v>
      </c>
      <c r="D23" s="295">
        <v>2</v>
      </c>
      <c r="E23" s="290">
        <v>2</v>
      </c>
      <c r="F23" s="290">
        <v>2</v>
      </c>
      <c r="G23" s="296">
        <v>2</v>
      </c>
      <c r="H23" s="295">
        <v>2</v>
      </c>
      <c r="I23" s="290">
        <v>1</v>
      </c>
      <c r="J23" s="290">
        <v>1</v>
      </c>
      <c r="K23" s="290">
        <v>0</v>
      </c>
      <c r="L23" s="296">
        <v>2</v>
      </c>
      <c r="M23" s="295">
        <v>2</v>
      </c>
      <c r="N23" s="290">
        <v>2</v>
      </c>
      <c r="O23" s="296">
        <v>1</v>
      </c>
      <c r="P23" s="295">
        <v>1</v>
      </c>
      <c r="Q23" s="290">
        <v>1</v>
      </c>
      <c r="R23" s="290">
        <v>1</v>
      </c>
      <c r="S23" s="296">
        <v>1</v>
      </c>
      <c r="V23" s="463">
        <v>0</v>
      </c>
      <c r="X23">
        <f t="shared" si="1"/>
        <v>0</v>
      </c>
      <c r="Y23">
        <f t="shared" si="2"/>
        <v>0</v>
      </c>
      <c r="Z23">
        <f t="shared" si="3"/>
        <v>0</v>
      </c>
      <c r="AA23">
        <f t="shared" si="4"/>
        <v>0</v>
      </c>
      <c r="AB23">
        <f t="shared" si="5"/>
        <v>0</v>
      </c>
      <c r="AC23">
        <f t="shared" si="6"/>
        <v>0</v>
      </c>
      <c r="AD23">
        <f t="shared" si="7"/>
        <v>0</v>
      </c>
      <c r="AE23">
        <f t="shared" si="8"/>
        <v>0</v>
      </c>
      <c r="AF23">
        <f t="shared" si="9"/>
        <v>0</v>
      </c>
      <c r="AG23">
        <f t="shared" si="10"/>
        <v>0</v>
      </c>
      <c r="AH23">
        <f t="shared" si="11"/>
        <v>0</v>
      </c>
      <c r="AI23">
        <f t="shared" si="12"/>
        <v>0</v>
      </c>
      <c r="AJ23">
        <f t="shared" si="13"/>
        <v>0</v>
      </c>
      <c r="AK23">
        <f t="shared" si="14"/>
        <v>0</v>
      </c>
      <c r="AL23">
        <f t="shared" si="15"/>
        <v>0</v>
      </c>
      <c r="AM23">
        <f t="shared" si="16"/>
        <v>0</v>
      </c>
      <c r="AN23" s="198">
        <f t="shared" si="17"/>
        <v>0</v>
      </c>
    </row>
    <row r="24" spans="2:40" ht="26.25" x14ac:dyDescent="0.4">
      <c r="B24" s="289" t="s">
        <v>848</v>
      </c>
      <c r="C24" s="291" t="s">
        <v>202</v>
      </c>
      <c r="D24" s="295">
        <v>2</v>
      </c>
      <c r="E24" s="290">
        <v>2</v>
      </c>
      <c r="F24" s="290">
        <v>2</v>
      </c>
      <c r="G24" s="296">
        <v>2</v>
      </c>
      <c r="H24" s="295">
        <v>2</v>
      </c>
      <c r="I24" s="290">
        <v>1</v>
      </c>
      <c r="J24" s="290">
        <v>1</v>
      </c>
      <c r="K24" s="290">
        <v>0</v>
      </c>
      <c r="L24" s="296">
        <v>2</v>
      </c>
      <c r="M24" s="295">
        <v>2</v>
      </c>
      <c r="N24" s="290">
        <v>2</v>
      </c>
      <c r="O24" s="296">
        <v>1</v>
      </c>
      <c r="P24" s="295">
        <v>1</v>
      </c>
      <c r="Q24" s="290">
        <v>1</v>
      </c>
      <c r="R24" s="290">
        <v>1</v>
      </c>
      <c r="S24" s="296">
        <v>1</v>
      </c>
      <c r="V24" s="463">
        <v>2</v>
      </c>
      <c r="X24">
        <f t="shared" si="1"/>
        <v>4</v>
      </c>
      <c r="Y24">
        <f t="shared" si="2"/>
        <v>4</v>
      </c>
      <c r="Z24">
        <f t="shared" si="3"/>
        <v>4</v>
      </c>
      <c r="AA24">
        <f t="shared" si="4"/>
        <v>4</v>
      </c>
      <c r="AB24">
        <f t="shared" si="5"/>
        <v>4</v>
      </c>
      <c r="AC24">
        <f t="shared" si="6"/>
        <v>2</v>
      </c>
      <c r="AD24">
        <f t="shared" si="7"/>
        <v>2</v>
      </c>
      <c r="AE24">
        <f t="shared" si="8"/>
        <v>0</v>
      </c>
      <c r="AF24">
        <f t="shared" si="9"/>
        <v>4</v>
      </c>
      <c r="AG24">
        <f t="shared" si="10"/>
        <v>4</v>
      </c>
      <c r="AH24">
        <f t="shared" si="11"/>
        <v>4</v>
      </c>
      <c r="AI24">
        <f t="shared" si="12"/>
        <v>2</v>
      </c>
      <c r="AJ24">
        <f t="shared" si="13"/>
        <v>2</v>
      </c>
      <c r="AK24">
        <f t="shared" si="14"/>
        <v>2</v>
      </c>
      <c r="AL24">
        <f t="shared" si="15"/>
        <v>2</v>
      </c>
      <c r="AM24">
        <f t="shared" si="16"/>
        <v>2</v>
      </c>
      <c r="AN24" s="198">
        <f t="shared" si="17"/>
        <v>4</v>
      </c>
    </row>
    <row r="25" spans="2:40" ht="18" customHeight="1" x14ac:dyDescent="0.4">
      <c r="B25" s="289" t="s">
        <v>849</v>
      </c>
      <c r="C25" s="291" t="s">
        <v>206</v>
      </c>
      <c r="D25" s="295">
        <v>2</v>
      </c>
      <c r="E25" s="290">
        <v>2</v>
      </c>
      <c r="F25" s="290">
        <v>2</v>
      </c>
      <c r="G25" s="296">
        <v>2</v>
      </c>
      <c r="H25" s="295">
        <v>1</v>
      </c>
      <c r="I25" s="290">
        <v>2</v>
      </c>
      <c r="J25" s="290">
        <v>1</v>
      </c>
      <c r="K25" s="290">
        <v>0</v>
      </c>
      <c r="L25" s="296">
        <v>2</v>
      </c>
      <c r="M25" s="295">
        <v>2</v>
      </c>
      <c r="N25" s="290">
        <v>2</v>
      </c>
      <c r="O25" s="296">
        <v>1</v>
      </c>
      <c r="P25" s="295">
        <v>1</v>
      </c>
      <c r="Q25" s="290">
        <v>2</v>
      </c>
      <c r="R25" s="290">
        <v>1</v>
      </c>
      <c r="S25" s="296">
        <v>2</v>
      </c>
      <c r="V25" s="463">
        <v>0</v>
      </c>
      <c r="X25">
        <f t="shared" si="1"/>
        <v>0</v>
      </c>
      <c r="Y25">
        <f t="shared" si="2"/>
        <v>0</v>
      </c>
      <c r="Z25">
        <f t="shared" si="3"/>
        <v>0</v>
      </c>
      <c r="AA25">
        <f t="shared" si="4"/>
        <v>0</v>
      </c>
      <c r="AB25">
        <f t="shared" si="5"/>
        <v>0</v>
      </c>
      <c r="AC25">
        <f t="shared" si="6"/>
        <v>0</v>
      </c>
      <c r="AD25">
        <f t="shared" si="7"/>
        <v>0</v>
      </c>
      <c r="AE25">
        <f t="shared" si="8"/>
        <v>0</v>
      </c>
      <c r="AF25">
        <f t="shared" si="9"/>
        <v>0</v>
      </c>
      <c r="AG25">
        <f t="shared" si="10"/>
        <v>0</v>
      </c>
      <c r="AH25">
        <f t="shared" si="11"/>
        <v>0</v>
      </c>
      <c r="AI25">
        <f t="shared" si="12"/>
        <v>0</v>
      </c>
      <c r="AJ25">
        <f t="shared" si="13"/>
        <v>0</v>
      </c>
      <c r="AK25">
        <f t="shared" si="14"/>
        <v>0</v>
      </c>
      <c r="AL25">
        <f t="shared" si="15"/>
        <v>0</v>
      </c>
      <c r="AM25">
        <f t="shared" si="16"/>
        <v>0</v>
      </c>
      <c r="AN25" s="198">
        <f t="shared" si="17"/>
        <v>0</v>
      </c>
    </row>
    <row r="26" spans="2:40" ht="18" customHeight="1" x14ac:dyDescent="0.4">
      <c r="B26" s="289" t="s">
        <v>850</v>
      </c>
      <c r="C26" s="291" t="s">
        <v>210</v>
      </c>
      <c r="D26" s="295">
        <v>1</v>
      </c>
      <c r="E26" s="290">
        <v>2</v>
      </c>
      <c r="F26" s="290">
        <v>2</v>
      </c>
      <c r="G26" s="296">
        <v>2</v>
      </c>
      <c r="H26" s="295">
        <v>0</v>
      </c>
      <c r="I26" s="290">
        <v>2</v>
      </c>
      <c r="J26" s="290">
        <v>0</v>
      </c>
      <c r="K26" s="290">
        <v>0</v>
      </c>
      <c r="L26" s="296">
        <v>2</v>
      </c>
      <c r="M26" s="295">
        <v>2</v>
      </c>
      <c r="N26" s="290">
        <v>1</v>
      </c>
      <c r="O26" s="296">
        <v>1</v>
      </c>
      <c r="P26" s="295">
        <v>0</v>
      </c>
      <c r="Q26" s="290">
        <v>1</v>
      </c>
      <c r="R26" s="290">
        <v>1</v>
      </c>
      <c r="S26" s="296">
        <v>1</v>
      </c>
      <c r="V26" s="463">
        <v>0</v>
      </c>
      <c r="X26">
        <f t="shared" si="1"/>
        <v>0</v>
      </c>
      <c r="Y26">
        <f t="shared" si="2"/>
        <v>0</v>
      </c>
      <c r="Z26">
        <f t="shared" si="3"/>
        <v>0</v>
      </c>
      <c r="AA26">
        <f t="shared" si="4"/>
        <v>0</v>
      </c>
      <c r="AB26">
        <f t="shared" si="5"/>
        <v>0</v>
      </c>
      <c r="AC26">
        <f t="shared" si="6"/>
        <v>0</v>
      </c>
      <c r="AD26">
        <f t="shared" si="7"/>
        <v>0</v>
      </c>
      <c r="AE26">
        <f t="shared" si="8"/>
        <v>0</v>
      </c>
      <c r="AF26">
        <f t="shared" si="9"/>
        <v>0</v>
      </c>
      <c r="AG26">
        <f t="shared" si="10"/>
        <v>0</v>
      </c>
      <c r="AH26">
        <f t="shared" si="11"/>
        <v>0</v>
      </c>
      <c r="AI26">
        <f t="shared" si="12"/>
        <v>0</v>
      </c>
      <c r="AJ26">
        <f t="shared" si="13"/>
        <v>0</v>
      </c>
      <c r="AK26">
        <f t="shared" si="14"/>
        <v>0</v>
      </c>
      <c r="AL26">
        <f t="shared" si="15"/>
        <v>0</v>
      </c>
      <c r="AM26">
        <f t="shared" si="16"/>
        <v>0</v>
      </c>
      <c r="AN26" s="198">
        <f>MAX(X26:AM26)</f>
        <v>0</v>
      </c>
    </row>
    <row r="27" spans="2:40" ht="18" customHeight="1" x14ac:dyDescent="0.4">
      <c r="B27" s="289" t="s">
        <v>851</v>
      </c>
      <c r="C27" s="291" t="s">
        <v>214</v>
      </c>
      <c r="D27" s="295">
        <v>1</v>
      </c>
      <c r="E27" s="290">
        <v>2</v>
      </c>
      <c r="F27" s="290">
        <v>2</v>
      </c>
      <c r="G27" s="296">
        <v>2</v>
      </c>
      <c r="H27" s="295">
        <v>0</v>
      </c>
      <c r="I27" s="290">
        <v>1</v>
      </c>
      <c r="J27" s="290">
        <v>0</v>
      </c>
      <c r="K27" s="290">
        <v>0</v>
      </c>
      <c r="L27" s="296">
        <v>2</v>
      </c>
      <c r="M27" s="295">
        <v>2</v>
      </c>
      <c r="N27" s="290">
        <v>1</v>
      </c>
      <c r="O27" s="296">
        <v>1</v>
      </c>
      <c r="P27" s="295">
        <v>0</v>
      </c>
      <c r="Q27" s="290">
        <v>0</v>
      </c>
      <c r="R27" s="290">
        <v>1</v>
      </c>
      <c r="S27" s="296">
        <v>1</v>
      </c>
      <c r="V27" s="463">
        <v>0</v>
      </c>
      <c r="X27">
        <f t="shared" si="1"/>
        <v>0</v>
      </c>
      <c r="Y27">
        <f t="shared" si="2"/>
        <v>0</v>
      </c>
      <c r="Z27">
        <f t="shared" si="3"/>
        <v>0</v>
      </c>
      <c r="AA27">
        <f t="shared" si="4"/>
        <v>0</v>
      </c>
      <c r="AB27">
        <f t="shared" si="5"/>
        <v>0</v>
      </c>
      <c r="AC27">
        <f t="shared" si="6"/>
        <v>0</v>
      </c>
      <c r="AD27">
        <f t="shared" si="7"/>
        <v>0</v>
      </c>
      <c r="AE27">
        <f t="shared" si="8"/>
        <v>0</v>
      </c>
      <c r="AF27">
        <f t="shared" si="9"/>
        <v>0</v>
      </c>
      <c r="AG27">
        <f t="shared" si="10"/>
        <v>0</v>
      </c>
      <c r="AH27">
        <f t="shared" si="11"/>
        <v>0</v>
      </c>
      <c r="AI27">
        <f t="shared" si="12"/>
        <v>0</v>
      </c>
      <c r="AJ27">
        <f t="shared" si="13"/>
        <v>0</v>
      </c>
      <c r="AK27">
        <f t="shared" si="14"/>
        <v>0</v>
      </c>
      <c r="AL27">
        <f t="shared" si="15"/>
        <v>0</v>
      </c>
      <c r="AM27">
        <f t="shared" si="16"/>
        <v>0</v>
      </c>
      <c r="AN27" s="198">
        <f t="shared" si="17"/>
        <v>0</v>
      </c>
    </row>
    <row r="28" spans="2:40" ht="18" customHeight="1" x14ac:dyDescent="0.45">
      <c r="B28" s="289" t="s">
        <v>852</v>
      </c>
      <c r="C28" s="292" t="s">
        <v>218</v>
      </c>
      <c r="D28" s="295">
        <v>1</v>
      </c>
      <c r="E28" s="290">
        <v>1</v>
      </c>
      <c r="F28" s="290">
        <v>1</v>
      </c>
      <c r="G28" s="296">
        <v>1</v>
      </c>
      <c r="H28" s="295">
        <v>0</v>
      </c>
      <c r="I28" s="290">
        <v>1</v>
      </c>
      <c r="J28" s="290">
        <v>0</v>
      </c>
      <c r="K28" s="290">
        <v>0</v>
      </c>
      <c r="L28" s="296">
        <v>1</v>
      </c>
      <c r="M28" s="295">
        <v>1</v>
      </c>
      <c r="N28" s="290">
        <v>1</v>
      </c>
      <c r="O28" s="296">
        <v>1</v>
      </c>
      <c r="P28" s="295">
        <v>0</v>
      </c>
      <c r="Q28" s="290">
        <v>0</v>
      </c>
      <c r="R28" s="290">
        <v>1</v>
      </c>
      <c r="S28" s="296">
        <v>1</v>
      </c>
      <c r="V28" s="463">
        <v>0</v>
      </c>
      <c r="X28">
        <f t="shared" si="1"/>
        <v>0</v>
      </c>
      <c r="Y28">
        <f t="shared" si="2"/>
        <v>0</v>
      </c>
      <c r="Z28">
        <f t="shared" si="3"/>
        <v>0</v>
      </c>
      <c r="AA28">
        <f t="shared" si="4"/>
        <v>0</v>
      </c>
      <c r="AB28">
        <f t="shared" si="5"/>
        <v>0</v>
      </c>
      <c r="AC28">
        <f t="shared" si="6"/>
        <v>0</v>
      </c>
      <c r="AD28">
        <f t="shared" si="7"/>
        <v>0</v>
      </c>
      <c r="AE28">
        <f t="shared" si="8"/>
        <v>0</v>
      </c>
      <c r="AF28">
        <f t="shared" si="9"/>
        <v>0</v>
      </c>
      <c r="AG28">
        <f t="shared" si="10"/>
        <v>0</v>
      </c>
      <c r="AH28">
        <f t="shared" si="11"/>
        <v>0</v>
      </c>
      <c r="AI28">
        <f t="shared" si="12"/>
        <v>0</v>
      </c>
      <c r="AJ28">
        <f t="shared" si="13"/>
        <v>0</v>
      </c>
      <c r="AK28">
        <f t="shared" si="14"/>
        <v>0</v>
      </c>
      <c r="AL28">
        <f t="shared" si="15"/>
        <v>0</v>
      </c>
      <c r="AM28">
        <f t="shared" si="16"/>
        <v>0</v>
      </c>
      <c r="AN28" s="198">
        <f t="shared" si="17"/>
        <v>0</v>
      </c>
    </row>
    <row r="29" spans="2:40" ht="18" customHeight="1" x14ac:dyDescent="0.45">
      <c r="B29" s="289" t="s">
        <v>853</v>
      </c>
      <c r="C29" s="292" t="s">
        <v>224</v>
      </c>
      <c r="D29" s="295">
        <v>1</v>
      </c>
      <c r="E29" s="290">
        <v>1</v>
      </c>
      <c r="F29" s="290">
        <v>1</v>
      </c>
      <c r="G29" s="296">
        <v>1</v>
      </c>
      <c r="H29" s="295">
        <v>0</v>
      </c>
      <c r="I29" s="290">
        <v>1</v>
      </c>
      <c r="J29" s="290">
        <v>2</v>
      </c>
      <c r="K29" s="290">
        <v>1</v>
      </c>
      <c r="L29" s="296">
        <v>1</v>
      </c>
      <c r="M29" s="295">
        <v>2</v>
      </c>
      <c r="N29" s="290">
        <v>2</v>
      </c>
      <c r="O29" s="296">
        <v>1</v>
      </c>
      <c r="P29" s="295">
        <v>0</v>
      </c>
      <c r="Q29" s="290">
        <v>1</v>
      </c>
      <c r="R29" s="290">
        <v>1</v>
      </c>
      <c r="S29" s="296">
        <v>2</v>
      </c>
      <c r="V29" s="463">
        <v>0</v>
      </c>
      <c r="X29">
        <f t="shared" si="1"/>
        <v>0</v>
      </c>
      <c r="Y29">
        <f t="shared" si="2"/>
        <v>0</v>
      </c>
      <c r="Z29">
        <f t="shared" si="3"/>
        <v>0</v>
      </c>
      <c r="AA29">
        <f t="shared" si="4"/>
        <v>0</v>
      </c>
      <c r="AB29">
        <f t="shared" si="5"/>
        <v>0</v>
      </c>
      <c r="AC29">
        <f t="shared" si="6"/>
        <v>0</v>
      </c>
      <c r="AD29">
        <f t="shared" si="7"/>
        <v>0</v>
      </c>
      <c r="AE29">
        <f t="shared" si="8"/>
        <v>0</v>
      </c>
      <c r="AF29">
        <f t="shared" si="9"/>
        <v>0</v>
      </c>
      <c r="AG29">
        <f t="shared" si="10"/>
        <v>0</v>
      </c>
      <c r="AH29">
        <f t="shared" si="11"/>
        <v>0</v>
      </c>
      <c r="AI29">
        <f t="shared" si="12"/>
        <v>0</v>
      </c>
      <c r="AJ29">
        <f t="shared" si="13"/>
        <v>0</v>
      </c>
      <c r="AK29">
        <f t="shared" si="14"/>
        <v>0</v>
      </c>
      <c r="AL29">
        <f t="shared" si="15"/>
        <v>0</v>
      </c>
      <c r="AM29">
        <f t="shared" si="16"/>
        <v>0</v>
      </c>
      <c r="AN29" s="198">
        <f t="shared" si="17"/>
        <v>0</v>
      </c>
    </row>
    <row r="30" spans="2:40" ht="18" customHeight="1" x14ac:dyDescent="0.45">
      <c r="B30" s="289" t="s">
        <v>854</v>
      </c>
      <c r="C30" s="292" t="s">
        <v>230</v>
      </c>
      <c r="D30" s="295">
        <v>1</v>
      </c>
      <c r="E30" s="290">
        <v>1</v>
      </c>
      <c r="F30" s="290">
        <v>1</v>
      </c>
      <c r="G30" s="296">
        <v>1</v>
      </c>
      <c r="H30" s="295">
        <v>1</v>
      </c>
      <c r="I30" s="290">
        <v>0</v>
      </c>
      <c r="J30" s="290">
        <v>2</v>
      </c>
      <c r="K30" s="290">
        <v>1</v>
      </c>
      <c r="L30" s="296">
        <v>2</v>
      </c>
      <c r="M30" s="295">
        <v>2</v>
      </c>
      <c r="N30" s="290">
        <v>1</v>
      </c>
      <c r="O30" s="296">
        <v>1</v>
      </c>
      <c r="P30" s="295">
        <v>0</v>
      </c>
      <c r="Q30" s="290">
        <v>1</v>
      </c>
      <c r="R30" s="290">
        <v>1</v>
      </c>
      <c r="S30" s="296">
        <v>1</v>
      </c>
      <c r="V30" s="463">
        <v>0</v>
      </c>
      <c r="X30">
        <f t="shared" si="1"/>
        <v>0</v>
      </c>
      <c r="Y30">
        <f t="shared" si="2"/>
        <v>0</v>
      </c>
      <c r="Z30">
        <f t="shared" si="3"/>
        <v>0</v>
      </c>
      <c r="AA30">
        <f t="shared" si="4"/>
        <v>0</v>
      </c>
      <c r="AB30">
        <f t="shared" si="5"/>
        <v>0</v>
      </c>
      <c r="AC30">
        <f t="shared" si="6"/>
        <v>0</v>
      </c>
      <c r="AD30">
        <f t="shared" si="7"/>
        <v>0</v>
      </c>
      <c r="AE30">
        <f t="shared" si="8"/>
        <v>0</v>
      </c>
      <c r="AF30">
        <f t="shared" si="9"/>
        <v>0</v>
      </c>
      <c r="AG30">
        <f t="shared" si="10"/>
        <v>0</v>
      </c>
      <c r="AH30">
        <f t="shared" si="11"/>
        <v>0</v>
      </c>
      <c r="AI30">
        <f t="shared" si="12"/>
        <v>0</v>
      </c>
      <c r="AJ30">
        <f t="shared" si="13"/>
        <v>0</v>
      </c>
      <c r="AK30">
        <f t="shared" si="14"/>
        <v>0</v>
      </c>
      <c r="AL30">
        <f t="shared" si="15"/>
        <v>0</v>
      </c>
      <c r="AM30">
        <f t="shared" si="16"/>
        <v>0</v>
      </c>
      <c r="AN30" s="198">
        <f t="shared" si="17"/>
        <v>0</v>
      </c>
    </row>
    <row r="31" spans="2:40" ht="18" customHeight="1" x14ac:dyDescent="0.45">
      <c r="B31" s="289" t="s">
        <v>855</v>
      </c>
      <c r="C31" s="292" t="s">
        <v>236</v>
      </c>
      <c r="D31" s="295">
        <v>1</v>
      </c>
      <c r="E31" s="290">
        <v>1</v>
      </c>
      <c r="F31" s="290">
        <v>1</v>
      </c>
      <c r="G31" s="296">
        <v>1</v>
      </c>
      <c r="H31" s="295">
        <v>0</v>
      </c>
      <c r="I31" s="290">
        <v>0</v>
      </c>
      <c r="J31" s="290">
        <v>0</v>
      </c>
      <c r="K31" s="290">
        <v>0</v>
      </c>
      <c r="L31" s="296">
        <v>1</v>
      </c>
      <c r="M31" s="295">
        <v>1</v>
      </c>
      <c r="N31" s="290">
        <v>2</v>
      </c>
      <c r="O31" s="296">
        <v>0</v>
      </c>
      <c r="P31" s="295">
        <v>0</v>
      </c>
      <c r="Q31" s="290">
        <v>0</v>
      </c>
      <c r="R31" s="290">
        <v>1</v>
      </c>
      <c r="S31" s="296">
        <v>1</v>
      </c>
      <c r="V31" s="463">
        <v>2</v>
      </c>
      <c r="X31">
        <f t="shared" si="1"/>
        <v>2</v>
      </c>
      <c r="Y31">
        <f t="shared" si="2"/>
        <v>2</v>
      </c>
      <c r="Z31">
        <f t="shared" si="3"/>
        <v>2</v>
      </c>
      <c r="AA31">
        <f t="shared" si="4"/>
        <v>2</v>
      </c>
      <c r="AB31">
        <f t="shared" si="5"/>
        <v>0</v>
      </c>
      <c r="AC31">
        <f t="shared" si="6"/>
        <v>0</v>
      </c>
      <c r="AD31">
        <f t="shared" si="7"/>
        <v>0</v>
      </c>
      <c r="AE31">
        <f t="shared" si="8"/>
        <v>0</v>
      </c>
      <c r="AF31">
        <f t="shared" si="9"/>
        <v>2</v>
      </c>
      <c r="AG31">
        <f t="shared" si="10"/>
        <v>2</v>
      </c>
      <c r="AH31">
        <f t="shared" si="11"/>
        <v>4</v>
      </c>
      <c r="AI31">
        <f t="shared" si="12"/>
        <v>0</v>
      </c>
      <c r="AJ31">
        <f t="shared" si="13"/>
        <v>0</v>
      </c>
      <c r="AK31">
        <f t="shared" si="14"/>
        <v>0</v>
      </c>
      <c r="AL31">
        <f t="shared" si="15"/>
        <v>2</v>
      </c>
      <c r="AM31">
        <f t="shared" si="16"/>
        <v>2</v>
      </c>
      <c r="AN31" s="198">
        <f t="shared" si="17"/>
        <v>4</v>
      </c>
    </row>
    <row r="32" spans="2:40" ht="18" customHeight="1" x14ac:dyDescent="0.45">
      <c r="B32" s="289" t="s">
        <v>856</v>
      </c>
      <c r="C32" s="292" t="s">
        <v>243</v>
      </c>
      <c r="D32" s="295">
        <v>2</v>
      </c>
      <c r="E32" s="290">
        <v>1</v>
      </c>
      <c r="F32" s="290">
        <v>1</v>
      </c>
      <c r="G32" s="296">
        <v>1</v>
      </c>
      <c r="H32" s="295">
        <v>1</v>
      </c>
      <c r="I32" s="290">
        <v>0</v>
      </c>
      <c r="J32" s="290">
        <v>2</v>
      </c>
      <c r="K32" s="290">
        <v>1</v>
      </c>
      <c r="L32" s="296">
        <v>2</v>
      </c>
      <c r="M32" s="295">
        <v>2</v>
      </c>
      <c r="N32" s="290">
        <v>1</v>
      </c>
      <c r="O32" s="296">
        <v>1</v>
      </c>
      <c r="P32" s="295">
        <v>0</v>
      </c>
      <c r="Q32" s="290">
        <v>1</v>
      </c>
      <c r="R32" s="290">
        <v>1</v>
      </c>
      <c r="S32" s="296">
        <v>1</v>
      </c>
      <c r="V32" s="463">
        <v>0</v>
      </c>
      <c r="X32">
        <f t="shared" si="1"/>
        <v>0</v>
      </c>
      <c r="Y32">
        <f t="shared" si="2"/>
        <v>0</v>
      </c>
      <c r="Z32">
        <f t="shared" si="3"/>
        <v>0</v>
      </c>
      <c r="AA32">
        <f t="shared" si="4"/>
        <v>0</v>
      </c>
      <c r="AB32">
        <f t="shared" si="5"/>
        <v>0</v>
      </c>
      <c r="AC32">
        <f t="shared" si="6"/>
        <v>0</v>
      </c>
      <c r="AD32">
        <f t="shared" si="7"/>
        <v>0</v>
      </c>
      <c r="AE32">
        <f t="shared" si="8"/>
        <v>0</v>
      </c>
      <c r="AF32">
        <f t="shared" si="9"/>
        <v>0</v>
      </c>
      <c r="AG32">
        <f t="shared" si="10"/>
        <v>0</v>
      </c>
      <c r="AH32">
        <f t="shared" si="11"/>
        <v>0</v>
      </c>
      <c r="AI32">
        <f t="shared" si="12"/>
        <v>0</v>
      </c>
      <c r="AJ32">
        <f t="shared" si="13"/>
        <v>0</v>
      </c>
      <c r="AK32">
        <f t="shared" si="14"/>
        <v>0</v>
      </c>
      <c r="AL32">
        <f t="shared" si="15"/>
        <v>0</v>
      </c>
      <c r="AM32">
        <f t="shared" si="16"/>
        <v>0</v>
      </c>
      <c r="AN32" s="198">
        <f t="shared" si="17"/>
        <v>0</v>
      </c>
    </row>
    <row r="33" spans="2:40" ht="18" customHeight="1" x14ac:dyDescent="0.4">
      <c r="B33" s="289" t="s">
        <v>857</v>
      </c>
      <c r="C33" s="291" t="s">
        <v>249</v>
      </c>
      <c r="D33" s="295">
        <v>1</v>
      </c>
      <c r="E33" s="290">
        <v>1</v>
      </c>
      <c r="F33" s="290">
        <v>1</v>
      </c>
      <c r="G33" s="296">
        <v>1</v>
      </c>
      <c r="H33" s="295">
        <v>1</v>
      </c>
      <c r="I33" s="290">
        <v>0</v>
      </c>
      <c r="J33" s="290">
        <v>0</v>
      </c>
      <c r="K33" s="290">
        <v>2</v>
      </c>
      <c r="L33" s="296">
        <v>1</v>
      </c>
      <c r="M33" s="295">
        <v>1</v>
      </c>
      <c r="N33" s="290">
        <v>1</v>
      </c>
      <c r="O33" s="296">
        <v>0</v>
      </c>
      <c r="P33" s="295">
        <v>0</v>
      </c>
      <c r="Q33" s="290">
        <v>0</v>
      </c>
      <c r="R33" s="290">
        <v>1</v>
      </c>
      <c r="S33" s="296">
        <v>1</v>
      </c>
      <c r="V33" s="463">
        <v>0</v>
      </c>
      <c r="X33">
        <f>D33*$V33</f>
        <v>0</v>
      </c>
      <c r="Y33">
        <f t="shared" si="2"/>
        <v>0</v>
      </c>
      <c r="Z33">
        <f t="shared" si="3"/>
        <v>0</v>
      </c>
      <c r="AA33">
        <f t="shared" si="4"/>
        <v>0</v>
      </c>
      <c r="AB33">
        <f t="shared" si="5"/>
        <v>0</v>
      </c>
      <c r="AC33">
        <f t="shared" si="6"/>
        <v>0</v>
      </c>
      <c r="AD33">
        <f t="shared" si="7"/>
        <v>0</v>
      </c>
      <c r="AE33">
        <f t="shared" si="8"/>
        <v>0</v>
      </c>
      <c r="AF33">
        <f t="shared" si="9"/>
        <v>0</v>
      </c>
      <c r="AG33">
        <f t="shared" si="10"/>
        <v>0</v>
      </c>
      <c r="AH33">
        <f t="shared" si="11"/>
        <v>0</v>
      </c>
      <c r="AI33">
        <f t="shared" si="12"/>
        <v>0</v>
      </c>
      <c r="AJ33">
        <f t="shared" si="13"/>
        <v>0</v>
      </c>
      <c r="AK33">
        <f t="shared" si="14"/>
        <v>0</v>
      </c>
      <c r="AL33">
        <f t="shared" si="15"/>
        <v>0</v>
      </c>
      <c r="AM33">
        <f t="shared" si="16"/>
        <v>0</v>
      </c>
      <c r="AN33" s="198">
        <f t="shared" si="17"/>
        <v>0</v>
      </c>
    </row>
    <row r="34" spans="2:40" ht="18" customHeight="1" x14ac:dyDescent="0.45">
      <c r="B34" s="289" t="s">
        <v>858</v>
      </c>
      <c r="C34" s="292" t="s">
        <v>256</v>
      </c>
      <c r="D34" s="295">
        <v>1</v>
      </c>
      <c r="E34" s="290">
        <v>1</v>
      </c>
      <c r="F34" s="290">
        <v>1</v>
      </c>
      <c r="G34" s="296">
        <v>1</v>
      </c>
      <c r="H34" s="295">
        <v>1</v>
      </c>
      <c r="I34" s="290">
        <v>0</v>
      </c>
      <c r="J34" s="290">
        <v>0</v>
      </c>
      <c r="K34" s="290">
        <v>2</v>
      </c>
      <c r="L34" s="296">
        <v>1</v>
      </c>
      <c r="M34" s="295">
        <v>1</v>
      </c>
      <c r="N34" s="290">
        <v>1</v>
      </c>
      <c r="O34" s="296">
        <v>0</v>
      </c>
      <c r="P34" s="295">
        <v>0</v>
      </c>
      <c r="Q34" s="290">
        <v>0</v>
      </c>
      <c r="R34" s="290">
        <v>1</v>
      </c>
      <c r="S34" s="296">
        <v>1</v>
      </c>
      <c r="V34" s="463">
        <v>0</v>
      </c>
      <c r="X34">
        <f t="shared" ref="X34:X38" si="18">D34*$V34</f>
        <v>0</v>
      </c>
      <c r="Y34">
        <f t="shared" ref="Y34:Y38" si="19">E34*$V34</f>
        <v>0</v>
      </c>
      <c r="Z34">
        <f t="shared" ref="Z34:Z38" si="20">F34*$V34</f>
        <v>0</v>
      </c>
      <c r="AA34">
        <f t="shared" ref="AA34:AA38" si="21">G34*$V34</f>
        <v>0</v>
      </c>
      <c r="AB34">
        <f t="shared" ref="AB34:AB38" si="22">H34*$V34</f>
        <v>0</v>
      </c>
      <c r="AC34">
        <f t="shared" ref="AC34:AC38" si="23">I34*$V34</f>
        <v>0</v>
      </c>
      <c r="AD34">
        <f t="shared" ref="AD34:AD38" si="24">J34*$V34</f>
        <v>0</v>
      </c>
      <c r="AE34">
        <f t="shared" ref="AE34:AE38" si="25">K34*$V34</f>
        <v>0</v>
      </c>
      <c r="AF34">
        <f t="shared" ref="AF34:AF38" si="26">L34*$V34</f>
        <v>0</v>
      </c>
      <c r="AG34">
        <f t="shared" ref="AG34:AG38" si="27">M34*$V34</f>
        <v>0</v>
      </c>
      <c r="AH34">
        <f t="shared" ref="AH34:AH38" si="28">N34*$V34</f>
        <v>0</v>
      </c>
      <c r="AI34">
        <f t="shared" ref="AI34:AI38" si="29">O34*$V34</f>
        <v>0</v>
      </c>
      <c r="AJ34">
        <f t="shared" ref="AJ34:AJ38" si="30">P34*$V34</f>
        <v>0</v>
      </c>
      <c r="AK34">
        <f t="shared" ref="AK34:AK38" si="31">Q34*$V34</f>
        <v>0</v>
      </c>
      <c r="AL34">
        <f t="shared" ref="AL34:AL38" si="32">R34*$V34</f>
        <v>0</v>
      </c>
      <c r="AM34">
        <f t="shared" ref="AM34:AM38" si="33">S34*$V34</f>
        <v>0</v>
      </c>
      <c r="AN34" s="198">
        <f t="shared" si="17"/>
        <v>0</v>
      </c>
    </row>
    <row r="35" spans="2:40" ht="18" customHeight="1" x14ac:dyDescent="0.4">
      <c r="B35" s="289" t="s">
        <v>859</v>
      </c>
      <c r="C35" s="291" t="s">
        <v>262</v>
      </c>
      <c r="D35" s="295">
        <v>1</v>
      </c>
      <c r="E35" s="290">
        <v>1</v>
      </c>
      <c r="F35" s="290">
        <v>1</v>
      </c>
      <c r="G35" s="296">
        <v>1</v>
      </c>
      <c r="H35" s="295">
        <v>1</v>
      </c>
      <c r="I35" s="290">
        <v>0</v>
      </c>
      <c r="J35" s="290">
        <v>0</v>
      </c>
      <c r="K35" s="290">
        <v>2</v>
      </c>
      <c r="L35" s="296">
        <v>1</v>
      </c>
      <c r="M35" s="295">
        <v>1</v>
      </c>
      <c r="N35" s="290">
        <v>1</v>
      </c>
      <c r="O35" s="296">
        <v>0</v>
      </c>
      <c r="P35" s="295">
        <v>0</v>
      </c>
      <c r="Q35" s="290">
        <v>0</v>
      </c>
      <c r="R35" s="290">
        <v>1</v>
      </c>
      <c r="S35" s="296">
        <v>1</v>
      </c>
      <c r="V35" s="463">
        <v>0</v>
      </c>
      <c r="X35">
        <f t="shared" si="18"/>
        <v>0</v>
      </c>
      <c r="Y35">
        <f t="shared" si="19"/>
        <v>0</v>
      </c>
      <c r="Z35">
        <f t="shared" si="20"/>
        <v>0</v>
      </c>
      <c r="AA35">
        <f t="shared" si="21"/>
        <v>0</v>
      </c>
      <c r="AB35">
        <f t="shared" si="22"/>
        <v>0</v>
      </c>
      <c r="AC35">
        <f t="shared" si="23"/>
        <v>0</v>
      </c>
      <c r="AD35">
        <f t="shared" si="24"/>
        <v>0</v>
      </c>
      <c r="AE35">
        <f t="shared" si="25"/>
        <v>0</v>
      </c>
      <c r="AF35">
        <f t="shared" si="26"/>
        <v>0</v>
      </c>
      <c r="AG35">
        <f t="shared" si="27"/>
        <v>0</v>
      </c>
      <c r="AH35">
        <f t="shared" si="28"/>
        <v>0</v>
      </c>
      <c r="AI35">
        <f t="shared" si="29"/>
        <v>0</v>
      </c>
      <c r="AJ35">
        <f t="shared" si="30"/>
        <v>0</v>
      </c>
      <c r="AK35">
        <f t="shared" si="31"/>
        <v>0</v>
      </c>
      <c r="AL35">
        <f t="shared" si="32"/>
        <v>0</v>
      </c>
      <c r="AM35">
        <f t="shared" si="33"/>
        <v>0</v>
      </c>
      <c r="AN35" s="198">
        <f t="shared" si="17"/>
        <v>0</v>
      </c>
    </row>
    <row r="36" spans="2:40" ht="26.85" customHeight="1" x14ac:dyDescent="0.4">
      <c r="B36" s="289" t="s">
        <v>264</v>
      </c>
      <c r="C36" s="291" t="s">
        <v>265</v>
      </c>
      <c r="D36" s="295">
        <v>2</v>
      </c>
      <c r="E36" s="290">
        <v>2</v>
      </c>
      <c r="F36" s="290">
        <v>2</v>
      </c>
      <c r="G36" s="296">
        <v>1</v>
      </c>
      <c r="H36" s="295">
        <v>2</v>
      </c>
      <c r="I36" s="290">
        <v>2</v>
      </c>
      <c r="J36" s="290">
        <v>2</v>
      </c>
      <c r="K36" s="290">
        <v>2</v>
      </c>
      <c r="L36" s="296">
        <v>2</v>
      </c>
      <c r="M36" s="295">
        <v>1</v>
      </c>
      <c r="N36" s="290">
        <v>2</v>
      </c>
      <c r="O36" s="296">
        <v>1</v>
      </c>
      <c r="P36" s="295">
        <v>2</v>
      </c>
      <c r="Q36" s="290">
        <v>1</v>
      </c>
      <c r="R36" s="290">
        <v>1</v>
      </c>
      <c r="S36" s="296">
        <v>2</v>
      </c>
      <c r="V36" s="463">
        <v>2</v>
      </c>
      <c r="X36">
        <f t="shared" si="18"/>
        <v>4</v>
      </c>
      <c r="Y36">
        <f t="shared" si="19"/>
        <v>4</v>
      </c>
      <c r="Z36">
        <f t="shared" si="20"/>
        <v>4</v>
      </c>
      <c r="AA36">
        <f t="shared" si="21"/>
        <v>2</v>
      </c>
      <c r="AB36">
        <f t="shared" si="22"/>
        <v>4</v>
      </c>
      <c r="AC36">
        <f t="shared" si="23"/>
        <v>4</v>
      </c>
      <c r="AD36">
        <f t="shared" si="24"/>
        <v>4</v>
      </c>
      <c r="AE36">
        <f t="shared" si="25"/>
        <v>4</v>
      </c>
      <c r="AF36">
        <f t="shared" si="26"/>
        <v>4</v>
      </c>
      <c r="AG36">
        <f t="shared" si="27"/>
        <v>2</v>
      </c>
      <c r="AH36">
        <f t="shared" si="28"/>
        <v>4</v>
      </c>
      <c r="AI36">
        <f t="shared" si="29"/>
        <v>2</v>
      </c>
      <c r="AJ36">
        <f t="shared" si="30"/>
        <v>4</v>
      </c>
      <c r="AK36">
        <f t="shared" si="31"/>
        <v>2</v>
      </c>
      <c r="AL36">
        <f t="shared" si="32"/>
        <v>2</v>
      </c>
      <c r="AM36">
        <f t="shared" si="33"/>
        <v>4</v>
      </c>
      <c r="AN36" s="198">
        <f t="shared" si="17"/>
        <v>4</v>
      </c>
    </row>
    <row r="37" spans="2:40" ht="18" customHeight="1" x14ac:dyDescent="0.4">
      <c r="B37" s="289" t="s">
        <v>266</v>
      </c>
      <c r="C37" s="291" t="s">
        <v>267</v>
      </c>
      <c r="D37" s="295">
        <v>0</v>
      </c>
      <c r="E37" s="290">
        <v>0</v>
      </c>
      <c r="F37" s="290">
        <v>0</v>
      </c>
      <c r="G37" s="296">
        <v>2</v>
      </c>
      <c r="H37" s="295">
        <v>0</v>
      </c>
      <c r="I37" s="290">
        <v>0</v>
      </c>
      <c r="J37" s="290">
        <v>0</v>
      </c>
      <c r="K37" s="290">
        <v>0</v>
      </c>
      <c r="L37" s="296">
        <v>0</v>
      </c>
      <c r="M37" s="295">
        <v>2</v>
      </c>
      <c r="N37" s="290">
        <v>2</v>
      </c>
      <c r="O37" s="296">
        <v>2</v>
      </c>
      <c r="P37" s="295">
        <v>0</v>
      </c>
      <c r="Q37" s="290">
        <v>0</v>
      </c>
      <c r="R37" s="290">
        <v>2</v>
      </c>
      <c r="S37" s="296">
        <v>0</v>
      </c>
      <c r="V37" s="463">
        <v>0</v>
      </c>
      <c r="X37">
        <f t="shared" si="18"/>
        <v>0</v>
      </c>
      <c r="Y37">
        <f t="shared" si="19"/>
        <v>0</v>
      </c>
      <c r="Z37">
        <f t="shared" si="20"/>
        <v>0</v>
      </c>
      <c r="AA37">
        <f t="shared" si="21"/>
        <v>0</v>
      </c>
      <c r="AB37">
        <f t="shared" si="22"/>
        <v>0</v>
      </c>
      <c r="AC37">
        <f t="shared" si="23"/>
        <v>0</v>
      </c>
      <c r="AD37">
        <f t="shared" si="24"/>
        <v>0</v>
      </c>
      <c r="AE37">
        <f t="shared" si="25"/>
        <v>0</v>
      </c>
      <c r="AF37">
        <f t="shared" si="26"/>
        <v>0</v>
      </c>
      <c r="AG37">
        <f t="shared" si="27"/>
        <v>0</v>
      </c>
      <c r="AH37">
        <f t="shared" si="28"/>
        <v>0</v>
      </c>
      <c r="AI37">
        <f t="shared" si="29"/>
        <v>0</v>
      </c>
      <c r="AJ37">
        <f t="shared" si="30"/>
        <v>0</v>
      </c>
      <c r="AK37">
        <f t="shared" si="31"/>
        <v>0</v>
      </c>
      <c r="AL37">
        <f t="shared" si="32"/>
        <v>0</v>
      </c>
      <c r="AM37">
        <f t="shared" si="33"/>
        <v>0</v>
      </c>
      <c r="AN37" s="198">
        <f t="shared" si="17"/>
        <v>0</v>
      </c>
    </row>
    <row r="38" spans="2:40" ht="18" customHeight="1" thickBot="1" x14ac:dyDescent="0.45">
      <c r="B38" s="289" t="s">
        <v>289</v>
      </c>
      <c r="C38" s="291" t="s">
        <v>270</v>
      </c>
      <c r="D38" s="297">
        <v>2</v>
      </c>
      <c r="E38" s="298">
        <v>2</v>
      </c>
      <c r="F38" s="298">
        <v>1</v>
      </c>
      <c r="G38" s="299">
        <v>2</v>
      </c>
      <c r="H38" s="297">
        <v>2</v>
      </c>
      <c r="I38" s="298">
        <v>2</v>
      </c>
      <c r="J38" s="298">
        <v>2</v>
      </c>
      <c r="K38" s="298">
        <v>2</v>
      </c>
      <c r="L38" s="299">
        <v>2</v>
      </c>
      <c r="M38" s="297">
        <v>2</v>
      </c>
      <c r="N38" s="298">
        <v>2</v>
      </c>
      <c r="O38" s="299">
        <v>2</v>
      </c>
      <c r="P38" s="297">
        <v>2</v>
      </c>
      <c r="Q38" s="298">
        <v>2</v>
      </c>
      <c r="R38" s="298">
        <v>2</v>
      </c>
      <c r="S38" s="299">
        <v>2</v>
      </c>
      <c r="V38" s="463">
        <v>0</v>
      </c>
      <c r="X38">
        <f t="shared" si="18"/>
        <v>0</v>
      </c>
      <c r="Y38">
        <f t="shared" si="19"/>
        <v>0</v>
      </c>
      <c r="Z38">
        <f t="shared" si="20"/>
        <v>0</v>
      </c>
      <c r="AA38">
        <f t="shared" si="21"/>
        <v>0</v>
      </c>
      <c r="AB38">
        <f t="shared" si="22"/>
        <v>0</v>
      </c>
      <c r="AC38">
        <f t="shared" si="23"/>
        <v>0</v>
      </c>
      <c r="AD38">
        <f t="shared" si="24"/>
        <v>0</v>
      </c>
      <c r="AE38">
        <f t="shared" si="25"/>
        <v>0</v>
      </c>
      <c r="AF38">
        <f t="shared" si="26"/>
        <v>0</v>
      </c>
      <c r="AG38">
        <f t="shared" si="27"/>
        <v>0</v>
      </c>
      <c r="AH38">
        <f t="shared" si="28"/>
        <v>0</v>
      </c>
      <c r="AI38">
        <f t="shared" si="29"/>
        <v>0</v>
      </c>
      <c r="AJ38">
        <f t="shared" si="30"/>
        <v>0</v>
      </c>
      <c r="AK38">
        <f t="shared" si="31"/>
        <v>0</v>
      </c>
      <c r="AL38">
        <f t="shared" si="32"/>
        <v>0</v>
      </c>
      <c r="AM38">
        <f t="shared" si="33"/>
        <v>0</v>
      </c>
      <c r="AN38" s="198">
        <f t="shared" si="17"/>
        <v>0</v>
      </c>
    </row>
  </sheetData>
  <mergeCells count="9">
    <mergeCell ref="X4:AA4"/>
    <mergeCell ref="AB4:AF4"/>
    <mergeCell ref="AG4:AI4"/>
    <mergeCell ref="AJ4:AM4"/>
    <mergeCell ref="D4:G4"/>
    <mergeCell ref="H4:L4"/>
    <mergeCell ref="M4:O4"/>
    <mergeCell ref="P4:S4"/>
    <mergeCell ref="B4:C5"/>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9834-6205-4E6D-8934-378BC4F5CBF6}">
  <dimension ref="A2:CL569"/>
  <sheetViews>
    <sheetView topLeftCell="A55" zoomScale="130" zoomScaleNormal="130" workbookViewId="0">
      <selection activeCell="Q105" sqref="Q105"/>
    </sheetView>
  </sheetViews>
  <sheetFormatPr baseColWidth="10" defaultColWidth="11.3984375" defaultRowHeight="12.75" outlineLevelRow="2" x14ac:dyDescent="0.35"/>
  <cols>
    <col min="1" max="1" width="25" customWidth="1"/>
    <col min="2" max="2" width="27.3984375" customWidth="1"/>
    <col min="3" max="3" width="14.1328125" customWidth="1"/>
    <col min="4" max="17" width="6.3984375" customWidth="1"/>
  </cols>
  <sheetData>
    <row r="2" spans="1:90" ht="211.5" customHeight="1" thickBot="1" x14ac:dyDescent="0.4">
      <c r="B2" s="2" t="s">
        <v>290</v>
      </c>
      <c r="D2" s="175" t="s">
        <v>103</v>
      </c>
      <c r="E2" s="175" t="s">
        <v>104</v>
      </c>
      <c r="F2" s="175" t="s">
        <v>105</v>
      </c>
      <c r="G2" s="176" t="s">
        <v>106</v>
      </c>
      <c r="H2" s="175" t="s">
        <v>107</v>
      </c>
      <c r="I2" s="175" t="s">
        <v>108</v>
      </c>
      <c r="J2" s="175" t="s">
        <v>109</v>
      </c>
      <c r="K2" s="175" t="s">
        <v>110</v>
      </c>
      <c r="L2" s="175" t="s">
        <v>111</v>
      </c>
      <c r="M2" s="175" t="s">
        <v>112</v>
      </c>
      <c r="N2" s="175" t="s">
        <v>113</v>
      </c>
      <c r="O2" s="177" t="s">
        <v>114</v>
      </c>
      <c r="P2" s="177" t="s">
        <v>115</v>
      </c>
      <c r="Q2" s="177" t="s">
        <v>116</v>
      </c>
      <c r="S2" s="212" t="s">
        <v>291</v>
      </c>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M2" s="2"/>
      <c r="BN2" s="2"/>
      <c r="BO2" s="2"/>
      <c r="BQ2" s="2"/>
      <c r="BR2" s="2"/>
      <c r="BS2" s="2"/>
      <c r="BU2" s="2"/>
      <c r="BV2" s="2"/>
      <c r="BX2" s="2"/>
      <c r="BY2" s="2"/>
      <c r="BZ2" s="2"/>
      <c r="CA2" s="2"/>
      <c r="CB2" s="2"/>
      <c r="CC2" s="2"/>
      <c r="CD2" s="2"/>
      <c r="CE2" s="2"/>
      <c r="CG2" s="2"/>
      <c r="CH2" s="2"/>
      <c r="CI2" s="2"/>
      <c r="CJ2" s="2"/>
      <c r="CK2" s="2"/>
      <c r="CL2" s="2"/>
    </row>
    <row r="3" spans="1:90" ht="24.6" customHeight="1" thickBot="1" x14ac:dyDescent="0.4">
      <c r="A3" s="332" t="s">
        <v>13</v>
      </c>
      <c r="B3" s="338" t="s">
        <v>14</v>
      </c>
      <c r="C3" s="178"/>
      <c r="D3" s="184">
        <f>MAX(D4:D36)</f>
        <v>2</v>
      </c>
      <c r="E3" s="184">
        <f t="shared" ref="E3:Q3" si="0">MAX(E4:E36)</f>
        <v>4</v>
      </c>
      <c r="F3" s="184">
        <f t="shared" si="0"/>
        <v>4</v>
      </c>
      <c r="G3" s="184">
        <f t="shared" si="0"/>
        <v>4</v>
      </c>
      <c r="H3" s="184">
        <f>MAX(H4:H36)</f>
        <v>6</v>
      </c>
      <c r="I3" s="184">
        <f t="shared" si="0"/>
        <v>4</v>
      </c>
      <c r="J3" s="184">
        <f t="shared" si="0"/>
        <v>2</v>
      </c>
      <c r="K3" s="184">
        <f t="shared" si="0"/>
        <v>2</v>
      </c>
      <c r="L3" s="184">
        <f t="shared" si="0"/>
        <v>4</v>
      </c>
      <c r="M3" s="184">
        <f t="shared" si="0"/>
        <v>2</v>
      </c>
      <c r="N3" s="184">
        <f t="shared" si="0"/>
        <v>2</v>
      </c>
      <c r="O3" s="184">
        <f t="shared" si="0"/>
        <v>2</v>
      </c>
      <c r="P3" s="184">
        <f t="shared" si="0"/>
        <v>4</v>
      </c>
      <c r="Q3" s="199">
        <f t="shared" si="0"/>
        <v>2</v>
      </c>
      <c r="S3">
        <v>2</v>
      </c>
    </row>
    <row r="4" spans="1:90" ht="12.6" customHeight="1" outlineLevel="1" x14ac:dyDescent="0.35">
      <c r="A4" s="333"/>
      <c r="B4" s="339"/>
      <c r="C4" s="179" t="s">
        <v>123</v>
      </c>
      <c r="D4" s="182">
        <f>PRODUCT('Rollen-Prozess-Matrix'!H2,'Kompetenz-Prozess-Matrix'!D6)</f>
        <v>0</v>
      </c>
      <c r="E4" s="182">
        <f>PRODUCT('Rollen-Prozess-Matrix'!I2,'Kompetenz-Prozess-Matrix'!D6)</f>
        <v>0</v>
      </c>
      <c r="F4" s="182">
        <f>PRODUCT('Rollen-Prozess-Matrix'!J2,'Kompetenz-Prozess-Matrix'!D6)</f>
        <v>0</v>
      </c>
      <c r="G4" s="182">
        <f>PRODUCT('Rollen-Prozess-Matrix'!K2,'Kompetenz-Prozess-Matrix'!D6)</f>
        <v>0</v>
      </c>
      <c r="H4" s="182">
        <f>PRODUCT('Rollen-Prozess-Matrix'!L2,'Kompetenz-Prozess-Matrix'!D6)</f>
        <v>3</v>
      </c>
      <c r="I4" s="182">
        <f>PRODUCT('Rollen-Prozess-Matrix'!M2,'Kompetenz-Prozess-Matrix'!D6)</f>
        <v>1</v>
      </c>
      <c r="J4" s="182">
        <f>PRODUCT('Rollen-Prozess-Matrix'!N2,'Kompetenz-Prozess-Matrix'!D6)</f>
        <v>1</v>
      </c>
      <c r="K4" s="182">
        <f>PRODUCT('Rollen-Prozess-Matrix'!O2,'Kompetenz-Prozess-Matrix'!D6)</f>
        <v>2</v>
      </c>
      <c r="L4" s="182">
        <f>PRODUCT('Rollen-Prozess-Matrix'!P2,'Kompetenz-Prozess-Matrix'!D6)</f>
        <v>1</v>
      </c>
      <c r="M4" s="182">
        <f>PRODUCT('Rollen-Prozess-Matrix'!Q2,'Kompetenz-Prozess-Matrix'!D6)</f>
        <v>0</v>
      </c>
      <c r="N4" s="182">
        <f>PRODUCT('Rollen-Prozess-Matrix'!R2,'Kompetenz-Prozess-Matrix'!D6)</f>
        <v>0</v>
      </c>
      <c r="O4" s="182">
        <f>PRODUCT('Rollen-Prozess-Matrix'!S2,'Kompetenz-Prozess-Matrix'!D6)</f>
        <v>0</v>
      </c>
      <c r="P4" s="182">
        <f>PRODUCT('Rollen-Prozess-Matrix'!T2,'Kompetenz-Prozess-Matrix'!D6)</f>
        <v>0</v>
      </c>
      <c r="Q4" s="200">
        <f>PRODUCT('Rollen-Prozess-Matrix'!U2,'Kompetenz-Prozess-Matrix'!D6)</f>
        <v>0</v>
      </c>
    </row>
    <row r="5" spans="1:90" ht="12.6" customHeight="1" outlineLevel="1" x14ac:dyDescent="0.35">
      <c r="A5" s="333"/>
      <c r="B5" s="339"/>
      <c r="C5" s="180" t="s">
        <v>127</v>
      </c>
      <c r="D5" s="182">
        <f>PRODUCT('Rollen-Prozess-Matrix'!H3,'Kompetenz-Prozess-Matrix'!D7)</f>
        <v>0</v>
      </c>
      <c r="E5" s="182">
        <f>PRODUCT('Rollen-Prozess-Matrix'!I3,'Kompetenz-Prozess-Matrix'!D7)</f>
        <v>2</v>
      </c>
      <c r="F5" s="182">
        <f>PRODUCT('Rollen-Prozess-Matrix'!J3,'Kompetenz-Prozess-Matrix'!D7)</f>
        <v>1</v>
      </c>
      <c r="G5" s="182">
        <f>PRODUCT('Rollen-Prozess-Matrix'!K3,'Kompetenz-Prozess-Matrix'!D7)</f>
        <v>0</v>
      </c>
      <c r="H5" s="182">
        <f>PRODUCT('Rollen-Prozess-Matrix'!L3,'Kompetenz-Prozess-Matrix'!D7)</f>
        <v>3</v>
      </c>
      <c r="I5" s="182">
        <f>PRODUCT('Rollen-Prozess-Matrix'!M3,'Kompetenz-Prozess-Matrix'!D7)</f>
        <v>1</v>
      </c>
      <c r="J5" s="182">
        <f>PRODUCT('Rollen-Prozess-Matrix'!N3,'Kompetenz-Prozess-Matrix'!D7)</f>
        <v>0</v>
      </c>
      <c r="K5" s="182">
        <f>PRODUCT('Rollen-Prozess-Matrix'!O3,'Kompetenz-Prozess-Matrix'!D7)</f>
        <v>1</v>
      </c>
      <c r="L5" s="182">
        <f>PRODUCT('Rollen-Prozess-Matrix'!P3,'Kompetenz-Prozess-Matrix'!D7)</f>
        <v>0</v>
      </c>
      <c r="M5" s="182">
        <f>PRODUCT('Rollen-Prozess-Matrix'!Q3,'Kompetenz-Prozess-Matrix'!D7)</f>
        <v>0</v>
      </c>
      <c r="N5" s="182">
        <f>PRODUCT('Rollen-Prozess-Matrix'!R3,'Kompetenz-Prozess-Matrix'!D7)</f>
        <v>1</v>
      </c>
      <c r="O5" s="182">
        <f>PRODUCT('Rollen-Prozess-Matrix'!S3,'Kompetenz-Prozess-Matrix'!D7)</f>
        <v>0</v>
      </c>
      <c r="P5" s="182">
        <f>PRODUCT('Rollen-Prozess-Matrix'!T3,'Kompetenz-Prozess-Matrix'!D7)</f>
        <v>0</v>
      </c>
      <c r="Q5" s="200">
        <f>PRODUCT('Rollen-Prozess-Matrix'!U3,'Kompetenz-Prozess-Matrix'!D7)</f>
        <v>0</v>
      </c>
    </row>
    <row r="6" spans="1:90" ht="12.6" customHeight="1" outlineLevel="1" x14ac:dyDescent="0.35">
      <c r="A6" s="333"/>
      <c r="B6" s="339"/>
      <c r="C6" s="180" t="s">
        <v>132</v>
      </c>
      <c r="D6" s="182">
        <f>PRODUCT('Rollen-Prozess-Matrix'!H4,'Kompetenz-Prozess-Matrix'!D8)</f>
        <v>0</v>
      </c>
      <c r="E6" s="182">
        <f>PRODUCT('Rollen-Prozess-Matrix'!I4,'Kompetenz-Prozess-Matrix'!D8)</f>
        <v>0</v>
      </c>
      <c r="F6" s="182">
        <f>PRODUCT('Rollen-Prozess-Matrix'!J4,'Kompetenz-Prozess-Matrix'!D8)</f>
        <v>0</v>
      </c>
      <c r="G6" s="182">
        <f>PRODUCT('Rollen-Prozess-Matrix'!K4,'Kompetenz-Prozess-Matrix'!D8)</f>
        <v>2</v>
      </c>
      <c r="H6" s="182">
        <f>PRODUCT('Rollen-Prozess-Matrix'!L4,'Kompetenz-Prozess-Matrix'!D8)</f>
        <v>6</v>
      </c>
      <c r="I6" s="182">
        <f>PRODUCT('Rollen-Prozess-Matrix'!M4,'Kompetenz-Prozess-Matrix'!D8)</f>
        <v>0</v>
      </c>
      <c r="J6" s="182">
        <f>PRODUCT('Rollen-Prozess-Matrix'!N4,'Kompetenz-Prozess-Matrix'!D8)</f>
        <v>0</v>
      </c>
      <c r="K6" s="182">
        <f>PRODUCT('Rollen-Prozess-Matrix'!O4,'Kompetenz-Prozess-Matrix'!D8)</f>
        <v>0</v>
      </c>
      <c r="L6" s="182">
        <f>PRODUCT('Rollen-Prozess-Matrix'!P4,'Kompetenz-Prozess-Matrix'!D8)</f>
        <v>0</v>
      </c>
      <c r="M6" s="182">
        <f>PRODUCT('Rollen-Prozess-Matrix'!Q4,'Kompetenz-Prozess-Matrix'!D8)</f>
        <v>0</v>
      </c>
      <c r="N6" s="182">
        <f>PRODUCT('Rollen-Prozess-Matrix'!R4,'Kompetenz-Prozess-Matrix'!D8)</f>
        <v>0</v>
      </c>
      <c r="O6" s="182">
        <f>PRODUCT('Rollen-Prozess-Matrix'!S4,'Kompetenz-Prozess-Matrix'!D8)</f>
        <v>0</v>
      </c>
      <c r="P6" s="182">
        <f>PRODUCT('Rollen-Prozess-Matrix'!T4,'Kompetenz-Prozess-Matrix'!D8)</f>
        <v>0</v>
      </c>
      <c r="Q6" s="200">
        <f>PRODUCT('Rollen-Prozess-Matrix'!U4,'Kompetenz-Prozess-Matrix'!D8)</f>
        <v>0</v>
      </c>
    </row>
    <row r="7" spans="1:90" ht="12.6" customHeight="1" outlineLevel="1" x14ac:dyDescent="0.35">
      <c r="A7" s="333"/>
      <c r="B7" s="339"/>
      <c r="C7" s="180" t="s">
        <v>136</v>
      </c>
      <c r="D7" s="182">
        <f>PRODUCT('Rollen-Prozess-Matrix'!H5,'Kompetenz-Prozess-Matrix'!D9)</f>
        <v>0</v>
      </c>
      <c r="E7" s="182">
        <f>PRODUCT('Rollen-Prozess-Matrix'!I5,'Kompetenz-Prozess-Matrix'!D9)</f>
        <v>0</v>
      </c>
      <c r="F7" s="182">
        <f>PRODUCT('Rollen-Prozess-Matrix'!J5,'Kompetenz-Prozess-Matrix'!D9)</f>
        <v>0</v>
      </c>
      <c r="G7" s="182">
        <f>PRODUCT('Rollen-Prozess-Matrix'!K5,'Kompetenz-Prozess-Matrix'!D9)</f>
        <v>2</v>
      </c>
      <c r="H7" s="182">
        <f>PRODUCT('Rollen-Prozess-Matrix'!L5,'Kompetenz-Prozess-Matrix'!D9)</f>
        <v>3</v>
      </c>
      <c r="I7" s="182">
        <f>PRODUCT('Rollen-Prozess-Matrix'!M5,'Kompetenz-Prozess-Matrix'!D9)</f>
        <v>0</v>
      </c>
      <c r="J7" s="182">
        <f>PRODUCT('Rollen-Prozess-Matrix'!N5,'Kompetenz-Prozess-Matrix'!D9)</f>
        <v>0</v>
      </c>
      <c r="K7" s="182">
        <f>PRODUCT('Rollen-Prozess-Matrix'!O5,'Kompetenz-Prozess-Matrix'!D9)</f>
        <v>0</v>
      </c>
      <c r="L7" s="182">
        <f>PRODUCT('Rollen-Prozess-Matrix'!P5,'Kompetenz-Prozess-Matrix'!D9)</f>
        <v>0</v>
      </c>
      <c r="M7" s="182">
        <f>PRODUCT('Rollen-Prozess-Matrix'!Q5,'Kompetenz-Prozess-Matrix'!D9)</f>
        <v>0</v>
      </c>
      <c r="N7" s="182">
        <f>PRODUCT('Rollen-Prozess-Matrix'!R5,'Kompetenz-Prozess-Matrix'!D9)</f>
        <v>0</v>
      </c>
      <c r="O7" s="182">
        <f>PRODUCT('Rollen-Prozess-Matrix'!S5,'Kompetenz-Prozess-Matrix'!D9)</f>
        <v>0</v>
      </c>
      <c r="P7" s="182">
        <f>PRODUCT('Rollen-Prozess-Matrix'!T5,'Kompetenz-Prozess-Matrix'!D9)</f>
        <v>0</v>
      </c>
      <c r="Q7" s="200">
        <f>PRODUCT('Rollen-Prozess-Matrix'!U5,'Kompetenz-Prozess-Matrix'!D9)</f>
        <v>0</v>
      </c>
    </row>
    <row r="8" spans="1:90" ht="12.6" customHeight="1" outlineLevel="1" x14ac:dyDescent="0.35">
      <c r="A8" s="333"/>
      <c r="B8" s="339"/>
      <c r="C8" s="180" t="s">
        <v>140</v>
      </c>
      <c r="D8" s="182">
        <f>PRODUCT('Rollen-Prozess-Matrix'!H6,'Kompetenz-Prozess-Matrix'!D10)</f>
        <v>0</v>
      </c>
      <c r="E8" s="182">
        <f>PRODUCT('Rollen-Prozess-Matrix'!I6,'Kompetenz-Prozess-Matrix'!D10)</f>
        <v>1</v>
      </c>
      <c r="F8" s="182">
        <f>PRODUCT('Rollen-Prozess-Matrix'!J6,'Kompetenz-Prozess-Matrix'!D10)</f>
        <v>1</v>
      </c>
      <c r="G8" s="182">
        <f>PRODUCT('Rollen-Prozess-Matrix'!K6,'Kompetenz-Prozess-Matrix'!D10)</f>
        <v>0</v>
      </c>
      <c r="H8" s="182">
        <f>PRODUCT('Rollen-Prozess-Matrix'!L6,'Kompetenz-Prozess-Matrix'!D10)</f>
        <v>3</v>
      </c>
      <c r="I8" s="182">
        <f>PRODUCT('Rollen-Prozess-Matrix'!M6,'Kompetenz-Prozess-Matrix'!D10)</f>
        <v>0</v>
      </c>
      <c r="J8" s="182">
        <f>PRODUCT('Rollen-Prozess-Matrix'!N6,'Kompetenz-Prozess-Matrix'!D10)</f>
        <v>0</v>
      </c>
      <c r="K8" s="182">
        <f>PRODUCT('Rollen-Prozess-Matrix'!O6,'Kompetenz-Prozess-Matrix'!D10)</f>
        <v>0</v>
      </c>
      <c r="L8" s="182">
        <f>PRODUCT('Rollen-Prozess-Matrix'!P6,'Kompetenz-Prozess-Matrix'!D10)</f>
        <v>0</v>
      </c>
      <c r="M8" s="182">
        <f>PRODUCT('Rollen-Prozess-Matrix'!Q6,'Kompetenz-Prozess-Matrix'!D10)</f>
        <v>0</v>
      </c>
      <c r="N8" s="182">
        <f>PRODUCT('Rollen-Prozess-Matrix'!R6,'Kompetenz-Prozess-Matrix'!D10)</f>
        <v>0</v>
      </c>
      <c r="O8" s="182">
        <f>PRODUCT('Rollen-Prozess-Matrix'!S6,'Kompetenz-Prozess-Matrix'!D10)</f>
        <v>0</v>
      </c>
      <c r="P8" s="182">
        <f>PRODUCT('Rollen-Prozess-Matrix'!T6,'Kompetenz-Prozess-Matrix'!D10)</f>
        <v>2</v>
      </c>
      <c r="Q8" s="200">
        <f>PRODUCT('Rollen-Prozess-Matrix'!U6,'Kompetenz-Prozess-Matrix'!D10)</f>
        <v>1</v>
      </c>
    </row>
    <row r="9" spans="1:90" ht="12.6" customHeight="1" outlineLevel="1" x14ac:dyDescent="0.35">
      <c r="A9" s="333"/>
      <c r="B9" s="339"/>
      <c r="C9" s="180" t="s">
        <v>144</v>
      </c>
      <c r="D9" s="182">
        <f>PRODUCT('Rollen-Prozess-Matrix'!H7,'Kompetenz-Prozess-Matrix'!D11)</f>
        <v>0</v>
      </c>
      <c r="E9" s="182">
        <f>PRODUCT('Rollen-Prozess-Matrix'!I7,'Kompetenz-Prozess-Matrix'!D11)</f>
        <v>0</v>
      </c>
      <c r="F9" s="182">
        <f>PRODUCT('Rollen-Prozess-Matrix'!J7,'Kompetenz-Prozess-Matrix'!D11)</f>
        <v>0</v>
      </c>
      <c r="G9" s="182">
        <f>PRODUCT('Rollen-Prozess-Matrix'!K7,'Kompetenz-Prozess-Matrix'!D11)</f>
        <v>2</v>
      </c>
      <c r="H9" s="182">
        <f>PRODUCT('Rollen-Prozess-Matrix'!L7,'Kompetenz-Prozess-Matrix'!D11)</f>
        <v>3</v>
      </c>
      <c r="I9" s="182">
        <f>PRODUCT('Rollen-Prozess-Matrix'!M7,'Kompetenz-Prozess-Matrix'!D11)</f>
        <v>0</v>
      </c>
      <c r="J9" s="182">
        <f>PRODUCT('Rollen-Prozess-Matrix'!N7,'Kompetenz-Prozess-Matrix'!D11)</f>
        <v>0</v>
      </c>
      <c r="K9" s="182">
        <f>PRODUCT('Rollen-Prozess-Matrix'!O7,'Kompetenz-Prozess-Matrix'!D11)</f>
        <v>0</v>
      </c>
      <c r="L9" s="182">
        <f>PRODUCT('Rollen-Prozess-Matrix'!P7,'Kompetenz-Prozess-Matrix'!D11)</f>
        <v>0</v>
      </c>
      <c r="M9" s="182">
        <f>PRODUCT('Rollen-Prozess-Matrix'!Q7,'Kompetenz-Prozess-Matrix'!D11)</f>
        <v>0</v>
      </c>
      <c r="N9" s="182">
        <f>PRODUCT('Rollen-Prozess-Matrix'!R7,'Kompetenz-Prozess-Matrix'!D11)</f>
        <v>0</v>
      </c>
      <c r="O9" s="182">
        <f>PRODUCT('Rollen-Prozess-Matrix'!S7,'Kompetenz-Prozess-Matrix'!D11)</f>
        <v>0</v>
      </c>
      <c r="P9" s="182">
        <f>PRODUCT('Rollen-Prozess-Matrix'!T7,'Kompetenz-Prozess-Matrix'!D11)</f>
        <v>0</v>
      </c>
      <c r="Q9" s="200">
        <f>PRODUCT('Rollen-Prozess-Matrix'!U7,'Kompetenz-Prozess-Matrix'!D11)</f>
        <v>1</v>
      </c>
    </row>
    <row r="10" spans="1:90" ht="12.6" customHeight="1" outlineLevel="1" x14ac:dyDescent="0.35">
      <c r="A10" s="333"/>
      <c r="B10" s="339"/>
      <c r="C10" s="180" t="s">
        <v>148</v>
      </c>
      <c r="D10" s="182">
        <f>PRODUCT('Rollen-Prozess-Matrix'!H8,'Kompetenz-Prozess-Matrix'!D12)</f>
        <v>0</v>
      </c>
      <c r="E10" s="182">
        <f>PRODUCT('Rollen-Prozess-Matrix'!I8,'Kompetenz-Prozess-Matrix'!D12)</f>
        <v>0</v>
      </c>
      <c r="F10" s="182">
        <f>PRODUCT('Rollen-Prozess-Matrix'!J8,'Kompetenz-Prozess-Matrix'!D12)</f>
        <v>0</v>
      </c>
      <c r="G10" s="182">
        <f>PRODUCT('Rollen-Prozess-Matrix'!K8,'Kompetenz-Prozess-Matrix'!D12)</f>
        <v>0</v>
      </c>
      <c r="H10" s="182">
        <f>PRODUCT('Rollen-Prozess-Matrix'!L8,'Kompetenz-Prozess-Matrix'!D12)</f>
        <v>3</v>
      </c>
      <c r="I10" s="182">
        <f>PRODUCT('Rollen-Prozess-Matrix'!M8,'Kompetenz-Prozess-Matrix'!D12)</f>
        <v>0</v>
      </c>
      <c r="J10" s="182">
        <f>PRODUCT('Rollen-Prozess-Matrix'!N8,'Kompetenz-Prozess-Matrix'!D12)</f>
        <v>0</v>
      </c>
      <c r="K10" s="182">
        <f>PRODUCT('Rollen-Prozess-Matrix'!O8,'Kompetenz-Prozess-Matrix'!D12)</f>
        <v>0</v>
      </c>
      <c r="L10" s="182">
        <f>PRODUCT('Rollen-Prozess-Matrix'!P8,'Kompetenz-Prozess-Matrix'!D12)</f>
        <v>1</v>
      </c>
      <c r="M10" s="182">
        <f>PRODUCT('Rollen-Prozess-Matrix'!Q8,'Kompetenz-Prozess-Matrix'!D12)</f>
        <v>0</v>
      </c>
      <c r="N10" s="182">
        <f>PRODUCT('Rollen-Prozess-Matrix'!R8,'Kompetenz-Prozess-Matrix'!D12)</f>
        <v>0</v>
      </c>
      <c r="O10" s="182">
        <f>PRODUCT('Rollen-Prozess-Matrix'!S8,'Kompetenz-Prozess-Matrix'!D12)</f>
        <v>2</v>
      </c>
      <c r="P10" s="182">
        <f>PRODUCT('Rollen-Prozess-Matrix'!T8,'Kompetenz-Prozess-Matrix'!D12)</f>
        <v>0</v>
      </c>
      <c r="Q10" s="200">
        <f>PRODUCT('Rollen-Prozess-Matrix'!U8,'Kompetenz-Prozess-Matrix'!D12)</f>
        <v>0</v>
      </c>
    </row>
    <row r="11" spans="1:90" ht="12.6" customHeight="1" outlineLevel="1" x14ac:dyDescent="0.35">
      <c r="A11" s="333"/>
      <c r="B11" s="339"/>
      <c r="C11" s="180" t="s">
        <v>152</v>
      </c>
      <c r="D11" s="182">
        <f>PRODUCT('Rollen-Prozess-Matrix'!H9,'Kompetenz-Prozess-Matrix'!D13)</f>
        <v>0</v>
      </c>
      <c r="E11" s="182">
        <f>PRODUCT('Rollen-Prozess-Matrix'!I9,'Kompetenz-Prozess-Matrix'!D13)</f>
        <v>0</v>
      </c>
      <c r="F11" s="182">
        <f>PRODUCT('Rollen-Prozess-Matrix'!J9,'Kompetenz-Prozess-Matrix'!D13)</f>
        <v>0</v>
      </c>
      <c r="G11" s="182">
        <f>PRODUCT('Rollen-Prozess-Matrix'!K9,'Kompetenz-Prozess-Matrix'!D13)</f>
        <v>2</v>
      </c>
      <c r="H11" s="182">
        <f>PRODUCT('Rollen-Prozess-Matrix'!L9,'Kompetenz-Prozess-Matrix'!D13)</f>
        <v>3</v>
      </c>
      <c r="I11" s="182">
        <f>PRODUCT('Rollen-Prozess-Matrix'!M9,'Kompetenz-Prozess-Matrix'!D13)</f>
        <v>0</v>
      </c>
      <c r="J11" s="182">
        <f>PRODUCT('Rollen-Prozess-Matrix'!N9,'Kompetenz-Prozess-Matrix'!D13)</f>
        <v>0</v>
      </c>
      <c r="K11" s="182">
        <f>PRODUCT('Rollen-Prozess-Matrix'!O9,'Kompetenz-Prozess-Matrix'!D13)</f>
        <v>0</v>
      </c>
      <c r="L11" s="182">
        <f>PRODUCT('Rollen-Prozess-Matrix'!P9,'Kompetenz-Prozess-Matrix'!D13)</f>
        <v>0</v>
      </c>
      <c r="M11" s="182">
        <f>PRODUCT('Rollen-Prozess-Matrix'!Q9,'Kompetenz-Prozess-Matrix'!D13)</f>
        <v>0</v>
      </c>
      <c r="N11" s="182">
        <f>PRODUCT('Rollen-Prozess-Matrix'!R9,'Kompetenz-Prozess-Matrix'!D13)</f>
        <v>0</v>
      </c>
      <c r="O11" s="182">
        <f>PRODUCT('Rollen-Prozess-Matrix'!S9,'Kompetenz-Prozess-Matrix'!D13)</f>
        <v>0</v>
      </c>
      <c r="P11" s="182">
        <f>PRODUCT('Rollen-Prozess-Matrix'!T9,'Kompetenz-Prozess-Matrix'!D13)</f>
        <v>0</v>
      </c>
      <c r="Q11" s="200">
        <f>PRODUCT('Rollen-Prozess-Matrix'!U9,'Kompetenz-Prozess-Matrix'!D13)</f>
        <v>0</v>
      </c>
    </row>
    <row r="12" spans="1:90" ht="12.6" customHeight="1" outlineLevel="1" x14ac:dyDescent="0.35">
      <c r="A12" s="333"/>
      <c r="B12" s="339"/>
      <c r="C12" s="180" t="s">
        <v>157</v>
      </c>
      <c r="D12" s="182">
        <f>PRODUCT('Rollen-Prozess-Matrix'!H10,'Kompetenz-Prozess-Matrix'!D14)</f>
        <v>0</v>
      </c>
      <c r="E12" s="182">
        <f>PRODUCT('Rollen-Prozess-Matrix'!I10,'Kompetenz-Prozess-Matrix'!D14)</f>
        <v>0</v>
      </c>
      <c r="F12" s="182">
        <f>PRODUCT('Rollen-Prozess-Matrix'!J10,'Kompetenz-Prozess-Matrix'!D14)</f>
        <v>4</v>
      </c>
      <c r="G12" s="182">
        <f>PRODUCT('Rollen-Prozess-Matrix'!K10,'Kompetenz-Prozess-Matrix'!D14)</f>
        <v>0</v>
      </c>
      <c r="H12" s="182">
        <f>PRODUCT('Rollen-Prozess-Matrix'!L10,'Kompetenz-Prozess-Matrix'!D14)</f>
        <v>6</v>
      </c>
      <c r="I12" s="182">
        <f>PRODUCT('Rollen-Prozess-Matrix'!M10,'Kompetenz-Prozess-Matrix'!D14)</f>
        <v>0</v>
      </c>
      <c r="J12" s="182">
        <f>PRODUCT('Rollen-Prozess-Matrix'!N10,'Kompetenz-Prozess-Matrix'!D14)</f>
        <v>0</v>
      </c>
      <c r="K12" s="182">
        <f>PRODUCT('Rollen-Prozess-Matrix'!O10,'Kompetenz-Prozess-Matrix'!D14)</f>
        <v>0</v>
      </c>
      <c r="L12" s="182">
        <f>PRODUCT('Rollen-Prozess-Matrix'!P10,'Kompetenz-Prozess-Matrix'!D14)</f>
        <v>0</v>
      </c>
      <c r="M12" s="182">
        <f>PRODUCT('Rollen-Prozess-Matrix'!Q10,'Kompetenz-Prozess-Matrix'!D14)</f>
        <v>0</v>
      </c>
      <c r="N12" s="182">
        <f>PRODUCT('Rollen-Prozess-Matrix'!R10,'Kompetenz-Prozess-Matrix'!D14)</f>
        <v>0</v>
      </c>
      <c r="O12" s="182">
        <f>PRODUCT('Rollen-Prozess-Matrix'!S10,'Kompetenz-Prozess-Matrix'!D14)</f>
        <v>0</v>
      </c>
      <c r="P12" s="182">
        <f>PRODUCT('Rollen-Prozess-Matrix'!T10,'Kompetenz-Prozess-Matrix'!D14)</f>
        <v>0</v>
      </c>
      <c r="Q12" s="200">
        <f>PRODUCT('Rollen-Prozess-Matrix'!U10,'Kompetenz-Prozess-Matrix'!D14)</f>
        <v>0</v>
      </c>
    </row>
    <row r="13" spans="1:90" ht="12.6" customHeight="1" outlineLevel="1" x14ac:dyDescent="0.35">
      <c r="A13" s="333"/>
      <c r="B13" s="339"/>
      <c r="C13" s="180" t="s">
        <v>161</v>
      </c>
      <c r="D13" s="182">
        <f>PRODUCT('Rollen-Prozess-Matrix'!H11,'Kompetenz-Prozess-Matrix'!D15)</f>
        <v>0</v>
      </c>
      <c r="E13" s="182">
        <f>PRODUCT('Rollen-Prozess-Matrix'!I11,'Kompetenz-Prozess-Matrix'!D15)</f>
        <v>0</v>
      </c>
      <c r="F13" s="182">
        <f>PRODUCT('Rollen-Prozess-Matrix'!J11,'Kompetenz-Prozess-Matrix'!D15)</f>
        <v>2</v>
      </c>
      <c r="G13" s="182">
        <f>PRODUCT('Rollen-Prozess-Matrix'!K11,'Kompetenz-Prozess-Matrix'!D15)</f>
        <v>0</v>
      </c>
      <c r="H13" s="182">
        <f>PRODUCT('Rollen-Prozess-Matrix'!L11,'Kompetenz-Prozess-Matrix'!D15)</f>
        <v>3</v>
      </c>
      <c r="I13" s="182">
        <f>PRODUCT('Rollen-Prozess-Matrix'!M11,'Kompetenz-Prozess-Matrix'!D15)</f>
        <v>0</v>
      </c>
      <c r="J13" s="182">
        <f>PRODUCT('Rollen-Prozess-Matrix'!N11,'Kompetenz-Prozess-Matrix'!D15)</f>
        <v>0</v>
      </c>
      <c r="K13" s="182">
        <f>PRODUCT('Rollen-Prozess-Matrix'!O11,'Kompetenz-Prozess-Matrix'!D15)</f>
        <v>0</v>
      </c>
      <c r="L13" s="182">
        <f>PRODUCT('Rollen-Prozess-Matrix'!P11,'Kompetenz-Prozess-Matrix'!D15)</f>
        <v>0</v>
      </c>
      <c r="M13" s="182">
        <f>PRODUCT('Rollen-Prozess-Matrix'!Q11,'Kompetenz-Prozess-Matrix'!D15)</f>
        <v>0</v>
      </c>
      <c r="N13" s="182">
        <f>PRODUCT('Rollen-Prozess-Matrix'!R11,'Kompetenz-Prozess-Matrix'!D15)</f>
        <v>0</v>
      </c>
      <c r="O13" s="182">
        <f>PRODUCT('Rollen-Prozess-Matrix'!S11,'Kompetenz-Prozess-Matrix'!D15)</f>
        <v>0</v>
      </c>
      <c r="P13" s="182">
        <f>PRODUCT('Rollen-Prozess-Matrix'!T11,'Kompetenz-Prozess-Matrix'!D15)</f>
        <v>0</v>
      </c>
      <c r="Q13" s="200">
        <f>PRODUCT('Rollen-Prozess-Matrix'!U11,'Kompetenz-Prozess-Matrix'!D15)</f>
        <v>1</v>
      </c>
    </row>
    <row r="14" spans="1:90" ht="12.6" customHeight="1" outlineLevel="1" x14ac:dyDescent="0.35">
      <c r="A14" s="333"/>
      <c r="B14" s="339"/>
      <c r="C14" s="180" t="s">
        <v>288</v>
      </c>
      <c r="D14" s="182">
        <f>PRODUCT('Rollen-Prozess-Matrix'!H12,'Kompetenz-Prozess-Matrix'!D16)</f>
        <v>0</v>
      </c>
      <c r="E14" s="182">
        <f>PRODUCT('Rollen-Prozess-Matrix'!I12,'Kompetenz-Prozess-Matrix'!D16)</f>
        <v>2</v>
      </c>
      <c r="F14" s="182">
        <f>PRODUCT('Rollen-Prozess-Matrix'!J12,'Kompetenz-Prozess-Matrix'!D16)</f>
        <v>2</v>
      </c>
      <c r="G14" s="182">
        <f>PRODUCT('Rollen-Prozess-Matrix'!K12,'Kompetenz-Prozess-Matrix'!D16)</f>
        <v>0</v>
      </c>
      <c r="H14" s="182">
        <f>PRODUCT('Rollen-Prozess-Matrix'!L12,'Kompetenz-Prozess-Matrix'!D16)</f>
        <v>3</v>
      </c>
      <c r="I14" s="182">
        <f>PRODUCT('Rollen-Prozess-Matrix'!M12,'Kompetenz-Prozess-Matrix'!D16)</f>
        <v>2</v>
      </c>
      <c r="J14" s="182">
        <f>PRODUCT('Rollen-Prozess-Matrix'!N12,'Kompetenz-Prozess-Matrix'!D16)</f>
        <v>1</v>
      </c>
      <c r="K14" s="182">
        <f>PRODUCT('Rollen-Prozess-Matrix'!O12,'Kompetenz-Prozess-Matrix'!D16)</f>
        <v>1</v>
      </c>
      <c r="L14" s="182">
        <f>PRODUCT('Rollen-Prozess-Matrix'!P12,'Kompetenz-Prozess-Matrix'!D16)</f>
        <v>1</v>
      </c>
      <c r="M14" s="182">
        <f>PRODUCT('Rollen-Prozess-Matrix'!Q12,'Kompetenz-Prozess-Matrix'!D16)</f>
        <v>0</v>
      </c>
      <c r="N14" s="182">
        <f>PRODUCT('Rollen-Prozess-Matrix'!R12,'Kompetenz-Prozess-Matrix'!D16)</f>
        <v>0</v>
      </c>
      <c r="O14" s="182">
        <f>PRODUCT('Rollen-Prozess-Matrix'!S12,'Kompetenz-Prozess-Matrix'!D16)</f>
        <v>0</v>
      </c>
      <c r="P14" s="182">
        <f>PRODUCT('Rollen-Prozess-Matrix'!T12,'Kompetenz-Prozess-Matrix'!D16)</f>
        <v>1</v>
      </c>
      <c r="Q14" s="200">
        <f>PRODUCT('Rollen-Prozess-Matrix'!U12,'Kompetenz-Prozess-Matrix'!D16)</f>
        <v>2</v>
      </c>
    </row>
    <row r="15" spans="1:90" ht="12.6" customHeight="1" outlineLevel="1" x14ac:dyDescent="0.35">
      <c r="A15" s="333"/>
      <c r="B15" s="339"/>
      <c r="C15" s="180" t="s">
        <v>169</v>
      </c>
      <c r="D15" s="182">
        <f>PRODUCT('Rollen-Prozess-Matrix'!H13,'Kompetenz-Prozess-Matrix'!D17)</f>
        <v>0</v>
      </c>
      <c r="E15" s="182">
        <f>PRODUCT('Rollen-Prozess-Matrix'!I13,'Kompetenz-Prozess-Matrix'!D17)</f>
        <v>1</v>
      </c>
      <c r="F15" s="182">
        <f>PRODUCT('Rollen-Prozess-Matrix'!J13,'Kompetenz-Prozess-Matrix'!D17)</f>
        <v>2</v>
      </c>
      <c r="G15" s="182">
        <f>PRODUCT('Rollen-Prozess-Matrix'!K13,'Kompetenz-Prozess-Matrix'!D17)</f>
        <v>0</v>
      </c>
      <c r="H15" s="182">
        <f>PRODUCT('Rollen-Prozess-Matrix'!L13,'Kompetenz-Prozess-Matrix'!D17)</f>
        <v>3</v>
      </c>
      <c r="I15" s="182">
        <f>PRODUCT('Rollen-Prozess-Matrix'!M13,'Kompetenz-Prozess-Matrix'!D17)</f>
        <v>2</v>
      </c>
      <c r="J15" s="182">
        <f>PRODUCT('Rollen-Prozess-Matrix'!N13,'Kompetenz-Prozess-Matrix'!D17)</f>
        <v>1</v>
      </c>
      <c r="K15" s="182">
        <f>PRODUCT('Rollen-Prozess-Matrix'!O13,'Kompetenz-Prozess-Matrix'!D17)</f>
        <v>1</v>
      </c>
      <c r="L15" s="182">
        <f>PRODUCT('Rollen-Prozess-Matrix'!P13,'Kompetenz-Prozess-Matrix'!D17)</f>
        <v>0</v>
      </c>
      <c r="M15" s="182">
        <f>PRODUCT('Rollen-Prozess-Matrix'!Q13,'Kompetenz-Prozess-Matrix'!D17)</f>
        <v>0</v>
      </c>
      <c r="N15" s="182">
        <f>PRODUCT('Rollen-Prozess-Matrix'!R13,'Kompetenz-Prozess-Matrix'!D17)</f>
        <v>0</v>
      </c>
      <c r="O15" s="182">
        <f>PRODUCT('Rollen-Prozess-Matrix'!S13,'Kompetenz-Prozess-Matrix'!D17)</f>
        <v>1</v>
      </c>
      <c r="P15" s="182">
        <f>PRODUCT('Rollen-Prozess-Matrix'!T13,'Kompetenz-Prozess-Matrix'!D17)</f>
        <v>0</v>
      </c>
      <c r="Q15" s="200">
        <f>PRODUCT('Rollen-Prozess-Matrix'!U13,'Kompetenz-Prozess-Matrix'!D17)</f>
        <v>0</v>
      </c>
    </row>
    <row r="16" spans="1:90" ht="12.6" customHeight="1" outlineLevel="1" x14ac:dyDescent="0.35">
      <c r="A16" s="333"/>
      <c r="B16" s="339"/>
      <c r="C16" s="180" t="s">
        <v>173</v>
      </c>
      <c r="D16" s="182">
        <f>PRODUCT('Rollen-Prozess-Matrix'!H14,'Kompetenz-Prozess-Matrix'!D18)</f>
        <v>0</v>
      </c>
      <c r="E16" s="182">
        <f>PRODUCT('Rollen-Prozess-Matrix'!I14,'Kompetenz-Prozess-Matrix'!D18)</f>
        <v>0</v>
      </c>
      <c r="F16" s="182">
        <f>PRODUCT('Rollen-Prozess-Matrix'!J14,'Kompetenz-Prozess-Matrix'!D18)</f>
        <v>0</v>
      </c>
      <c r="G16" s="182">
        <f>PRODUCT('Rollen-Prozess-Matrix'!K14,'Kompetenz-Prozess-Matrix'!D18)</f>
        <v>0</v>
      </c>
      <c r="H16" s="182">
        <f>PRODUCT('Rollen-Prozess-Matrix'!L14,'Kompetenz-Prozess-Matrix'!D18)</f>
        <v>0</v>
      </c>
      <c r="I16" s="182">
        <f>PRODUCT('Rollen-Prozess-Matrix'!M14,'Kompetenz-Prozess-Matrix'!D18)</f>
        <v>0</v>
      </c>
      <c r="J16" s="182">
        <f>PRODUCT('Rollen-Prozess-Matrix'!N14,'Kompetenz-Prozess-Matrix'!D18)</f>
        <v>0</v>
      </c>
      <c r="K16" s="182">
        <f>PRODUCT('Rollen-Prozess-Matrix'!O14,'Kompetenz-Prozess-Matrix'!D18)</f>
        <v>0</v>
      </c>
      <c r="L16" s="182">
        <f>PRODUCT('Rollen-Prozess-Matrix'!P14,'Kompetenz-Prozess-Matrix'!D18)</f>
        <v>0</v>
      </c>
      <c r="M16" s="182">
        <f>PRODUCT('Rollen-Prozess-Matrix'!Q14,'Kompetenz-Prozess-Matrix'!D18)</f>
        <v>0</v>
      </c>
      <c r="N16" s="182">
        <f>PRODUCT('Rollen-Prozess-Matrix'!R14,'Kompetenz-Prozess-Matrix'!D18)</f>
        <v>0</v>
      </c>
      <c r="O16" s="182">
        <f>PRODUCT('Rollen-Prozess-Matrix'!S14,'Kompetenz-Prozess-Matrix'!D18)</f>
        <v>0</v>
      </c>
      <c r="P16" s="182">
        <f>PRODUCT('Rollen-Prozess-Matrix'!T14,'Kompetenz-Prozess-Matrix'!D18)</f>
        <v>0</v>
      </c>
      <c r="Q16" s="200">
        <f>PRODUCT('Rollen-Prozess-Matrix'!U14,'Kompetenz-Prozess-Matrix'!D18)</f>
        <v>0</v>
      </c>
    </row>
    <row r="17" spans="1:17" ht="12.6" customHeight="1" outlineLevel="1" x14ac:dyDescent="0.35">
      <c r="A17" s="333"/>
      <c r="B17" s="339"/>
      <c r="C17" s="180" t="s">
        <v>177</v>
      </c>
      <c r="D17" s="182">
        <f>PRODUCT('Rollen-Prozess-Matrix'!H15,'Kompetenz-Prozess-Matrix'!D19)</f>
        <v>0</v>
      </c>
      <c r="E17" s="182">
        <f>PRODUCT('Rollen-Prozess-Matrix'!I15,'Kompetenz-Prozess-Matrix'!D19)</f>
        <v>1</v>
      </c>
      <c r="F17" s="182">
        <f>PRODUCT('Rollen-Prozess-Matrix'!J15,'Kompetenz-Prozess-Matrix'!D19)</f>
        <v>2</v>
      </c>
      <c r="G17" s="182">
        <f>PRODUCT('Rollen-Prozess-Matrix'!K15,'Kompetenz-Prozess-Matrix'!D19)</f>
        <v>0</v>
      </c>
      <c r="H17" s="182">
        <f>PRODUCT('Rollen-Prozess-Matrix'!L15,'Kompetenz-Prozess-Matrix'!D19)</f>
        <v>3</v>
      </c>
      <c r="I17" s="182">
        <f>PRODUCT('Rollen-Prozess-Matrix'!M15,'Kompetenz-Prozess-Matrix'!D19)</f>
        <v>1</v>
      </c>
      <c r="J17" s="182">
        <f>PRODUCT('Rollen-Prozess-Matrix'!N15,'Kompetenz-Prozess-Matrix'!D19)</f>
        <v>1</v>
      </c>
      <c r="K17" s="182">
        <f>PRODUCT('Rollen-Prozess-Matrix'!O15,'Kompetenz-Prozess-Matrix'!D19)</f>
        <v>0</v>
      </c>
      <c r="L17" s="182">
        <f>PRODUCT('Rollen-Prozess-Matrix'!P15,'Kompetenz-Prozess-Matrix'!D19)</f>
        <v>1</v>
      </c>
      <c r="M17" s="182">
        <f>PRODUCT('Rollen-Prozess-Matrix'!Q15,'Kompetenz-Prozess-Matrix'!D19)</f>
        <v>0</v>
      </c>
      <c r="N17" s="182">
        <f>PRODUCT('Rollen-Prozess-Matrix'!R15,'Kompetenz-Prozess-Matrix'!D19)</f>
        <v>0</v>
      </c>
      <c r="O17" s="182">
        <f>PRODUCT('Rollen-Prozess-Matrix'!S15,'Kompetenz-Prozess-Matrix'!D19)</f>
        <v>0</v>
      </c>
      <c r="P17" s="182">
        <f>PRODUCT('Rollen-Prozess-Matrix'!T15,'Kompetenz-Prozess-Matrix'!D19)</f>
        <v>0</v>
      </c>
      <c r="Q17" s="200">
        <f>PRODUCT('Rollen-Prozess-Matrix'!U15,'Kompetenz-Prozess-Matrix'!D19)</f>
        <v>0</v>
      </c>
    </row>
    <row r="18" spans="1:17" ht="12.6" customHeight="1" outlineLevel="1" x14ac:dyDescent="0.35">
      <c r="A18" s="333"/>
      <c r="B18" s="339"/>
      <c r="C18" s="180" t="s">
        <v>181</v>
      </c>
      <c r="D18" s="182">
        <f>PRODUCT('Rollen-Prozess-Matrix'!H16,'Kompetenz-Prozess-Matrix'!D20)</f>
        <v>0</v>
      </c>
      <c r="E18" s="182">
        <f>PRODUCT('Rollen-Prozess-Matrix'!I16,'Kompetenz-Prozess-Matrix'!D20)</f>
        <v>0</v>
      </c>
      <c r="F18" s="182">
        <f>PRODUCT('Rollen-Prozess-Matrix'!J16,'Kompetenz-Prozess-Matrix'!D20)</f>
        <v>0</v>
      </c>
      <c r="G18" s="182">
        <f>PRODUCT('Rollen-Prozess-Matrix'!K16,'Kompetenz-Prozess-Matrix'!D20)</f>
        <v>0</v>
      </c>
      <c r="H18" s="182">
        <f>PRODUCT('Rollen-Prozess-Matrix'!L16,'Kompetenz-Prozess-Matrix'!D20)</f>
        <v>3</v>
      </c>
      <c r="I18" s="182">
        <f>PRODUCT('Rollen-Prozess-Matrix'!M16,'Kompetenz-Prozess-Matrix'!D20)</f>
        <v>0</v>
      </c>
      <c r="J18" s="182">
        <f>PRODUCT('Rollen-Prozess-Matrix'!N16,'Kompetenz-Prozess-Matrix'!D20)</f>
        <v>1</v>
      </c>
      <c r="K18" s="182">
        <f>PRODUCT('Rollen-Prozess-Matrix'!O16,'Kompetenz-Prozess-Matrix'!D20)</f>
        <v>0</v>
      </c>
      <c r="L18" s="182">
        <f>PRODUCT('Rollen-Prozess-Matrix'!P16,'Kompetenz-Prozess-Matrix'!D20)</f>
        <v>2</v>
      </c>
      <c r="M18" s="182">
        <f>PRODUCT('Rollen-Prozess-Matrix'!Q16,'Kompetenz-Prozess-Matrix'!D20)</f>
        <v>0</v>
      </c>
      <c r="N18" s="182">
        <f>PRODUCT('Rollen-Prozess-Matrix'!R16,'Kompetenz-Prozess-Matrix'!D20)</f>
        <v>0</v>
      </c>
      <c r="O18" s="182">
        <f>PRODUCT('Rollen-Prozess-Matrix'!S16,'Kompetenz-Prozess-Matrix'!D20)</f>
        <v>0</v>
      </c>
      <c r="P18" s="182">
        <f>PRODUCT('Rollen-Prozess-Matrix'!T16,'Kompetenz-Prozess-Matrix'!D20)</f>
        <v>0</v>
      </c>
      <c r="Q18" s="200">
        <f>PRODUCT('Rollen-Prozess-Matrix'!U16,'Kompetenz-Prozess-Matrix'!D20)</f>
        <v>0</v>
      </c>
    </row>
    <row r="19" spans="1:17" ht="12.6" customHeight="1" outlineLevel="1" x14ac:dyDescent="0.35">
      <c r="A19" s="333"/>
      <c r="B19" s="339"/>
      <c r="C19" s="180" t="s">
        <v>185</v>
      </c>
      <c r="D19" s="182">
        <f>PRODUCT('Rollen-Prozess-Matrix'!H17,'Kompetenz-Prozess-Matrix'!D21)</f>
        <v>0</v>
      </c>
      <c r="E19" s="182">
        <f>PRODUCT('Rollen-Prozess-Matrix'!I17,'Kompetenz-Prozess-Matrix'!D21)</f>
        <v>1</v>
      </c>
      <c r="F19" s="182">
        <f>PRODUCT('Rollen-Prozess-Matrix'!J17,'Kompetenz-Prozess-Matrix'!D21)</f>
        <v>1</v>
      </c>
      <c r="G19" s="182">
        <f>PRODUCT('Rollen-Prozess-Matrix'!K17,'Kompetenz-Prozess-Matrix'!D21)</f>
        <v>0</v>
      </c>
      <c r="H19" s="182">
        <f>PRODUCT('Rollen-Prozess-Matrix'!L17,'Kompetenz-Prozess-Matrix'!D21)</f>
        <v>3</v>
      </c>
      <c r="I19" s="182">
        <f>PRODUCT('Rollen-Prozess-Matrix'!M17,'Kompetenz-Prozess-Matrix'!D21)</f>
        <v>0</v>
      </c>
      <c r="J19" s="182">
        <f>PRODUCT('Rollen-Prozess-Matrix'!N17,'Kompetenz-Prozess-Matrix'!D21)</f>
        <v>0</v>
      </c>
      <c r="K19" s="182">
        <f>PRODUCT('Rollen-Prozess-Matrix'!O17,'Kompetenz-Prozess-Matrix'!D21)</f>
        <v>0</v>
      </c>
      <c r="L19" s="182">
        <f>PRODUCT('Rollen-Prozess-Matrix'!P17,'Kompetenz-Prozess-Matrix'!D21)</f>
        <v>2</v>
      </c>
      <c r="M19" s="182">
        <f>PRODUCT('Rollen-Prozess-Matrix'!Q17,'Kompetenz-Prozess-Matrix'!D21)</f>
        <v>0</v>
      </c>
      <c r="N19" s="182">
        <f>PRODUCT('Rollen-Prozess-Matrix'!R17,'Kompetenz-Prozess-Matrix'!D21)</f>
        <v>0</v>
      </c>
      <c r="O19" s="182">
        <f>PRODUCT('Rollen-Prozess-Matrix'!S17,'Kompetenz-Prozess-Matrix'!D21)</f>
        <v>2</v>
      </c>
      <c r="P19" s="182">
        <f>PRODUCT('Rollen-Prozess-Matrix'!T17,'Kompetenz-Prozess-Matrix'!D21)</f>
        <v>0</v>
      </c>
      <c r="Q19" s="200">
        <f>PRODUCT('Rollen-Prozess-Matrix'!U17,'Kompetenz-Prozess-Matrix'!D21)</f>
        <v>0</v>
      </c>
    </row>
    <row r="20" spans="1:17" ht="12.6" customHeight="1" outlineLevel="1" x14ac:dyDescent="0.35">
      <c r="A20" s="333"/>
      <c r="B20" s="339"/>
      <c r="C20" s="180" t="s">
        <v>190</v>
      </c>
      <c r="D20" s="182">
        <f>PRODUCT('Rollen-Prozess-Matrix'!H18,'Kompetenz-Prozess-Matrix'!D22)</f>
        <v>0</v>
      </c>
      <c r="E20" s="182">
        <f>PRODUCT('Rollen-Prozess-Matrix'!I18,'Kompetenz-Prozess-Matrix'!D22)</f>
        <v>4</v>
      </c>
      <c r="F20" s="182">
        <f>PRODUCT('Rollen-Prozess-Matrix'!J18,'Kompetenz-Prozess-Matrix'!D22)</f>
        <v>0</v>
      </c>
      <c r="G20" s="182">
        <f>PRODUCT('Rollen-Prozess-Matrix'!K18,'Kompetenz-Prozess-Matrix'!D22)</f>
        <v>0</v>
      </c>
      <c r="H20" s="182">
        <f>PRODUCT('Rollen-Prozess-Matrix'!L18,'Kompetenz-Prozess-Matrix'!D22)</f>
        <v>6</v>
      </c>
      <c r="I20" s="182">
        <f>PRODUCT('Rollen-Prozess-Matrix'!M18,'Kompetenz-Prozess-Matrix'!D22)</f>
        <v>0</v>
      </c>
      <c r="J20" s="182">
        <f>PRODUCT('Rollen-Prozess-Matrix'!N18,'Kompetenz-Prozess-Matrix'!D22)</f>
        <v>0</v>
      </c>
      <c r="K20" s="182">
        <f>PRODUCT('Rollen-Prozess-Matrix'!O18,'Kompetenz-Prozess-Matrix'!D22)</f>
        <v>0</v>
      </c>
      <c r="L20" s="182">
        <f>PRODUCT('Rollen-Prozess-Matrix'!P18,'Kompetenz-Prozess-Matrix'!D22)</f>
        <v>0</v>
      </c>
      <c r="M20" s="182">
        <f>PRODUCT('Rollen-Prozess-Matrix'!Q18,'Kompetenz-Prozess-Matrix'!D22)</f>
        <v>0</v>
      </c>
      <c r="N20" s="182">
        <f>PRODUCT('Rollen-Prozess-Matrix'!R18,'Kompetenz-Prozess-Matrix'!D22)</f>
        <v>0</v>
      </c>
      <c r="O20" s="182">
        <f>PRODUCT('Rollen-Prozess-Matrix'!S18,'Kompetenz-Prozess-Matrix'!D22)</f>
        <v>0</v>
      </c>
      <c r="P20" s="182">
        <f>PRODUCT('Rollen-Prozess-Matrix'!T18,'Kompetenz-Prozess-Matrix'!D22)</f>
        <v>4</v>
      </c>
      <c r="Q20" s="200">
        <f>PRODUCT('Rollen-Prozess-Matrix'!U18,'Kompetenz-Prozess-Matrix'!D22)</f>
        <v>2</v>
      </c>
    </row>
    <row r="21" spans="1:17" ht="63.75" outlineLevel="1" x14ac:dyDescent="0.35">
      <c r="A21" s="333"/>
      <c r="B21" s="339"/>
      <c r="C21" s="180" t="s">
        <v>194</v>
      </c>
      <c r="D21" s="182">
        <f>PRODUCT('Rollen-Prozess-Matrix'!H19,'Kompetenz-Prozess-Matrix'!D23)</f>
        <v>0</v>
      </c>
      <c r="E21" s="182">
        <f>PRODUCT('Rollen-Prozess-Matrix'!I19,'Kompetenz-Prozess-Matrix'!D23)</f>
        <v>4</v>
      </c>
      <c r="F21" s="182">
        <f>PRODUCT('Rollen-Prozess-Matrix'!J19,'Kompetenz-Prozess-Matrix'!D23)</f>
        <v>0</v>
      </c>
      <c r="G21" s="182">
        <f>PRODUCT('Rollen-Prozess-Matrix'!K19,'Kompetenz-Prozess-Matrix'!D23)</f>
        <v>0</v>
      </c>
      <c r="H21" s="182">
        <f>PRODUCT('Rollen-Prozess-Matrix'!L19,'Kompetenz-Prozess-Matrix'!D23)</f>
        <v>6</v>
      </c>
      <c r="I21" s="182">
        <f>PRODUCT('Rollen-Prozess-Matrix'!M19,'Kompetenz-Prozess-Matrix'!D23)</f>
        <v>2</v>
      </c>
      <c r="J21" s="182">
        <f>PRODUCT('Rollen-Prozess-Matrix'!N19,'Kompetenz-Prozess-Matrix'!D23)</f>
        <v>0</v>
      </c>
      <c r="K21" s="182">
        <f>PRODUCT('Rollen-Prozess-Matrix'!O19,'Kompetenz-Prozess-Matrix'!D23)</f>
        <v>0</v>
      </c>
      <c r="L21" s="182">
        <f>PRODUCT('Rollen-Prozess-Matrix'!P19,'Kompetenz-Prozess-Matrix'!D23)</f>
        <v>2</v>
      </c>
      <c r="M21" s="182">
        <f>PRODUCT('Rollen-Prozess-Matrix'!Q19,'Kompetenz-Prozess-Matrix'!D23)</f>
        <v>0</v>
      </c>
      <c r="N21" s="182">
        <f>PRODUCT('Rollen-Prozess-Matrix'!R19,'Kompetenz-Prozess-Matrix'!D23)</f>
        <v>0</v>
      </c>
      <c r="O21" s="182">
        <f>PRODUCT('Rollen-Prozess-Matrix'!S19,'Kompetenz-Prozess-Matrix'!D23)</f>
        <v>0</v>
      </c>
      <c r="P21" s="182">
        <f>PRODUCT('Rollen-Prozess-Matrix'!T19,'Kompetenz-Prozess-Matrix'!D23)</f>
        <v>0</v>
      </c>
      <c r="Q21" s="200">
        <f>PRODUCT('Rollen-Prozess-Matrix'!U19,'Kompetenz-Prozess-Matrix'!D23)</f>
        <v>0</v>
      </c>
    </row>
    <row r="22" spans="1:17" ht="12.6" customHeight="1" outlineLevel="1" x14ac:dyDescent="0.35">
      <c r="A22" s="333"/>
      <c r="B22" s="339"/>
      <c r="C22" s="180" t="s">
        <v>201</v>
      </c>
      <c r="D22" s="182">
        <f>PRODUCT('Rollen-Prozess-Matrix'!H20,'Kompetenz-Prozess-Matrix'!D24)</f>
        <v>0</v>
      </c>
      <c r="E22" s="182">
        <f>PRODUCT('Rollen-Prozess-Matrix'!I20,'Kompetenz-Prozess-Matrix'!D24)</f>
        <v>4</v>
      </c>
      <c r="F22" s="182">
        <f>PRODUCT('Rollen-Prozess-Matrix'!J20,'Kompetenz-Prozess-Matrix'!D24)</f>
        <v>0</v>
      </c>
      <c r="G22" s="182">
        <f>PRODUCT('Rollen-Prozess-Matrix'!K20,'Kompetenz-Prozess-Matrix'!D24)</f>
        <v>0</v>
      </c>
      <c r="H22" s="182">
        <f>PRODUCT('Rollen-Prozess-Matrix'!L20,'Kompetenz-Prozess-Matrix'!D24)</f>
        <v>6</v>
      </c>
      <c r="I22" s="182">
        <f>PRODUCT('Rollen-Prozess-Matrix'!M20,'Kompetenz-Prozess-Matrix'!D24)</f>
        <v>4</v>
      </c>
      <c r="J22" s="182">
        <f>PRODUCT('Rollen-Prozess-Matrix'!N20,'Kompetenz-Prozess-Matrix'!D24)</f>
        <v>2</v>
      </c>
      <c r="K22" s="182">
        <f>PRODUCT('Rollen-Prozess-Matrix'!O20,'Kompetenz-Prozess-Matrix'!D24)</f>
        <v>0</v>
      </c>
      <c r="L22" s="182">
        <f>PRODUCT('Rollen-Prozess-Matrix'!P20,'Kompetenz-Prozess-Matrix'!D24)</f>
        <v>2</v>
      </c>
      <c r="M22" s="182">
        <f>PRODUCT('Rollen-Prozess-Matrix'!Q20,'Kompetenz-Prozess-Matrix'!D24)</f>
        <v>0</v>
      </c>
      <c r="N22" s="182">
        <f>PRODUCT('Rollen-Prozess-Matrix'!R20,'Kompetenz-Prozess-Matrix'!D24)</f>
        <v>0</v>
      </c>
      <c r="O22" s="182">
        <f>PRODUCT('Rollen-Prozess-Matrix'!S20,'Kompetenz-Prozess-Matrix'!D24)</f>
        <v>0</v>
      </c>
      <c r="P22" s="182">
        <f>PRODUCT('Rollen-Prozess-Matrix'!T20,'Kompetenz-Prozess-Matrix'!D24)</f>
        <v>0</v>
      </c>
      <c r="Q22" s="200">
        <f>PRODUCT('Rollen-Prozess-Matrix'!U20,'Kompetenz-Prozess-Matrix'!D24)</f>
        <v>0</v>
      </c>
    </row>
    <row r="23" spans="1:17" ht="12.6" customHeight="1" outlineLevel="1" x14ac:dyDescent="0.35">
      <c r="A23" s="333"/>
      <c r="B23" s="339"/>
      <c r="C23" s="180" t="s">
        <v>205</v>
      </c>
      <c r="D23" s="182">
        <f>PRODUCT('Rollen-Prozess-Matrix'!H21,'Kompetenz-Prozess-Matrix'!D25)</f>
        <v>0</v>
      </c>
      <c r="E23" s="182">
        <f>PRODUCT('Rollen-Prozess-Matrix'!I21,'Kompetenz-Prozess-Matrix'!D25)</f>
        <v>2</v>
      </c>
      <c r="F23" s="182">
        <f>PRODUCT('Rollen-Prozess-Matrix'!J21,'Kompetenz-Prozess-Matrix'!D25)</f>
        <v>0</v>
      </c>
      <c r="G23" s="182">
        <f>PRODUCT('Rollen-Prozess-Matrix'!K21,'Kompetenz-Prozess-Matrix'!D25)</f>
        <v>0</v>
      </c>
      <c r="H23" s="182">
        <f>PRODUCT('Rollen-Prozess-Matrix'!L21,'Kompetenz-Prozess-Matrix'!D25)</f>
        <v>6</v>
      </c>
      <c r="I23" s="182">
        <f>PRODUCT('Rollen-Prozess-Matrix'!M21,'Kompetenz-Prozess-Matrix'!D25)</f>
        <v>4</v>
      </c>
      <c r="J23" s="182">
        <f>PRODUCT('Rollen-Prozess-Matrix'!N21,'Kompetenz-Prozess-Matrix'!D25)</f>
        <v>2</v>
      </c>
      <c r="K23" s="182">
        <f>PRODUCT('Rollen-Prozess-Matrix'!O21,'Kompetenz-Prozess-Matrix'!D25)</f>
        <v>0</v>
      </c>
      <c r="L23" s="182">
        <f>PRODUCT('Rollen-Prozess-Matrix'!P21,'Kompetenz-Prozess-Matrix'!D25)</f>
        <v>0</v>
      </c>
      <c r="M23" s="182">
        <f>PRODUCT('Rollen-Prozess-Matrix'!Q21,'Kompetenz-Prozess-Matrix'!D25)</f>
        <v>0</v>
      </c>
      <c r="N23" s="182">
        <f>PRODUCT('Rollen-Prozess-Matrix'!R21,'Kompetenz-Prozess-Matrix'!D25)</f>
        <v>0</v>
      </c>
      <c r="O23" s="182">
        <f>PRODUCT('Rollen-Prozess-Matrix'!S21,'Kompetenz-Prozess-Matrix'!D25)</f>
        <v>0</v>
      </c>
      <c r="P23" s="182">
        <f>PRODUCT('Rollen-Prozess-Matrix'!T21,'Kompetenz-Prozess-Matrix'!D25)</f>
        <v>0</v>
      </c>
      <c r="Q23" s="200">
        <f>PRODUCT('Rollen-Prozess-Matrix'!U21,'Kompetenz-Prozess-Matrix'!D25)</f>
        <v>0</v>
      </c>
    </row>
    <row r="24" spans="1:17" ht="12.6" customHeight="1" outlineLevel="1" x14ac:dyDescent="0.35">
      <c r="A24" s="333"/>
      <c r="B24" s="339"/>
      <c r="C24" s="180" t="s">
        <v>209</v>
      </c>
      <c r="D24" s="182">
        <f>PRODUCT('Rollen-Prozess-Matrix'!H22,'Kompetenz-Prozess-Matrix'!D26)</f>
        <v>0</v>
      </c>
      <c r="E24" s="182">
        <f>PRODUCT('Rollen-Prozess-Matrix'!I22,'Kompetenz-Prozess-Matrix'!D26)</f>
        <v>1</v>
      </c>
      <c r="F24" s="182">
        <f>PRODUCT('Rollen-Prozess-Matrix'!J22,'Kompetenz-Prozess-Matrix'!D26)</f>
        <v>0</v>
      </c>
      <c r="G24" s="182">
        <f>PRODUCT('Rollen-Prozess-Matrix'!K22,'Kompetenz-Prozess-Matrix'!D26)</f>
        <v>0</v>
      </c>
      <c r="H24" s="182">
        <f>PRODUCT('Rollen-Prozess-Matrix'!L22,'Kompetenz-Prozess-Matrix'!D26)</f>
        <v>3</v>
      </c>
      <c r="I24" s="182">
        <f>PRODUCT('Rollen-Prozess-Matrix'!M22,'Kompetenz-Prozess-Matrix'!D26)</f>
        <v>2</v>
      </c>
      <c r="J24" s="182">
        <f>PRODUCT('Rollen-Prozess-Matrix'!N22,'Kompetenz-Prozess-Matrix'!D26)</f>
        <v>2</v>
      </c>
      <c r="K24" s="182">
        <f>PRODUCT('Rollen-Prozess-Matrix'!O22,'Kompetenz-Prozess-Matrix'!D26)</f>
        <v>0</v>
      </c>
      <c r="L24" s="182">
        <f>PRODUCT('Rollen-Prozess-Matrix'!P22,'Kompetenz-Prozess-Matrix'!D26)</f>
        <v>0</v>
      </c>
      <c r="M24" s="182">
        <f>PRODUCT('Rollen-Prozess-Matrix'!Q22,'Kompetenz-Prozess-Matrix'!D26)</f>
        <v>0</v>
      </c>
      <c r="N24" s="182">
        <f>PRODUCT('Rollen-Prozess-Matrix'!R22,'Kompetenz-Prozess-Matrix'!D26)</f>
        <v>0</v>
      </c>
      <c r="O24" s="182">
        <f>PRODUCT('Rollen-Prozess-Matrix'!S22,'Kompetenz-Prozess-Matrix'!D26)</f>
        <v>0</v>
      </c>
      <c r="P24" s="182">
        <f>PRODUCT('Rollen-Prozess-Matrix'!T22,'Kompetenz-Prozess-Matrix'!D26)</f>
        <v>0</v>
      </c>
      <c r="Q24" s="200">
        <f>PRODUCT('Rollen-Prozess-Matrix'!U22,'Kompetenz-Prozess-Matrix'!D26)</f>
        <v>0</v>
      </c>
    </row>
    <row r="25" spans="1:17" ht="12.6" customHeight="1" outlineLevel="1" x14ac:dyDescent="0.35">
      <c r="A25" s="333"/>
      <c r="B25" s="339"/>
      <c r="C25" s="180" t="s">
        <v>213</v>
      </c>
      <c r="D25" s="182">
        <f>PRODUCT('Rollen-Prozess-Matrix'!H23,'Kompetenz-Prozess-Matrix'!D27)</f>
        <v>0</v>
      </c>
      <c r="E25" s="182">
        <f>PRODUCT('Rollen-Prozess-Matrix'!I23,'Kompetenz-Prozess-Matrix'!D27)</f>
        <v>0</v>
      </c>
      <c r="F25" s="182">
        <f>PRODUCT('Rollen-Prozess-Matrix'!J23,'Kompetenz-Prozess-Matrix'!D27)</f>
        <v>0</v>
      </c>
      <c r="G25" s="182">
        <f>PRODUCT('Rollen-Prozess-Matrix'!K23,'Kompetenz-Prozess-Matrix'!D27)</f>
        <v>0</v>
      </c>
      <c r="H25" s="182">
        <f>PRODUCT('Rollen-Prozess-Matrix'!L23,'Kompetenz-Prozess-Matrix'!D27)</f>
        <v>3</v>
      </c>
      <c r="I25" s="182">
        <f>PRODUCT('Rollen-Prozess-Matrix'!M23,'Kompetenz-Prozess-Matrix'!D27)</f>
        <v>1</v>
      </c>
      <c r="J25" s="182">
        <f>PRODUCT('Rollen-Prozess-Matrix'!N23,'Kompetenz-Prozess-Matrix'!D27)</f>
        <v>0</v>
      </c>
      <c r="K25" s="182">
        <f>PRODUCT('Rollen-Prozess-Matrix'!O23,'Kompetenz-Prozess-Matrix'!D27)</f>
        <v>0</v>
      </c>
      <c r="L25" s="182">
        <f>PRODUCT('Rollen-Prozess-Matrix'!P23,'Kompetenz-Prozess-Matrix'!D27)</f>
        <v>2</v>
      </c>
      <c r="M25" s="182">
        <f>PRODUCT('Rollen-Prozess-Matrix'!Q23,'Kompetenz-Prozess-Matrix'!D27)</f>
        <v>0</v>
      </c>
      <c r="N25" s="182">
        <f>PRODUCT('Rollen-Prozess-Matrix'!R23,'Kompetenz-Prozess-Matrix'!D27)</f>
        <v>0</v>
      </c>
      <c r="O25" s="182">
        <f>PRODUCT('Rollen-Prozess-Matrix'!S23,'Kompetenz-Prozess-Matrix'!D27)</f>
        <v>0</v>
      </c>
      <c r="P25" s="182">
        <f>PRODUCT('Rollen-Prozess-Matrix'!T23,'Kompetenz-Prozess-Matrix'!D27)</f>
        <v>0</v>
      </c>
      <c r="Q25" s="200">
        <f>PRODUCT('Rollen-Prozess-Matrix'!U23,'Kompetenz-Prozess-Matrix'!D27)</f>
        <v>0</v>
      </c>
    </row>
    <row r="26" spans="1:17" ht="12.6" customHeight="1" outlineLevel="1" x14ac:dyDescent="0.35">
      <c r="A26" s="333"/>
      <c r="B26" s="339"/>
      <c r="C26" s="180" t="s">
        <v>217</v>
      </c>
      <c r="D26" s="182">
        <f>PRODUCT('Rollen-Prozess-Matrix'!H24,'Kompetenz-Prozess-Matrix'!D28)</f>
        <v>0</v>
      </c>
      <c r="E26" s="182">
        <f>PRODUCT('Rollen-Prozess-Matrix'!I24,'Kompetenz-Prozess-Matrix'!D28)</f>
        <v>0</v>
      </c>
      <c r="F26" s="182">
        <f>PRODUCT('Rollen-Prozess-Matrix'!J24,'Kompetenz-Prozess-Matrix'!D28)</f>
        <v>0</v>
      </c>
      <c r="G26" s="182">
        <f>PRODUCT('Rollen-Prozess-Matrix'!K24,'Kompetenz-Prozess-Matrix'!D28)</f>
        <v>0</v>
      </c>
      <c r="H26" s="182">
        <f>PRODUCT('Rollen-Prozess-Matrix'!L24,'Kompetenz-Prozess-Matrix'!D28)</f>
        <v>3</v>
      </c>
      <c r="I26" s="182">
        <f>PRODUCT('Rollen-Prozess-Matrix'!M24,'Kompetenz-Prozess-Matrix'!D28)</f>
        <v>0</v>
      </c>
      <c r="J26" s="182">
        <f>PRODUCT('Rollen-Prozess-Matrix'!N24,'Kompetenz-Prozess-Matrix'!D28)</f>
        <v>2</v>
      </c>
      <c r="K26" s="182">
        <f>PRODUCT('Rollen-Prozess-Matrix'!O24,'Kompetenz-Prozess-Matrix'!D28)</f>
        <v>2</v>
      </c>
      <c r="L26" s="182">
        <f>PRODUCT('Rollen-Prozess-Matrix'!P24,'Kompetenz-Prozess-Matrix'!D28)</f>
        <v>0</v>
      </c>
      <c r="M26" s="182">
        <f>PRODUCT('Rollen-Prozess-Matrix'!Q24,'Kompetenz-Prozess-Matrix'!D28)</f>
        <v>2</v>
      </c>
      <c r="N26" s="182">
        <f>PRODUCT('Rollen-Prozess-Matrix'!R24,'Kompetenz-Prozess-Matrix'!D28)</f>
        <v>0</v>
      </c>
      <c r="O26" s="182">
        <f>PRODUCT('Rollen-Prozess-Matrix'!S24,'Kompetenz-Prozess-Matrix'!D28)</f>
        <v>0</v>
      </c>
      <c r="P26" s="182">
        <f>PRODUCT('Rollen-Prozess-Matrix'!T24,'Kompetenz-Prozess-Matrix'!D28)</f>
        <v>0</v>
      </c>
      <c r="Q26" s="200">
        <f>PRODUCT('Rollen-Prozess-Matrix'!U24,'Kompetenz-Prozess-Matrix'!D28)</f>
        <v>0</v>
      </c>
    </row>
    <row r="27" spans="1:17" ht="12.6" customHeight="1" outlineLevel="1" x14ac:dyDescent="0.35">
      <c r="A27" s="333"/>
      <c r="B27" s="339"/>
      <c r="C27" s="180" t="s">
        <v>223</v>
      </c>
      <c r="D27" s="182">
        <f>PRODUCT('Rollen-Prozess-Matrix'!H25,'Kompetenz-Prozess-Matrix'!D29)</f>
        <v>0</v>
      </c>
      <c r="E27" s="182">
        <f>PRODUCT('Rollen-Prozess-Matrix'!I25,'Kompetenz-Prozess-Matrix'!D29)</f>
        <v>1</v>
      </c>
      <c r="F27" s="182">
        <f>PRODUCT('Rollen-Prozess-Matrix'!J25,'Kompetenz-Prozess-Matrix'!D29)</f>
        <v>0</v>
      </c>
      <c r="G27" s="182">
        <f>PRODUCT('Rollen-Prozess-Matrix'!K25,'Kompetenz-Prozess-Matrix'!D29)</f>
        <v>0</v>
      </c>
      <c r="H27" s="182">
        <f>PRODUCT('Rollen-Prozess-Matrix'!L25,'Kompetenz-Prozess-Matrix'!D29)</f>
        <v>3</v>
      </c>
      <c r="I27" s="182">
        <f>PRODUCT('Rollen-Prozess-Matrix'!M25,'Kompetenz-Prozess-Matrix'!D29)</f>
        <v>0</v>
      </c>
      <c r="J27" s="182">
        <f>PRODUCT('Rollen-Prozess-Matrix'!N25,'Kompetenz-Prozess-Matrix'!D29)</f>
        <v>0</v>
      </c>
      <c r="K27" s="182">
        <f>PRODUCT('Rollen-Prozess-Matrix'!O25,'Kompetenz-Prozess-Matrix'!D29)</f>
        <v>1</v>
      </c>
      <c r="L27" s="182">
        <f>PRODUCT('Rollen-Prozess-Matrix'!P25,'Kompetenz-Prozess-Matrix'!D29)</f>
        <v>1</v>
      </c>
      <c r="M27" s="182">
        <f>PRODUCT('Rollen-Prozess-Matrix'!Q25,'Kompetenz-Prozess-Matrix'!D29)</f>
        <v>2</v>
      </c>
      <c r="N27" s="182">
        <f>PRODUCT('Rollen-Prozess-Matrix'!R25,'Kompetenz-Prozess-Matrix'!D29)</f>
        <v>0</v>
      </c>
      <c r="O27" s="182">
        <f>PRODUCT('Rollen-Prozess-Matrix'!S25,'Kompetenz-Prozess-Matrix'!D29)</f>
        <v>0</v>
      </c>
      <c r="P27" s="182">
        <f>PRODUCT('Rollen-Prozess-Matrix'!T25,'Kompetenz-Prozess-Matrix'!D29)</f>
        <v>0</v>
      </c>
      <c r="Q27" s="200">
        <f>PRODUCT('Rollen-Prozess-Matrix'!U25,'Kompetenz-Prozess-Matrix'!D29)</f>
        <v>0</v>
      </c>
    </row>
    <row r="28" spans="1:17" ht="12.6" customHeight="1" outlineLevel="1" x14ac:dyDescent="0.35">
      <c r="A28" s="333"/>
      <c r="B28" s="339"/>
      <c r="C28" s="180" t="s">
        <v>229</v>
      </c>
      <c r="D28" s="182">
        <f>PRODUCT('Rollen-Prozess-Matrix'!H26,'Kompetenz-Prozess-Matrix'!D30)</f>
        <v>0</v>
      </c>
      <c r="E28" s="182">
        <f>PRODUCT('Rollen-Prozess-Matrix'!I26,'Kompetenz-Prozess-Matrix'!D30)</f>
        <v>1</v>
      </c>
      <c r="F28" s="182">
        <f>PRODUCT('Rollen-Prozess-Matrix'!J26,'Kompetenz-Prozess-Matrix'!D30)</f>
        <v>0</v>
      </c>
      <c r="G28" s="182">
        <f>PRODUCT('Rollen-Prozess-Matrix'!K26,'Kompetenz-Prozess-Matrix'!D30)</f>
        <v>0</v>
      </c>
      <c r="H28" s="182">
        <f>PRODUCT('Rollen-Prozess-Matrix'!L26,'Kompetenz-Prozess-Matrix'!D30)</f>
        <v>3</v>
      </c>
      <c r="I28" s="182">
        <f>PRODUCT('Rollen-Prozess-Matrix'!M26,'Kompetenz-Prozess-Matrix'!D30)</f>
        <v>1</v>
      </c>
      <c r="J28" s="182">
        <f>PRODUCT('Rollen-Prozess-Matrix'!N26,'Kompetenz-Prozess-Matrix'!D30)</f>
        <v>1</v>
      </c>
      <c r="K28" s="182">
        <f>PRODUCT('Rollen-Prozess-Matrix'!O26,'Kompetenz-Prozess-Matrix'!D30)</f>
        <v>0</v>
      </c>
      <c r="L28" s="182">
        <f>PRODUCT('Rollen-Prozess-Matrix'!P26,'Kompetenz-Prozess-Matrix'!D30)</f>
        <v>2</v>
      </c>
      <c r="M28" s="182">
        <f>PRODUCT('Rollen-Prozess-Matrix'!Q26,'Kompetenz-Prozess-Matrix'!D30)</f>
        <v>0</v>
      </c>
      <c r="N28" s="182">
        <f>PRODUCT('Rollen-Prozess-Matrix'!R26,'Kompetenz-Prozess-Matrix'!D30)</f>
        <v>0</v>
      </c>
      <c r="O28" s="182">
        <f>PRODUCT('Rollen-Prozess-Matrix'!S26,'Kompetenz-Prozess-Matrix'!D30)</f>
        <v>1</v>
      </c>
      <c r="P28" s="182">
        <f>PRODUCT('Rollen-Prozess-Matrix'!T26,'Kompetenz-Prozess-Matrix'!D30)</f>
        <v>0</v>
      </c>
      <c r="Q28" s="200">
        <f>PRODUCT('Rollen-Prozess-Matrix'!U26,'Kompetenz-Prozess-Matrix'!D30)</f>
        <v>0</v>
      </c>
    </row>
    <row r="29" spans="1:17" ht="12.6" customHeight="1" outlineLevel="1" x14ac:dyDescent="0.35">
      <c r="A29" s="333"/>
      <c r="B29" s="339"/>
      <c r="C29" s="180" t="s">
        <v>235</v>
      </c>
      <c r="D29" s="182">
        <f>PRODUCT('Rollen-Prozess-Matrix'!H27,'Kompetenz-Prozess-Matrix'!D31)</f>
        <v>2</v>
      </c>
      <c r="E29" s="182">
        <f>PRODUCT('Rollen-Prozess-Matrix'!I27,'Kompetenz-Prozess-Matrix'!D31)</f>
        <v>2</v>
      </c>
      <c r="F29" s="182">
        <f>PRODUCT('Rollen-Prozess-Matrix'!J27,'Kompetenz-Prozess-Matrix'!D31)</f>
        <v>0</v>
      </c>
      <c r="G29" s="182">
        <f>PRODUCT('Rollen-Prozess-Matrix'!K27,'Kompetenz-Prozess-Matrix'!D31)</f>
        <v>0</v>
      </c>
      <c r="H29" s="182">
        <f>PRODUCT('Rollen-Prozess-Matrix'!L27,'Kompetenz-Prozess-Matrix'!D31)</f>
        <v>3</v>
      </c>
      <c r="I29" s="182">
        <f>PRODUCT('Rollen-Prozess-Matrix'!M27,'Kompetenz-Prozess-Matrix'!D31)</f>
        <v>0</v>
      </c>
      <c r="J29" s="182">
        <f>PRODUCT('Rollen-Prozess-Matrix'!N27,'Kompetenz-Prozess-Matrix'!D31)</f>
        <v>0</v>
      </c>
      <c r="K29" s="182">
        <f>PRODUCT('Rollen-Prozess-Matrix'!O27,'Kompetenz-Prozess-Matrix'!D31)</f>
        <v>2</v>
      </c>
      <c r="L29" s="182">
        <f>PRODUCT('Rollen-Prozess-Matrix'!P27,'Kompetenz-Prozess-Matrix'!D31)</f>
        <v>0</v>
      </c>
      <c r="M29" s="182">
        <f>PRODUCT('Rollen-Prozess-Matrix'!Q27,'Kompetenz-Prozess-Matrix'!D31)</f>
        <v>0</v>
      </c>
      <c r="N29" s="182">
        <f>PRODUCT('Rollen-Prozess-Matrix'!R27,'Kompetenz-Prozess-Matrix'!D31)</f>
        <v>2</v>
      </c>
      <c r="O29" s="182">
        <f>PRODUCT('Rollen-Prozess-Matrix'!S27,'Kompetenz-Prozess-Matrix'!D31)</f>
        <v>0</v>
      </c>
      <c r="P29" s="182">
        <f>PRODUCT('Rollen-Prozess-Matrix'!T27,'Kompetenz-Prozess-Matrix'!D31)</f>
        <v>0</v>
      </c>
      <c r="Q29" s="200">
        <f>PRODUCT('Rollen-Prozess-Matrix'!U27,'Kompetenz-Prozess-Matrix'!D31)</f>
        <v>0</v>
      </c>
    </row>
    <row r="30" spans="1:17" ht="12.6" customHeight="1" outlineLevel="1" x14ac:dyDescent="0.35">
      <c r="A30" s="333"/>
      <c r="B30" s="339"/>
      <c r="C30" s="180" t="s">
        <v>242</v>
      </c>
      <c r="D30" s="182">
        <f>PRODUCT('Rollen-Prozess-Matrix'!H28,'Kompetenz-Prozess-Matrix'!D32)</f>
        <v>2</v>
      </c>
      <c r="E30" s="182">
        <f>PRODUCT('Rollen-Prozess-Matrix'!I28,'Kompetenz-Prozess-Matrix'!D32)</f>
        <v>2</v>
      </c>
      <c r="F30" s="182">
        <f>PRODUCT('Rollen-Prozess-Matrix'!J28,'Kompetenz-Prozess-Matrix'!D32)</f>
        <v>0</v>
      </c>
      <c r="G30" s="182">
        <f>PRODUCT('Rollen-Prozess-Matrix'!K28,'Kompetenz-Prozess-Matrix'!D32)</f>
        <v>0</v>
      </c>
      <c r="H30" s="182">
        <f>PRODUCT('Rollen-Prozess-Matrix'!L28,'Kompetenz-Prozess-Matrix'!D32)</f>
        <v>6</v>
      </c>
      <c r="I30" s="182">
        <f>PRODUCT('Rollen-Prozess-Matrix'!M28,'Kompetenz-Prozess-Matrix'!D32)</f>
        <v>0</v>
      </c>
      <c r="J30" s="182">
        <f>PRODUCT('Rollen-Prozess-Matrix'!N28,'Kompetenz-Prozess-Matrix'!D32)</f>
        <v>0</v>
      </c>
      <c r="K30" s="182">
        <f>PRODUCT('Rollen-Prozess-Matrix'!O28,'Kompetenz-Prozess-Matrix'!D32)</f>
        <v>0</v>
      </c>
      <c r="L30" s="182">
        <f>PRODUCT('Rollen-Prozess-Matrix'!P28,'Kompetenz-Prozess-Matrix'!D32)</f>
        <v>4</v>
      </c>
      <c r="M30" s="182">
        <f>PRODUCT('Rollen-Prozess-Matrix'!Q28,'Kompetenz-Prozess-Matrix'!D32)</f>
        <v>0</v>
      </c>
      <c r="N30" s="182">
        <f>PRODUCT('Rollen-Prozess-Matrix'!R28,'Kompetenz-Prozess-Matrix'!D32)</f>
        <v>0</v>
      </c>
      <c r="O30" s="182">
        <f>PRODUCT('Rollen-Prozess-Matrix'!S28,'Kompetenz-Prozess-Matrix'!D32)</f>
        <v>2</v>
      </c>
      <c r="P30" s="182">
        <f>PRODUCT('Rollen-Prozess-Matrix'!T28,'Kompetenz-Prozess-Matrix'!D32)</f>
        <v>0</v>
      </c>
      <c r="Q30" s="200">
        <f>PRODUCT('Rollen-Prozess-Matrix'!U28,'Kompetenz-Prozess-Matrix'!D32)</f>
        <v>0</v>
      </c>
    </row>
    <row r="31" spans="1:17" ht="12.6" customHeight="1" outlineLevel="1" x14ac:dyDescent="0.35">
      <c r="A31" s="333"/>
      <c r="B31" s="339"/>
      <c r="C31" s="180" t="s">
        <v>248</v>
      </c>
      <c r="D31" s="182">
        <f>PRODUCT('Rollen-Prozess-Matrix'!H29,'Kompetenz-Prozess-Matrix'!D33)</f>
        <v>2</v>
      </c>
      <c r="E31" s="182">
        <f>PRODUCT('Rollen-Prozess-Matrix'!I29,'Kompetenz-Prozess-Matrix'!D33)</f>
        <v>0</v>
      </c>
      <c r="F31" s="182">
        <f>PRODUCT('Rollen-Prozess-Matrix'!J29,'Kompetenz-Prozess-Matrix'!D33)</f>
        <v>0</v>
      </c>
      <c r="G31" s="182">
        <f>PRODUCT('Rollen-Prozess-Matrix'!K29,'Kompetenz-Prozess-Matrix'!D33)</f>
        <v>0</v>
      </c>
      <c r="H31" s="182">
        <f>PRODUCT('Rollen-Prozess-Matrix'!L29,'Kompetenz-Prozess-Matrix'!D33)</f>
        <v>3</v>
      </c>
      <c r="I31" s="182">
        <f>PRODUCT('Rollen-Prozess-Matrix'!M29,'Kompetenz-Prozess-Matrix'!D33)</f>
        <v>1</v>
      </c>
      <c r="J31" s="182">
        <f>PRODUCT('Rollen-Prozess-Matrix'!N29,'Kompetenz-Prozess-Matrix'!D33)</f>
        <v>0</v>
      </c>
      <c r="K31" s="182">
        <f>PRODUCT('Rollen-Prozess-Matrix'!O29,'Kompetenz-Prozess-Matrix'!D33)</f>
        <v>0</v>
      </c>
      <c r="L31" s="182">
        <f>PRODUCT('Rollen-Prozess-Matrix'!P29,'Kompetenz-Prozess-Matrix'!D33)</f>
        <v>0</v>
      </c>
      <c r="M31" s="182">
        <f>PRODUCT('Rollen-Prozess-Matrix'!Q29,'Kompetenz-Prozess-Matrix'!D33)</f>
        <v>0</v>
      </c>
      <c r="N31" s="182">
        <f>PRODUCT('Rollen-Prozess-Matrix'!R29,'Kompetenz-Prozess-Matrix'!D33)</f>
        <v>1</v>
      </c>
      <c r="O31" s="182">
        <f>PRODUCT('Rollen-Prozess-Matrix'!S29,'Kompetenz-Prozess-Matrix'!D33)</f>
        <v>0</v>
      </c>
      <c r="P31" s="182">
        <f>PRODUCT('Rollen-Prozess-Matrix'!T29,'Kompetenz-Prozess-Matrix'!D33)</f>
        <v>0</v>
      </c>
      <c r="Q31" s="200">
        <f>PRODUCT('Rollen-Prozess-Matrix'!U29,'Kompetenz-Prozess-Matrix'!D33)</f>
        <v>0</v>
      </c>
    </row>
    <row r="32" spans="1:17" ht="12.6" customHeight="1" outlineLevel="1" x14ac:dyDescent="0.35">
      <c r="A32" s="333"/>
      <c r="B32" s="339"/>
      <c r="C32" s="180" t="s">
        <v>255</v>
      </c>
      <c r="D32" s="182">
        <f>PRODUCT('Rollen-Prozess-Matrix'!H30,'Kompetenz-Prozess-Matrix'!D34)</f>
        <v>2</v>
      </c>
      <c r="E32" s="182">
        <f>PRODUCT('Rollen-Prozess-Matrix'!I30,'Kompetenz-Prozess-Matrix'!D34)</f>
        <v>0</v>
      </c>
      <c r="F32" s="182">
        <f>PRODUCT('Rollen-Prozess-Matrix'!J30,'Kompetenz-Prozess-Matrix'!D34)</f>
        <v>0</v>
      </c>
      <c r="G32" s="182">
        <f>PRODUCT('Rollen-Prozess-Matrix'!K30,'Kompetenz-Prozess-Matrix'!D34)</f>
        <v>0</v>
      </c>
      <c r="H32" s="182">
        <f>PRODUCT('Rollen-Prozess-Matrix'!L30,'Kompetenz-Prozess-Matrix'!D34)</f>
        <v>3</v>
      </c>
      <c r="I32" s="182">
        <f>PRODUCT('Rollen-Prozess-Matrix'!M30,'Kompetenz-Prozess-Matrix'!D34)</f>
        <v>1</v>
      </c>
      <c r="J32" s="182">
        <f>PRODUCT('Rollen-Prozess-Matrix'!N30,'Kompetenz-Prozess-Matrix'!D34)</f>
        <v>0</v>
      </c>
      <c r="K32" s="182">
        <f>PRODUCT('Rollen-Prozess-Matrix'!O30,'Kompetenz-Prozess-Matrix'!D34)</f>
        <v>0</v>
      </c>
      <c r="L32" s="182">
        <f>PRODUCT('Rollen-Prozess-Matrix'!P30,'Kompetenz-Prozess-Matrix'!D34)</f>
        <v>0</v>
      </c>
      <c r="M32" s="182">
        <f>PRODUCT('Rollen-Prozess-Matrix'!Q30,'Kompetenz-Prozess-Matrix'!D34)</f>
        <v>0</v>
      </c>
      <c r="N32" s="182">
        <f>PRODUCT('Rollen-Prozess-Matrix'!R30,'Kompetenz-Prozess-Matrix'!D34)</f>
        <v>2</v>
      </c>
      <c r="O32" s="182">
        <f>PRODUCT('Rollen-Prozess-Matrix'!S30,'Kompetenz-Prozess-Matrix'!D34)</f>
        <v>0</v>
      </c>
      <c r="P32" s="182">
        <f>PRODUCT('Rollen-Prozess-Matrix'!T30,'Kompetenz-Prozess-Matrix'!D34)</f>
        <v>0</v>
      </c>
      <c r="Q32" s="200">
        <f>PRODUCT('Rollen-Prozess-Matrix'!U30,'Kompetenz-Prozess-Matrix'!D34)</f>
        <v>0</v>
      </c>
    </row>
    <row r="33" spans="1:31" ht="12.6" customHeight="1" outlineLevel="1" x14ac:dyDescent="0.35">
      <c r="A33" s="333"/>
      <c r="B33" s="339"/>
      <c r="C33" s="180" t="s">
        <v>261</v>
      </c>
      <c r="D33" s="182">
        <f>PRODUCT('Rollen-Prozess-Matrix'!H31,'Kompetenz-Prozess-Matrix'!D35)</f>
        <v>2</v>
      </c>
      <c r="E33" s="182">
        <f>PRODUCT('Rollen-Prozess-Matrix'!I31,'Kompetenz-Prozess-Matrix'!D35)</f>
        <v>0</v>
      </c>
      <c r="F33" s="182">
        <f>PRODUCT('Rollen-Prozess-Matrix'!J31,'Kompetenz-Prozess-Matrix'!D35)</f>
        <v>0</v>
      </c>
      <c r="G33" s="182">
        <f>PRODUCT('Rollen-Prozess-Matrix'!K31,'Kompetenz-Prozess-Matrix'!D35)</f>
        <v>0</v>
      </c>
      <c r="H33" s="182">
        <f>PRODUCT('Rollen-Prozess-Matrix'!L31,'Kompetenz-Prozess-Matrix'!D35)</f>
        <v>3</v>
      </c>
      <c r="I33" s="182">
        <f>PRODUCT('Rollen-Prozess-Matrix'!M31,'Kompetenz-Prozess-Matrix'!D35)</f>
        <v>0</v>
      </c>
      <c r="J33" s="182">
        <f>PRODUCT('Rollen-Prozess-Matrix'!N31,'Kompetenz-Prozess-Matrix'!D35)</f>
        <v>0</v>
      </c>
      <c r="K33" s="182">
        <f>PRODUCT('Rollen-Prozess-Matrix'!O31,'Kompetenz-Prozess-Matrix'!D35)</f>
        <v>0</v>
      </c>
      <c r="L33" s="182">
        <f>PRODUCT('Rollen-Prozess-Matrix'!P31,'Kompetenz-Prozess-Matrix'!D35)</f>
        <v>0</v>
      </c>
      <c r="M33" s="182">
        <f>PRODUCT('Rollen-Prozess-Matrix'!Q31,'Kompetenz-Prozess-Matrix'!D35)</f>
        <v>0</v>
      </c>
      <c r="N33" s="182">
        <f>PRODUCT('Rollen-Prozess-Matrix'!R31,'Kompetenz-Prozess-Matrix'!D35)</f>
        <v>1</v>
      </c>
      <c r="O33" s="182">
        <f>PRODUCT('Rollen-Prozess-Matrix'!S31,'Kompetenz-Prozess-Matrix'!D35)</f>
        <v>0</v>
      </c>
      <c r="P33" s="182">
        <f>PRODUCT('Rollen-Prozess-Matrix'!T31,'Kompetenz-Prozess-Matrix'!D35)</f>
        <v>0</v>
      </c>
      <c r="Q33" s="200">
        <f>PRODUCT('Rollen-Prozess-Matrix'!U31,'Kompetenz-Prozess-Matrix'!D35)</f>
        <v>0</v>
      </c>
    </row>
    <row r="34" spans="1:31" ht="12.6" customHeight="1" outlineLevel="1" x14ac:dyDescent="0.35">
      <c r="A34" s="333"/>
      <c r="B34" s="339"/>
      <c r="C34" s="180" t="s">
        <v>264</v>
      </c>
      <c r="D34" s="182">
        <f>PRODUCT('Rollen-Prozess-Matrix'!H32,'Kompetenz-Prozess-Matrix'!D36)</f>
        <v>0</v>
      </c>
      <c r="E34" s="182">
        <f>PRODUCT('Rollen-Prozess-Matrix'!I32,'Kompetenz-Prozess-Matrix'!D36)</f>
        <v>0</v>
      </c>
      <c r="F34" s="182">
        <f>PRODUCT('Rollen-Prozess-Matrix'!J32,'Kompetenz-Prozess-Matrix'!D36)</f>
        <v>0</v>
      </c>
      <c r="G34" s="182">
        <f>PRODUCT('Rollen-Prozess-Matrix'!K32,'Kompetenz-Prozess-Matrix'!D36)</f>
        <v>4</v>
      </c>
      <c r="H34" s="182">
        <f>PRODUCT('Rollen-Prozess-Matrix'!L32,'Kompetenz-Prozess-Matrix'!D36)</f>
        <v>2</v>
      </c>
      <c r="I34" s="182">
        <f>PRODUCT('Rollen-Prozess-Matrix'!M32,'Kompetenz-Prozess-Matrix'!D36)</f>
        <v>0</v>
      </c>
      <c r="J34" s="182">
        <f>PRODUCT('Rollen-Prozess-Matrix'!N32,'Kompetenz-Prozess-Matrix'!D36)</f>
        <v>0</v>
      </c>
      <c r="K34" s="182">
        <f>PRODUCT('Rollen-Prozess-Matrix'!O32,'Kompetenz-Prozess-Matrix'!D36)</f>
        <v>0</v>
      </c>
      <c r="L34" s="182">
        <f>PRODUCT('Rollen-Prozess-Matrix'!P32,'Kompetenz-Prozess-Matrix'!D36)</f>
        <v>0</v>
      </c>
      <c r="M34" s="182">
        <f>PRODUCT('Rollen-Prozess-Matrix'!Q32,'Kompetenz-Prozess-Matrix'!D36)</f>
        <v>0</v>
      </c>
      <c r="N34" s="182">
        <f>PRODUCT('Rollen-Prozess-Matrix'!R32,'Kompetenz-Prozess-Matrix'!D36)</f>
        <v>0</v>
      </c>
      <c r="O34" s="182">
        <f>PRODUCT('Rollen-Prozess-Matrix'!S32,'Kompetenz-Prozess-Matrix'!D36)</f>
        <v>0</v>
      </c>
      <c r="P34" s="182">
        <f>PRODUCT('Rollen-Prozess-Matrix'!T32,'Kompetenz-Prozess-Matrix'!D36)</f>
        <v>0</v>
      </c>
      <c r="Q34" s="200">
        <f>PRODUCT('Rollen-Prozess-Matrix'!U32,'Kompetenz-Prozess-Matrix'!D36)</f>
        <v>0</v>
      </c>
    </row>
    <row r="35" spans="1:31" ht="12.6" customHeight="1" outlineLevel="1" x14ac:dyDescent="0.35">
      <c r="A35" s="333"/>
      <c r="B35" s="339"/>
      <c r="C35" s="180" t="s">
        <v>266</v>
      </c>
      <c r="D35" s="182">
        <f>PRODUCT('Rollen-Prozess-Matrix'!H33,'Kompetenz-Prozess-Matrix'!D37)</f>
        <v>0</v>
      </c>
      <c r="E35" s="182">
        <f>PRODUCT('Rollen-Prozess-Matrix'!I33,'Kompetenz-Prozess-Matrix'!D37)</f>
        <v>0</v>
      </c>
      <c r="F35" s="182">
        <f>PRODUCT('Rollen-Prozess-Matrix'!J33,'Kompetenz-Prozess-Matrix'!D37)</f>
        <v>0</v>
      </c>
      <c r="G35" s="182">
        <f>PRODUCT('Rollen-Prozess-Matrix'!K33,'Kompetenz-Prozess-Matrix'!D37)</f>
        <v>0</v>
      </c>
      <c r="H35" s="182">
        <f>PRODUCT('Rollen-Prozess-Matrix'!L33,'Kompetenz-Prozess-Matrix'!D37)</f>
        <v>0</v>
      </c>
      <c r="I35" s="182">
        <f>PRODUCT('Rollen-Prozess-Matrix'!M33,'Kompetenz-Prozess-Matrix'!D37)</f>
        <v>0</v>
      </c>
      <c r="J35" s="182">
        <f>PRODUCT('Rollen-Prozess-Matrix'!N33,'Kompetenz-Prozess-Matrix'!D37)</f>
        <v>0</v>
      </c>
      <c r="K35" s="182">
        <f>PRODUCT('Rollen-Prozess-Matrix'!O33,'Kompetenz-Prozess-Matrix'!D37)</f>
        <v>0</v>
      </c>
      <c r="L35" s="182">
        <f>PRODUCT('Rollen-Prozess-Matrix'!P33,'Kompetenz-Prozess-Matrix'!D37)</f>
        <v>0</v>
      </c>
      <c r="M35" s="182">
        <f>PRODUCT('Rollen-Prozess-Matrix'!Q33,'Kompetenz-Prozess-Matrix'!D37)</f>
        <v>0</v>
      </c>
      <c r="N35" s="182">
        <f>PRODUCT('Rollen-Prozess-Matrix'!R33,'Kompetenz-Prozess-Matrix'!D37)</f>
        <v>0</v>
      </c>
      <c r="O35" s="182">
        <f>PRODUCT('Rollen-Prozess-Matrix'!S33,'Kompetenz-Prozess-Matrix'!D37)</f>
        <v>0</v>
      </c>
      <c r="P35" s="182">
        <f>PRODUCT('Rollen-Prozess-Matrix'!T33,'Kompetenz-Prozess-Matrix'!D37)</f>
        <v>0</v>
      </c>
      <c r="Q35" s="200">
        <f>PRODUCT('Rollen-Prozess-Matrix'!U33,'Kompetenz-Prozess-Matrix'!D37)</f>
        <v>0</v>
      </c>
    </row>
    <row r="36" spans="1:31" ht="13.35" customHeight="1" outlineLevel="1" thickBot="1" x14ac:dyDescent="0.4">
      <c r="A36" s="333"/>
      <c r="B36" s="340"/>
      <c r="C36" s="181" t="s">
        <v>289</v>
      </c>
      <c r="D36" s="182">
        <f>PRODUCT('Rollen-Prozess-Matrix'!H34,'Kompetenz-Prozess-Matrix'!D38)</f>
        <v>0</v>
      </c>
      <c r="E36" s="182">
        <f>PRODUCT('Rollen-Prozess-Matrix'!I34,'Kompetenz-Prozess-Matrix'!D38)</f>
        <v>0</v>
      </c>
      <c r="F36" s="182">
        <f>PRODUCT('Rollen-Prozess-Matrix'!J34,'Kompetenz-Prozess-Matrix'!D38)</f>
        <v>0</v>
      </c>
      <c r="G36" s="182">
        <f>PRODUCT('Rollen-Prozess-Matrix'!K34,'Kompetenz-Prozess-Matrix'!D38)</f>
        <v>4</v>
      </c>
      <c r="H36" s="182">
        <f>PRODUCT('Rollen-Prozess-Matrix'!L34,'Kompetenz-Prozess-Matrix'!D38)</f>
        <v>0</v>
      </c>
      <c r="I36" s="182">
        <f>PRODUCT('Rollen-Prozess-Matrix'!M34,'Kompetenz-Prozess-Matrix'!D38)</f>
        <v>0</v>
      </c>
      <c r="J36" s="182">
        <f>PRODUCT('Rollen-Prozess-Matrix'!N34,'Kompetenz-Prozess-Matrix'!D38)</f>
        <v>0</v>
      </c>
      <c r="K36" s="182">
        <f>PRODUCT('Rollen-Prozess-Matrix'!O34,'Kompetenz-Prozess-Matrix'!D38)</f>
        <v>0</v>
      </c>
      <c r="L36" s="182">
        <f>PRODUCT('Rollen-Prozess-Matrix'!P34,'Kompetenz-Prozess-Matrix'!D38)</f>
        <v>0</v>
      </c>
      <c r="M36" s="182">
        <f>PRODUCT('Rollen-Prozess-Matrix'!Q34,'Kompetenz-Prozess-Matrix'!D38)</f>
        <v>0</v>
      </c>
      <c r="N36" s="182">
        <f>PRODUCT('Rollen-Prozess-Matrix'!R34,'Kompetenz-Prozess-Matrix'!D38)</f>
        <v>0</v>
      </c>
      <c r="O36" s="182">
        <f>PRODUCT('Rollen-Prozess-Matrix'!S34,'Kompetenz-Prozess-Matrix'!D38)</f>
        <v>0</v>
      </c>
      <c r="P36" s="182">
        <f>PRODUCT('Rollen-Prozess-Matrix'!T34,'Kompetenz-Prozess-Matrix'!D38)</f>
        <v>0</v>
      </c>
      <c r="Q36" s="200">
        <f>PRODUCT('Rollen-Prozess-Matrix'!U34,'Kompetenz-Prozess-Matrix'!D38)</f>
        <v>0</v>
      </c>
    </row>
    <row r="37" spans="1:31" ht="12.6" customHeight="1" thickBot="1" x14ac:dyDescent="0.4">
      <c r="A37" s="333"/>
      <c r="B37" s="338" t="s">
        <v>23</v>
      </c>
      <c r="C37" s="178"/>
      <c r="D37" s="184">
        <f>MAX(D38:D70)</f>
        <v>2</v>
      </c>
      <c r="E37" s="184">
        <f t="shared" ref="E37" si="1">MAX(E38:E70)</f>
        <v>4</v>
      </c>
      <c r="F37" s="184">
        <f t="shared" ref="F37" si="2">MAX(F38:F70)</f>
        <v>4</v>
      </c>
      <c r="G37" s="184">
        <f t="shared" ref="G37" si="3">MAX(G38:G70)</f>
        <v>4</v>
      </c>
      <c r="H37" s="184">
        <f t="shared" ref="H37" si="4">MAX(H38:H70)</f>
        <v>6</v>
      </c>
      <c r="I37" s="184">
        <f t="shared" ref="I37" si="5">MAX(I38:I70)</f>
        <v>4</v>
      </c>
      <c r="J37" s="184">
        <f t="shared" ref="J37" si="6">MAX(J38:J70)</f>
        <v>4</v>
      </c>
      <c r="K37" s="184">
        <f t="shared" ref="K37" si="7">MAX(K38:K70)</f>
        <v>2</v>
      </c>
      <c r="L37" s="184">
        <f t="shared" ref="L37" si="8">MAX(L38:L70)</f>
        <v>4</v>
      </c>
      <c r="M37" s="184">
        <f t="shared" ref="M37" si="9">MAX(M38:M70)</f>
        <v>2</v>
      </c>
      <c r="N37" s="184">
        <f t="shared" ref="N37" si="10">MAX(N38:N70)</f>
        <v>2</v>
      </c>
      <c r="O37" s="184">
        <f t="shared" ref="O37" si="11">MAX(O38:O70)</f>
        <v>2</v>
      </c>
      <c r="P37" s="184">
        <f t="shared" ref="P37" si="12">MAX(P38:P70)</f>
        <v>4</v>
      </c>
      <c r="Q37" s="199">
        <f t="shared" ref="Q37" si="13">MAX(Q38:Q70)</f>
        <v>2</v>
      </c>
      <c r="S37">
        <v>1</v>
      </c>
    </row>
    <row r="38" spans="1:31" ht="12.6" customHeight="1" outlineLevel="1" x14ac:dyDescent="0.35">
      <c r="A38" s="333"/>
      <c r="B38" s="339"/>
      <c r="C38" s="179" t="s">
        <v>123</v>
      </c>
      <c r="D38" s="182">
        <f>PRODUCT('Rollen-Prozess-Matrix'!H2,'Kompetenz-Prozess-Matrix'!E6)</f>
        <v>0</v>
      </c>
      <c r="E38" s="182">
        <f>PRODUCT('Rollen-Prozess-Matrix'!I2,'Kompetenz-Prozess-Matrix'!E6)</f>
        <v>0</v>
      </c>
      <c r="F38" s="183">
        <f>PRODUCT('Rollen-Prozess-Matrix'!J2,'Kompetenz-Prozess-Matrix'!E6)</f>
        <v>0</v>
      </c>
      <c r="G38" s="183">
        <f>PRODUCT('Rollen-Prozess-Matrix'!K2,'Kompetenz-Prozess-Matrix'!E6)</f>
        <v>0</v>
      </c>
      <c r="H38" s="183">
        <f>PRODUCT('Rollen-Prozess-Matrix'!L2,'Kompetenz-Prozess-Matrix'!E6)</f>
        <v>0</v>
      </c>
      <c r="I38" s="183">
        <f>PRODUCT('Rollen-Prozess-Matrix'!M2,'Kompetenz-Prozess-Matrix'!E6)</f>
        <v>0</v>
      </c>
      <c r="J38" s="183">
        <f>PRODUCT('Rollen-Prozess-Matrix'!N2,'Kompetenz-Prozess-Matrix'!E6)</f>
        <v>0</v>
      </c>
      <c r="K38" s="183">
        <f>PRODUCT('Rollen-Prozess-Matrix'!O2,'Kompetenz-Prozess-Matrix'!E6)</f>
        <v>0</v>
      </c>
      <c r="L38" s="183">
        <f>PRODUCT('Rollen-Prozess-Matrix'!P2,'Kompetenz-Prozess-Matrix'!E6)</f>
        <v>0</v>
      </c>
      <c r="M38" s="183">
        <f>PRODUCT('Rollen-Prozess-Matrix'!Q2,'Kompetenz-Prozess-Matrix'!E6)</f>
        <v>0</v>
      </c>
      <c r="N38" s="183">
        <f>PRODUCT('Rollen-Prozess-Matrix'!R2,'Kompetenz-Prozess-Matrix'!E6)</f>
        <v>0</v>
      </c>
      <c r="O38" s="183">
        <f>PRODUCT('Rollen-Prozess-Matrix'!S2,'Kompetenz-Prozess-Matrix'!E6)</f>
        <v>0</v>
      </c>
      <c r="P38" s="183">
        <f>PRODUCT('Rollen-Prozess-Matrix'!T2,'Kompetenz-Prozess-Matrix'!E6)</f>
        <v>0</v>
      </c>
      <c r="Q38" s="185">
        <f>PRODUCT('Rollen-Prozess-Matrix'!U2,'Kompetenz-Prozess-Matrix'!E6)</f>
        <v>0</v>
      </c>
    </row>
    <row r="39" spans="1:31" ht="12.6" customHeight="1" outlineLevel="1" x14ac:dyDescent="0.35">
      <c r="A39" s="333"/>
      <c r="B39" s="339"/>
      <c r="C39" s="180" t="s">
        <v>127</v>
      </c>
      <c r="D39" s="182">
        <f>PRODUCT('Rollen-Prozess-Matrix'!H3,'Kompetenz-Prozess-Matrix'!E7)</f>
        <v>0</v>
      </c>
      <c r="E39" s="182">
        <f>PRODUCT('Rollen-Prozess-Matrix'!I3,'Kompetenz-Prozess-Matrix'!E7)</f>
        <v>0</v>
      </c>
      <c r="F39" s="183">
        <f>PRODUCT('Rollen-Prozess-Matrix'!J3,'Kompetenz-Prozess-Matrix'!E7)</f>
        <v>0</v>
      </c>
      <c r="G39" s="183">
        <f>PRODUCT('Rollen-Prozess-Matrix'!K3,'Kompetenz-Prozess-Matrix'!E7)</f>
        <v>0</v>
      </c>
      <c r="H39" s="183">
        <f>PRODUCT('Rollen-Prozess-Matrix'!L3,'Kompetenz-Prozess-Matrix'!E7)</f>
        <v>0</v>
      </c>
      <c r="I39" s="183">
        <f>PRODUCT('Rollen-Prozess-Matrix'!M3,'Kompetenz-Prozess-Matrix'!E7)</f>
        <v>0</v>
      </c>
      <c r="J39" s="183">
        <f>PRODUCT('Rollen-Prozess-Matrix'!N3,'Kompetenz-Prozess-Matrix'!E7)</f>
        <v>0</v>
      </c>
      <c r="K39" s="183">
        <f>PRODUCT('Rollen-Prozess-Matrix'!O3,'Kompetenz-Prozess-Matrix'!E7)</f>
        <v>0</v>
      </c>
      <c r="L39" s="183">
        <f>PRODUCT('Rollen-Prozess-Matrix'!P3,'Kompetenz-Prozess-Matrix'!E7)</f>
        <v>0</v>
      </c>
      <c r="M39" s="183">
        <f>PRODUCT('Rollen-Prozess-Matrix'!Q3,'Kompetenz-Prozess-Matrix'!E7)</f>
        <v>0</v>
      </c>
      <c r="N39" s="183">
        <f>PRODUCT('Rollen-Prozess-Matrix'!R3,'Kompetenz-Prozess-Matrix'!E7)</f>
        <v>0</v>
      </c>
      <c r="O39" s="183">
        <f>PRODUCT('Rollen-Prozess-Matrix'!S3,'Kompetenz-Prozess-Matrix'!E7)</f>
        <v>0</v>
      </c>
      <c r="P39" s="183">
        <f>PRODUCT('Rollen-Prozess-Matrix'!T3,'Kompetenz-Prozess-Matrix'!E7)</f>
        <v>0</v>
      </c>
      <c r="Q39" s="185">
        <f>PRODUCT('Rollen-Prozess-Matrix'!U3,'Kompetenz-Prozess-Matrix'!E7)</f>
        <v>0</v>
      </c>
      <c r="AE39" s="2"/>
    </row>
    <row r="40" spans="1:31" ht="12.6" customHeight="1" outlineLevel="1" x14ac:dyDescent="0.35">
      <c r="A40" s="333"/>
      <c r="B40" s="339"/>
      <c r="C40" s="180" t="s">
        <v>132</v>
      </c>
      <c r="D40" s="182">
        <f>PRODUCT('Rollen-Prozess-Matrix'!H4,'Kompetenz-Prozess-Matrix'!E8)</f>
        <v>0</v>
      </c>
      <c r="E40" s="182">
        <f>PRODUCT('Rollen-Prozess-Matrix'!I4,'Kompetenz-Prozess-Matrix'!E8)</f>
        <v>0</v>
      </c>
      <c r="F40" s="183">
        <f>PRODUCT('Rollen-Prozess-Matrix'!J4,'Kompetenz-Prozess-Matrix'!E8)</f>
        <v>0</v>
      </c>
      <c r="G40" s="183">
        <f>PRODUCT('Rollen-Prozess-Matrix'!K4,'Kompetenz-Prozess-Matrix'!E8)</f>
        <v>2</v>
      </c>
      <c r="H40" s="183">
        <f>PRODUCT('Rollen-Prozess-Matrix'!L4,'Kompetenz-Prozess-Matrix'!E8)</f>
        <v>6</v>
      </c>
      <c r="I40" s="183">
        <f>PRODUCT('Rollen-Prozess-Matrix'!M4,'Kompetenz-Prozess-Matrix'!E8)</f>
        <v>0</v>
      </c>
      <c r="J40" s="183">
        <f>PRODUCT('Rollen-Prozess-Matrix'!N4,'Kompetenz-Prozess-Matrix'!E8)</f>
        <v>0</v>
      </c>
      <c r="K40" s="183">
        <f>PRODUCT('Rollen-Prozess-Matrix'!O4,'Kompetenz-Prozess-Matrix'!E8)</f>
        <v>0</v>
      </c>
      <c r="L40" s="183">
        <f>PRODUCT('Rollen-Prozess-Matrix'!P4,'Kompetenz-Prozess-Matrix'!E8)</f>
        <v>0</v>
      </c>
      <c r="M40" s="183">
        <f>PRODUCT('Rollen-Prozess-Matrix'!Q4,'Kompetenz-Prozess-Matrix'!E8)</f>
        <v>0</v>
      </c>
      <c r="N40" s="183">
        <f>PRODUCT('Rollen-Prozess-Matrix'!R4,'Kompetenz-Prozess-Matrix'!E8)</f>
        <v>0</v>
      </c>
      <c r="O40" s="183">
        <f>PRODUCT('Rollen-Prozess-Matrix'!S4,'Kompetenz-Prozess-Matrix'!E8)</f>
        <v>0</v>
      </c>
      <c r="P40" s="183">
        <f>PRODUCT('Rollen-Prozess-Matrix'!T4,'Kompetenz-Prozess-Matrix'!E8)</f>
        <v>0</v>
      </c>
      <c r="Q40" s="185">
        <f>PRODUCT('Rollen-Prozess-Matrix'!U4,'Kompetenz-Prozess-Matrix'!E8)</f>
        <v>0</v>
      </c>
      <c r="AE40" s="2"/>
    </row>
    <row r="41" spans="1:31" ht="12.6" customHeight="1" outlineLevel="1" x14ac:dyDescent="0.35">
      <c r="A41" s="333"/>
      <c r="B41" s="339"/>
      <c r="C41" s="180" t="s">
        <v>136</v>
      </c>
      <c r="D41" s="182">
        <f>PRODUCT('Rollen-Prozess-Matrix'!H5,'Kompetenz-Prozess-Matrix'!E9)</f>
        <v>0</v>
      </c>
      <c r="E41" s="182">
        <f>PRODUCT('Rollen-Prozess-Matrix'!I5,'Kompetenz-Prozess-Matrix'!E9)</f>
        <v>0</v>
      </c>
      <c r="F41" s="183">
        <f>PRODUCT('Rollen-Prozess-Matrix'!J5,'Kompetenz-Prozess-Matrix'!E9)</f>
        <v>0</v>
      </c>
      <c r="G41" s="183">
        <f>PRODUCT('Rollen-Prozess-Matrix'!K5,'Kompetenz-Prozess-Matrix'!E9)</f>
        <v>2</v>
      </c>
      <c r="H41" s="183">
        <f>PRODUCT('Rollen-Prozess-Matrix'!L5,'Kompetenz-Prozess-Matrix'!E9)</f>
        <v>3</v>
      </c>
      <c r="I41" s="183">
        <f>PRODUCT('Rollen-Prozess-Matrix'!M5,'Kompetenz-Prozess-Matrix'!E9)</f>
        <v>0</v>
      </c>
      <c r="J41" s="183">
        <f>PRODUCT('Rollen-Prozess-Matrix'!N5,'Kompetenz-Prozess-Matrix'!E9)</f>
        <v>0</v>
      </c>
      <c r="K41" s="183">
        <f>PRODUCT('Rollen-Prozess-Matrix'!O5,'Kompetenz-Prozess-Matrix'!E9)</f>
        <v>0</v>
      </c>
      <c r="L41" s="183">
        <f>PRODUCT('Rollen-Prozess-Matrix'!P5,'Kompetenz-Prozess-Matrix'!E9)</f>
        <v>0</v>
      </c>
      <c r="M41" s="183">
        <f>PRODUCT('Rollen-Prozess-Matrix'!Q5,'Kompetenz-Prozess-Matrix'!E9)</f>
        <v>0</v>
      </c>
      <c r="N41" s="183">
        <f>PRODUCT('Rollen-Prozess-Matrix'!R5,'Kompetenz-Prozess-Matrix'!E9)</f>
        <v>0</v>
      </c>
      <c r="O41" s="183">
        <f>PRODUCT('Rollen-Prozess-Matrix'!S5,'Kompetenz-Prozess-Matrix'!E9)</f>
        <v>0</v>
      </c>
      <c r="P41" s="183">
        <f>PRODUCT('Rollen-Prozess-Matrix'!T5,'Kompetenz-Prozess-Matrix'!E9)</f>
        <v>0</v>
      </c>
      <c r="Q41" s="185">
        <f>PRODUCT('Rollen-Prozess-Matrix'!U5,'Kompetenz-Prozess-Matrix'!E9)</f>
        <v>0</v>
      </c>
      <c r="AE41" s="2"/>
    </row>
    <row r="42" spans="1:31" ht="12.6" customHeight="1" outlineLevel="1" x14ac:dyDescent="0.35">
      <c r="A42" s="333"/>
      <c r="B42" s="339"/>
      <c r="C42" s="180" t="s">
        <v>140</v>
      </c>
      <c r="D42" s="182">
        <f>PRODUCT('Rollen-Prozess-Matrix'!H6,'Kompetenz-Prozess-Matrix'!E10)</f>
        <v>0</v>
      </c>
      <c r="E42" s="182">
        <f>PRODUCT('Rollen-Prozess-Matrix'!I6,'Kompetenz-Prozess-Matrix'!E10)</f>
        <v>0</v>
      </c>
      <c r="F42" s="183">
        <f>PRODUCT('Rollen-Prozess-Matrix'!J6,'Kompetenz-Prozess-Matrix'!E10)</f>
        <v>0</v>
      </c>
      <c r="G42" s="183">
        <f>PRODUCT('Rollen-Prozess-Matrix'!K6,'Kompetenz-Prozess-Matrix'!E10)</f>
        <v>0</v>
      </c>
      <c r="H42" s="183">
        <f>PRODUCT('Rollen-Prozess-Matrix'!L6,'Kompetenz-Prozess-Matrix'!E10)</f>
        <v>0</v>
      </c>
      <c r="I42" s="183">
        <f>PRODUCT('Rollen-Prozess-Matrix'!M6,'Kompetenz-Prozess-Matrix'!E10)</f>
        <v>0</v>
      </c>
      <c r="J42" s="183">
        <f>PRODUCT('Rollen-Prozess-Matrix'!N6,'Kompetenz-Prozess-Matrix'!E10)</f>
        <v>0</v>
      </c>
      <c r="K42" s="183">
        <f>PRODUCT('Rollen-Prozess-Matrix'!O6,'Kompetenz-Prozess-Matrix'!E10)</f>
        <v>0</v>
      </c>
      <c r="L42" s="183">
        <f>PRODUCT('Rollen-Prozess-Matrix'!P6,'Kompetenz-Prozess-Matrix'!E10)</f>
        <v>0</v>
      </c>
      <c r="M42" s="183">
        <f>PRODUCT('Rollen-Prozess-Matrix'!Q6,'Kompetenz-Prozess-Matrix'!E10)</f>
        <v>0</v>
      </c>
      <c r="N42" s="183">
        <f>PRODUCT('Rollen-Prozess-Matrix'!R6,'Kompetenz-Prozess-Matrix'!E10)</f>
        <v>0</v>
      </c>
      <c r="O42" s="183">
        <f>PRODUCT('Rollen-Prozess-Matrix'!S6,'Kompetenz-Prozess-Matrix'!E10)</f>
        <v>0</v>
      </c>
      <c r="P42" s="183">
        <f>PRODUCT('Rollen-Prozess-Matrix'!T6,'Kompetenz-Prozess-Matrix'!E10)</f>
        <v>0</v>
      </c>
      <c r="Q42" s="185">
        <f>PRODUCT('Rollen-Prozess-Matrix'!U6,'Kompetenz-Prozess-Matrix'!E10)</f>
        <v>0</v>
      </c>
      <c r="AE42" s="2"/>
    </row>
    <row r="43" spans="1:31" ht="12.6" customHeight="1" outlineLevel="1" x14ac:dyDescent="0.35">
      <c r="A43" s="333"/>
      <c r="B43" s="339"/>
      <c r="C43" s="180" t="s">
        <v>144</v>
      </c>
      <c r="D43" s="182">
        <f>PRODUCT('Rollen-Prozess-Matrix'!H7,'Kompetenz-Prozess-Matrix'!E11)</f>
        <v>0</v>
      </c>
      <c r="E43" s="182">
        <f>PRODUCT('Rollen-Prozess-Matrix'!I7,'Kompetenz-Prozess-Matrix'!E11)</f>
        <v>0</v>
      </c>
      <c r="F43" s="183">
        <f>PRODUCT('Rollen-Prozess-Matrix'!J7,'Kompetenz-Prozess-Matrix'!E11)</f>
        <v>0</v>
      </c>
      <c r="G43" s="183">
        <f>PRODUCT('Rollen-Prozess-Matrix'!K7,'Kompetenz-Prozess-Matrix'!E11)</f>
        <v>2</v>
      </c>
      <c r="H43" s="183">
        <f>PRODUCT('Rollen-Prozess-Matrix'!L7,'Kompetenz-Prozess-Matrix'!E11)</f>
        <v>3</v>
      </c>
      <c r="I43" s="183">
        <f>PRODUCT('Rollen-Prozess-Matrix'!M7,'Kompetenz-Prozess-Matrix'!E11)</f>
        <v>0</v>
      </c>
      <c r="J43" s="183">
        <f>PRODUCT('Rollen-Prozess-Matrix'!N7,'Kompetenz-Prozess-Matrix'!E11)</f>
        <v>0</v>
      </c>
      <c r="K43" s="183">
        <f>PRODUCT('Rollen-Prozess-Matrix'!O7,'Kompetenz-Prozess-Matrix'!E11)</f>
        <v>0</v>
      </c>
      <c r="L43" s="183">
        <f>PRODUCT('Rollen-Prozess-Matrix'!P7,'Kompetenz-Prozess-Matrix'!E11)</f>
        <v>0</v>
      </c>
      <c r="M43" s="183">
        <f>PRODUCT('Rollen-Prozess-Matrix'!Q7,'Kompetenz-Prozess-Matrix'!E11)</f>
        <v>0</v>
      </c>
      <c r="N43" s="183">
        <f>PRODUCT('Rollen-Prozess-Matrix'!R7,'Kompetenz-Prozess-Matrix'!E11)</f>
        <v>0</v>
      </c>
      <c r="O43" s="183">
        <f>PRODUCT('Rollen-Prozess-Matrix'!S7,'Kompetenz-Prozess-Matrix'!E11)</f>
        <v>0</v>
      </c>
      <c r="P43" s="183">
        <f>PRODUCT('Rollen-Prozess-Matrix'!T7,'Kompetenz-Prozess-Matrix'!E11)</f>
        <v>0</v>
      </c>
      <c r="Q43" s="185">
        <f>PRODUCT('Rollen-Prozess-Matrix'!U7,'Kompetenz-Prozess-Matrix'!E11)</f>
        <v>1</v>
      </c>
      <c r="AE43" s="2"/>
    </row>
    <row r="44" spans="1:31" ht="12.6" customHeight="1" outlineLevel="1" x14ac:dyDescent="0.35">
      <c r="A44" s="333"/>
      <c r="B44" s="339"/>
      <c r="C44" s="180" t="s">
        <v>148</v>
      </c>
      <c r="D44" s="182">
        <f>PRODUCT('Rollen-Prozess-Matrix'!H8,'Kompetenz-Prozess-Matrix'!E12)</f>
        <v>0</v>
      </c>
      <c r="E44" s="182">
        <f>PRODUCT('Rollen-Prozess-Matrix'!I8,'Kompetenz-Prozess-Matrix'!E12)</f>
        <v>0</v>
      </c>
      <c r="F44" s="183">
        <f>PRODUCT('Rollen-Prozess-Matrix'!J8,'Kompetenz-Prozess-Matrix'!E12)</f>
        <v>0</v>
      </c>
      <c r="G44" s="183">
        <f>PRODUCT('Rollen-Prozess-Matrix'!K8,'Kompetenz-Prozess-Matrix'!E12)</f>
        <v>0</v>
      </c>
      <c r="H44" s="183">
        <f>PRODUCT('Rollen-Prozess-Matrix'!L8,'Kompetenz-Prozess-Matrix'!E12)</f>
        <v>3</v>
      </c>
      <c r="I44" s="183">
        <f>PRODUCT('Rollen-Prozess-Matrix'!M8,'Kompetenz-Prozess-Matrix'!E12)</f>
        <v>0</v>
      </c>
      <c r="J44" s="183">
        <f>PRODUCT('Rollen-Prozess-Matrix'!N8,'Kompetenz-Prozess-Matrix'!E12)</f>
        <v>0</v>
      </c>
      <c r="K44" s="183">
        <f>PRODUCT('Rollen-Prozess-Matrix'!O8,'Kompetenz-Prozess-Matrix'!E12)</f>
        <v>0</v>
      </c>
      <c r="L44" s="183">
        <f>PRODUCT('Rollen-Prozess-Matrix'!P8,'Kompetenz-Prozess-Matrix'!E12)</f>
        <v>1</v>
      </c>
      <c r="M44" s="183">
        <f>PRODUCT('Rollen-Prozess-Matrix'!Q8,'Kompetenz-Prozess-Matrix'!E12)</f>
        <v>0</v>
      </c>
      <c r="N44" s="183">
        <f>PRODUCT('Rollen-Prozess-Matrix'!R8,'Kompetenz-Prozess-Matrix'!E12)</f>
        <v>0</v>
      </c>
      <c r="O44" s="183">
        <f>PRODUCT('Rollen-Prozess-Matrix'!S8,'Kompetenz-Prozess-Matrix'!E12)</f>
        <v>2</v>
      </c>
      <c r="P44" s="183">
        <f>PRODUCT('Rollen-Prozess-Matrix'!T8,'Kompetenz-Prozess-Matrix'!E12)</f>
        <v>0</v>
      </c>
      <c r="Q44" s="185">
        <f>PRODUCT('Rollen-Prozess-Matrix'!U8,'Kompetenz-Prozess-Matrix'!E12)</f>
        <v>0</v>
      </c>
      <c r="AE44" s="2"/>
    </row>
    <row r="45" spans="1:31" ht="12.6" customHeight="1" outlineLevel="1" x14ac:dyDescent="0.35">
      <c r="A45" s="333"/>
      <c r="B45" s="339"/>
      <c r="C45" s="180" t="s">
        <v>152</v>
      </c>
      <c r="D45" s="182">
        <f>PRODUCT('Rollen-Prozess-Matrix'!H9,'Kompetenz-Prozess-Matrix'!E13)</f>
        <v>0</v>
      </c>
      <c r="E45" s="182">
        <f>PRODUCT('Rollen-Prozess-Matrix'!I9,'Kompetenz-Prozess-Matrix'!E13)</f>
        <v>0</v>
      </c>
      <c r="F45" s="183">
        <f>PRODUCT('Rollen-Prozess-Matrix'!J9,'Kompetenz-Prozess-Matrix'!E13)</f>
        <v>0</v>
      </c>
      <c r="G45" s="183">
        <f>PRODUCT('Rollen-Prozess-Matrix'!K9,'Kompetenz-Prozess-Matrix'!E13)</f>
        <v>2</v>
      </c>
      <c r="H45" s="183">
        <f>PRODUCT('Rollen-Prozess-Matrix'!L9,'Kompetenz-Prozess-Matrix'!E13)</f>
        <v>3</v>
      </c>
      <c r="I45" s="183">
        <f>PRODUCT('Rollen-Prozess-Matrix'!M9,'Kompetenz-Prozess-Matrix'!E13)</f>
        <v>0</v>
      </c>
      <c r="J45" s="183">
        <f>PRODUCT('Rollen-Prozess-Matrix'!N9,'Kompetenz-Prozess-Matrix'!E13)</f>
        <v>0</v>
      </c>
      <c r="K45" s="183">
        <f>PRODUCT('Rollen-Prozess-Matrix'!O9,'Kompetenz-Prozess-Matrix'!E13)</f>
        <v>0</v>
      </c>
      <c r="L45" s="183">
        <f>PRODUCT('Rollen-Prozess-Matrix'!P9,'Kompetenz-Prozess-Matrix'!E13)</f>
        <v>0</v>
      </c>
      <c r="M45" s="183">
        <f>PRODUCT('Rollen-Prozess-Matrix'!Q9,'Kompetenz-Prozess-Matrix'!E13)</f>
        <v>0</v>
      </c>
      <c r="N45" s="183">
        <f>PRODUCT('Rollen-Prozess-Matrix'!R9,'Kompetenz-Prozess-Matrix'!E13)</f>
        <v>0</v>
      </c>
      <c r="O45" s="183">
        <f>PRODUCT('Rollen-Prozess-Matrix'!S9,'Kompetenz-Prozess-Matrix'!E13)</f>
        <v>0</v>
      </c>
      <c r="P45" s="183">
        <f>PRODUCT('Rollen-Prozess-Matrix'!T9,'Kompetenz-Prozess-Matrix'!E13)</f>
        <v>0</v>
      </c>
      <c r="Q45" s="185">
        <f>PRODUCT('Rollen-Prozess-Matrix'!U9,'Kompetenz-Prozess-Matrix'!E13)</f>
        <v>0</v>
      </c>
      <c r="AE45" s="2"/>
    </row>
    <row r="46" spans="1:31" ht="12.6" customHeight="1" outlineLevel="1" x14ac:dyDescent="0.35">
      <c r="A46" s="333"/>
      <c r="B46" s="339"/>
      <c r="C46" s="180" t="s">
        <v>157</v>
      </c>
      <c r="D46" s="182">
        <f>PRODUCT('Rollen-Prozess-Matrix'!H10,'Kompetenz-Prozess-Matrix'!E14)</f>
        <v>0</v>
      </c>
      <c r="E46" s="182">
        <f>PRODUCT('Rollen-Prozess-Matrix'!I10,'Kompetenz-Prozess-Matrix'!E14)</f>
        <v>0</v>
      </c>
      <c r="F46" s="183">
        <f>PRODUCT('Rollen-Prozess-Matrix'!J10,'Kompetenz-Prozess-Matrix'!E14)</f>
        <v>0</v>
      </c>
      <c r="G46" s="183">
        <f>PRODUCT('Rollen-Prozess-Matrix'!K10,'Kompetenz-Prozess-Matrix'!E14)</f>
        <v>0</v>
      </c>
      <c r="H46" s="183">
        <f>PRODUCT('Rollen-Prozess-Matrix'!L10,'Kompetenz-Prozess-Matrix'!E14)</f>
        <v>0</v>
      </c>
      <c r="I46" s="183">
        <f>PRODUCT('Rollen-Prozess-Matrix'!M10,'Kompetenz-Prozess-Matrix'!E14)</f>
        <v>0</v>
      </c>
      <c r="J46" s="183">
        <f>PRODUCT('Rollen-Prozess-Matrix'!N10,'Kompetenz-Prozess-Matrix'!E14)</f>
        <v>0</v>
      </c>
      <c r="K46" s="183">
        <f>PRODUCT('Rollen-Prozess-Matrix'!O10,'Kompetenz-Prozess-Matrix'!E14)</f>
        <v>0</v>
      </c>
      <c r="L46" s="183">
        <f>PRODUCT('Rollen-Prozess-Matrix'!P10,'Kompetenz-Prozess-Matrix'!E14)</f>
        <v>0</v>
      </c>
      <c r="M46" s="183">
        <f>PRODUCT('Rollen-Prozess-Matrix'!Q10,'Kompetenz-Prozess-Matrix'!E14)</f>
        <v>0</v>
      </c>
      <c r="N46" s="183">
        <f>PRODUCT('Rollen-Prozess-Matrix'!R10,'Kompetenz-Prozess-Matrix'!E14)</f>
        <v>0</v>
      </c>
      <c r="O46" s="183">
        <f>PRODUCT('Rollen-Prozess-Matrix'!S10,'Kompetenz-Prozess-Matrix'!E14)</f>
        <v>0</v>
      </c>
      <c r="P46" s="183">
        <f>PRODUCT('Rollen-Prozess-Matrix'!T10,'Kompetenz-Prozess-Matrix'!E14)</f>
        <v>0</v>
      </c>
      <c r="Q46" s="185">
        <f>PRODUCT('Rollen-Prozess-Matrix'!U10,'Kompetenz-Prozess-Matrix'!E14)</f>
        <v>0</v>
      </c>
      <c r="AE46" s="2"/>
    </row>
    <row r="47" spans="1:31" ht="12.6" customHeight="1" outlineLevel="1" x14ac:dyDescent="0.35">
      <c r="A47" s="333"/>
      <c r="B47" s="339"/>
      <c r="C47" s="180" t="s">
        <v>161</v>
      </c>
      <c r="D47" s="182">
        <f>PRODUCT('Rollen-Prozess-Matrix'!H11,'Kompetenz-Prozess-Matrix'!E15)</f>
        <v>0</v>
      </c>
      <c r="E47" s="182">
        <f>PRODUCT('Rollen-Prozess-Matrix'!I11,'Kompetenz-Prozess-Matrix'!E15)</f>
        <v>0</v>
      </c>
      <c r="F47" s="183">
        <f>PRODUCT('Rollen-Prozess-Matrix'!J11,'Kompetenz-Prozess-Matrix'!E15)</f>
        <v>0</v>
      </c>
      <c r="G47" s="183">
        <f>PRODUCT('Rollen-Prozess-Matrix'!K11,'Kompetenz-Prozess-Matrix'!E15)</f>
        <v>0</v>
      </c>
      <c r="H47" s="183">
        <f>PRODUCT('Rollen-Prozess-Matrix'!L11,'Kompetenz-Prozess-Matrix'!E15)</f>
        <v>0</v>
      </c>
      <c r="I47" s="183">
        <f>PRODUCT('Rollen-Prozess-Matrix'!M11,'Kompetenz-Prozess-Matrix'!E15)</f>
        <v>0</v>
      </c>
      <c r="J47" s="183">
        <f>PRODUCT('Rollen-Prozess-Matrix'!N11,'Kompetenz-Prozess-Matrix'!E15)</f>
        <v>0</v>
      </c>
      <c r="K47" s="183">
        <f>PRODUCT('Rollen-Prozess-Matrix'!O11,'Kompetenz-Prozess-Matrix'!E15)</f>
        <v>0</v>
      </c>
      <c r="L47" s="183">
        <f>PRODUCT('Rollen-Prozess-Matrix'!P11,'Kompetenz-Prozess-Matrix'!E15)</f>
        <v>0</v>
      </c>
      <c r="M47" s="183">
        <f>PRODUCT('Rollen-Prozess-Matrix'!Q11,'Kompetenz-Prozess-Matrix'!E15)</f>
        <v>0</v>
      </c>
      <c r="N47" s="183">
        <f>PRODUCT('Rollen-Prozess-Matrix'!R11,'Kompetenz-Prozess-Matrix'!E15)</f>
        <v>0</v>
      </c>
      <c r="O47" s="183">
        <f>PRODUCT('Rollen-Prozess-Matrix'!S11,'Kompetenz-Prozess-Matrix'!E15)</f>
        <v>0</v>
      </c>
      <c r="P47" s="183">
        <f>PRODUCT('Rollen-Prozess-Matrix'!T11,'Kompetenz-Prozess-Matrix'!E15)</f>
        <v>0</v>
      </c>
      <c r="Q47" s="185">
        <f>PRODUCT('Rollen-Prozess-Matrix'!U11,'Kompetenz-Prozess-Matrix'!E15)</f>
        <v>0</v>
      </c>
      <c r="AE47" s="2"/>
    </row>
    <row r="48" spans="1:31" ht="12.6" customHeight="1" outlineLevel="1" x14ac:dyDescent="0.35">
      <c r="A48" s="333"/>
      <c r="B48" s="339"/>
      <c r="C48" s="180" t="s">
        <v>288</v>
      </c>
      <c r="D48" s="182">
        <f>PRODUCT('Rollen-Prozess-Matrix'!H12,'Kompetenz-Prozess-Matrix'!E16)</f>
        <v>0</v>
      </c>
      <c r="E48" s="182">
        <f>PRODUCT('Rollen-Prozess-Matrix'!I12,'Kompetenz-Prozess-Matrix'!E16)</f>
        <v>2</v>
      </c>
      <c r="F48" s="183">
        <f>PRODUCT('Rollen-Prozess-Matrix'!J12,'Kompetenz-Prozess-Matrix'!E16)</f>
        <v>2</v>
      </c>
      <c r="G48" s="183">
        <f>PRODUCT('Rollen-Prozess-Matrix'!K12,'Kompetenz-Prozess-Matrix'!E16)</f>
        <v>0</v>
      </c>
      <c r="H48" s="183">
        <f>PRODUCT('Rollen-Prozess-Matrix'!L12,'Kompetenz-Prozess-Matrix'!E16)</f>
        <v>3</v>
      </c>
      <c r="I48" s="183">
        <f>PRODUCT('Rollen-Prozess-Matrix'!M12,'Kompetenz-Prozess-Matrix'!E16)</f>
        <v>2</v>
      </c>
      <c r="J48" s="183">
        <f>PRODUCT('Rollen-Prozess-Matrix'!N12,'Kompetenz-Prozess-Matrix'!E16)</f>
        <v>1</v>
      </c>
      <c r="K48" s="183">
        <f>PRODUCT('Rollen-Prozess-Matrix'!O12,'Kompetenz-Prozess-Matrix'!E16)</f>
        <v>1</v>
      </c>
      <c r="L48" s="183">
        <f>PRODUCT('Rollen-Prozess-Matrix'!P12,'Kompetenz-Prozess-Matrix'!E16)</f>
        <v>1</v>
      </c>
      <c r="M48" s="183">
        <f>PRODUCT('Rollen-Prozess-Matrix'!Q12,'Kompetenz-Prozess-Matrix'!E16)</f>
        <v>0</v>
      </c>
      <c r="N48" s="183">
        <f>PRODUCT('Rollen-Prozess-Matrix'!R12,'Kompetenz-Prozess-Matrix'!E16)</f>
        <v>0</v>
      </c>
      <c r="O48" s="183">
        <f>PRODUCT('Rollen-Prozess-Matrix'!S12,'Kompetenz-Prozess-Matrix'!E16)</f>
        <v>0</v>
      </c>
      <c r="P48" s="183">
        <f>PRODUCT('Rollen-Prozess-Matrix'!T12,'Kompetenz-Prozess-Matrix'!E16)</f>
        <v>1</v>
      </c>
      <c r="Q48" s="185">
        <f>PRODUCT('Rollen-Prozess-Matrix'!U12,'Kompetenz-Prozess-Matrix'!E16)</f>
        <v>2</v>
      </c>
      <c r="AE48" s="2"/>
    </row>
    <row r="49" spans="1:31" ht="12.6" customHeight="1" outlineLevel="1" x14ac:dyDescent="0.35">
      <c r="A49" s="333"/>
      <c r="B49" s="339"/>
      <c r="C49" s="180" t="s">
        <v>169</v>
      </c>
      <c r="D49" s="182">
        <f>PRODUCT('Rollen-Prozess-Matrix'!H13,'Kompetenz-Prozess-Matrix'!E17)</f>
        <v>0</v>
      </c>
      <c r="E49" s="182">
        <f>PRODUCT('Rollen-Prozess-Matrix'!I13,'Kompetenz-Prozess-Matrix'!E17)</f>
        <v>2</v>
      </c>
      <c r="F49" s="183">
        <f>PRODUCT('Rollen-Prozess-Matrix'!J13,'Kompetenz-Prozess-Matrix'!E17)</f>
        <v>4</v>
      </c>
      <c r="G49" s="183">
        <f>PRODUCT('Rollen-Prozess-Matrix'!K13,'Kompetenz-Prozess-Matrix'!E17)</f>
        <v>0</v>
      </c>
      <c r="H49" s="183">
        <f>PRODUCT('Rollen-Prozess-Matrix'!L13,'Kompetenz-Prozess-Matrix'!E17)</f>
        <v>6</v>
      </c>
      <c r="I49" s="183">
        <f>PRODUCT('Rollen-Prozess-Matrix'!M13,'Kompetenz-Prozess-Matrix'!E17)</f>
        <v>4</v>
      </c>
      <c r="J49" s="183">
        <f>PRODUCT('Rollen-Prozess-Matrix'!N13,'Kompetenz-Prozess-Matrix'!E17)</f>
        <v>2</v>
      </c>
      <c r="K49" s="183">
        <f>PRODUCT('Rollen-Prozess-Matrix'!O13,'Kompetenz-Prozess-Matrix'!E17)</f>
        <v>2</v>
      </c>
      <c r="L49" s="183">
        <f>PRODUCT('Rollen-Prozess-Matrix'!P13,'Kompetenz-Prozess-Matrix'!E17)</f>
        <v>0</v>
      </c>
      <c r="M49" s="183">
        <f>PRODUCT('Rollen-Prozess-Matrix'!Q13,'Kompetenz-Prozess-Matrix'!E17)</f>
        <v>0</v>
      </c>
      <c r="N49" s="183">
        <f>PRODUCT('Rollen-Prozess-Matrix'!R13,'Kompetenz-Prozess-Matrix'!E17)</f>
        <v>0</v>
      </c>
      <c r="O49" s="183">
        <f>PRODUCT('Rollen-Prozess-Matrix'!S13,'Kompetenz-Prozess-Matrix'!E17)</f>
        <v>2</v>
      </c>
      <c r="P49" s="183">
        <f>PRODUCT('Rollen-Prozess-Matrix'!T13,'Kompetenz-Prozess-Matrix'!E17)</f>
        <v>0</v>
      </c>
      <c r="Q49" s="185">
        <f>PRODUCT('Rollen-Prozess-Matrix'!U13,'Kompetenz-Prozess-Matrix'!E17)</f>
        <v>0</v>
      </c>
      <c r="AE49" s="2"/>
    </row>
    <row r="50" spans="1:31" ht="12.6" customHeight="1" outlineLevel="1" x14ac:dyDescent="0.35">
      <c r="A50" s="333"/>
      <c r="B50" s="339"/>
      <c r="C50" s="180" t="s">
        <v>173</v>
      </c>
      <c r="D50" s="182">
        <f>PRODUCT('Rollen-Prozess-Matrix'!H14,'Kompetenz-Prozess-Matrix'!E18)</f>
        <v>0</v>
      </c>
      <c r="E50" s="182">
        <f>PRODUCT('Rollen-Prozess-Matrix'!I14,'Kompetenz-Prozess-Matrix'!E18)</f>
        <v>1</v>
      </c>
      <c r="F50" s="183">
        <f>PRODUCT('Rollen-Prozess-Matrix'!J14,'Kompetenz-Prozess-Matrix'!E18)</f>
        <v>2</v>
      </c>
      <c r="G50" s="183">
        <f>PRODUCT('Rollen-Prozess-Matrix'!K14,'Kompetenz-Prozess-Matrix'!E18)</f>
        <v>0</v>
      </c>
      <c r="H50" s="183">
        <f>PRODUCT('Rollen-Prozess-Matrix'!L14,'Kompetenz-Prozess-Matrix'!E18)</f>
        <v>3</v>
      </c>
      <c r="I50" s="183">
        <f>PRODUCT('Rollen-Prozess-Matrix'!M14,'Kompetenz-Prozess-Matrix'!E18)</f>
        <v>2</v>
      </c>
      <c r="J50" s="183">
        <f>PRODUCT('Rollen-Prozess-Matrix'!N14,'Kompetenz-Prozess-Matrix'!E18)</f>
        <v>1</v>
      </c>
      <c r="K50" s="183">
        <f>PRODUCT('Rollen-Prozess-Matrix'!O14,'Kompetenz-Prozess-Matrix'!E18)</f>
        <v>0</v>
      </c>
      <c r="L50" s="183">
        <f>PRODUCT('Rollen-Prozess-Matrix'!P14,'Kompetenz-Prozess-Matrix'!E18)</f>
        <v>1</v>
      </c>
      <c r="M50" s="183">
        <f>PRODUCT('Rollen-Prozess-Matrix'!Q14,'Kompetenz-Prozess-Matrix'!E18)</f>
        <v>0</v>
      </c>
      <c r="N50" s="183">
        <f>PRODUCT('Rollen-Prozess-Matrix'!R14,'Kompetenz-Prozess-Matrix'!E18)</f>
        <v>0</v>
      </c>
      <c r="O50" s="183">
        <f>PRODUCT('Rollen-Prozess-Matrix'!S14,'Kompetenz-Prozess-Matrix'!E18)</f>
        <v>0</v>
      </c>
      <c r="P50" s="183">
        <f>PRODUCT('Rollen-Prozess-Matrix'!T14,'Kompetenz-Prozess-Matrix'!E18)</f>
        <v>0</v>
      </c>
      <c r="Q50" s="185">
        <f>PRODUCT('Rollen-Prozess-Matrix'!U14,'Kompetenz-Prozess-Matrix'!E18)</f>
        <v>0</v>
      </c>
      <c r="AE50" s="2"/>
    </row>
    <row r="51" spans="1:31" ht="12.6" customHeight="1" outlineLevel="1" x14ac:dyDescent="0.35">
      <c r="A51" s="333"/>
      <c r="B51" s="339"/>
      <c r="C51" s="180" t="s">
        <v>177</v>
      </c>
      <c r="D51" s="182">
        <f>PRODUCT('Rollen-Prozess-Matrix'!H15,'Kompetenz-Prozess-Matrix'!E19)</f>
        <v>0</v>
      </c>
      <c r="E51" s="182">
        <f>PRODUCT('Rollen-Prozess-Matrix'!I15,'Kompetenz-Prozess-Matrix'!E19)</f>
        <v>1</v>
      </c>
      <c r="F51" s="183">
        <f>PRODUCT('Rollen-Prozess-Matrix'!J15,'Kompetenz-Prozess-Matrix'!E19)</f>
        <v>2</v>
      </c>
      <c r="G51" s="183">
        <f>PRODUCT('Rollen-Prozess-Matrix'!K15,'Kompetenz-Prozess-Matrix'!E19)</f>
        <v>0</v>
      </c>
      <c r="H51" s="183">
        <f>PRODUCT('Rollen-Prozess-Matrix'!L15,'Kompetenz-Prozess-Matrix'!E19)</f>
        <v>3</v>
      </c>
      <c r="I51" s="183">
        <f>PRODUCT('Rollen-Prozess-Matrix'!M15,'Kompetenz-Prozess-Matrix'!E19)</f>
        <v>1</v>
      </c>
      <c r="J51" s="183">
        <f>PRODUCT('Rollen-Prozess-Matrix'!N15,'Kompetenz-Prozess-Matrix'!E19)</f>
        <v>1</v>
      </c>
      <c r="K51" s="183">
        <f>PRODUCT('Rollen-Prozess-Matrix'!O15,'Kompetenz-Prozess-Matrix'!E19)</f>
        <v>0</v>
      </c>
      <c r="L51" s="183">
        <f>PRODUCT('Rollen-Prozess-Matrix'!P15,'Kompetenz-Prozess-Matrix'!E19)</f>
        <v>1</v>
      </c>
      <c r="M51" s="183">
        <f>PRODUCT('Rollen-Prozess-Matrix'!Q15,'Kompetenz-Prozess-Matrix'!E19)</f>
        <v>0</v>
      </c>
      <c r="N51" s="183">
        <f>PRODUCT('Rollen-Prozess-Matrix'!R15,'Kompetenz-Prozess-Matrix'!E19)</f>
        <v>0</v>
      </c>
      <c r="O51" s="183">
        <f>PRODUCT('Rollen-Prozess-Matrix'!S15,'Kompetenz-Prozess-Matrix'!E19)</f>
        <v>0</v>
      </c>
      <c r="P51" s="183">
        <f>PRODUCT('Rollen-Prozess-Matrix'!T15,'Kompetenz-Prozess-Matrix'!E19)</f>
        <v>0</v>
      </c>
      <c r="Q51" s="185">
        <f>PRODUCT('Rollen-Prozess-Matrix'!U15,'Kompetenz-Prozess-Matrix'!E19)</f>
        <v>0</v>
      </c>
      <c r="AE51" s="2"/>
    </row>
    <row r="52" spans="1:31" ht="12.6" customHeight="1" outlineLevel="1" x14ac:dyDescent="0.35">
      <c r="A52" s="333"/>
      <c r="B52" s="339"/>
      <c r="C52" s="180" t="s">
        <v>181</v>
      </c>
      <c r="D52" s="182">
        <f>PRODUCT('Rollen-Prozess-Matrix'!H16,'Kompetenz-Prozess-Matrix'!E20)</f>
        <v>0</v>
      </c>
      <c r="E52" s="182">
        <f>PRODUCT('Rollen-Prozess-Matrix'!I16,'Kompetenz-Prozess-Matrix'!E20)</f>
        <v>0</v>
      </c>
      <c r="F52" s="183">
        <f>PRODUCT('Rollen-Prozess-Matrix'!J16,'Kompetenz-Prozess-Matrix'!E20)</f>
        <v>0</v>
      </c>
      <c r="G52" s="183">
        <f>PRODUCT('Rollen-Prozess-Matrix'!K16,'Kompetenz-Prozess-Matrix'!E20)</f>
        <v>0</v>
      </c>
      <c r="H52" s="183">
        <f>PRODUCT('Rollen-Prozess-Matrix'!L16,'Kompetenz-Prozess-Matrix'!E20)</f>
        <v>0</v>
      </c>
      <c r="I52" s="183">
        <f>PRODUCT('Rollen-Prozess-Matrix'!M16,'Kompetenz-Prozess-Matrix'!E20)</f>
        <v>0</v>
      </c>
      <c r="J52" s="183">
        <f>PRODUCT('Rollen-Prozess-Matrix'!N16,'Kompetenz-Prozess-Matrix'!E20)</f>
        <v>0</v>
      </c>
      <c r="K52" s="183">
        <f>PRODUCT('Rollen-Prozess-Matrix'!O16,'Kompetenz-Prozess-Matrix'!E20)</f>
        <v>0</v>
      </c>
      <c r="L52" s="183">
        <f>PRODUCT('Rollen-Prozess-Matrix'!P16,'Kompetenz-Prozess-Matrix'!E20)</f>
        <v>0</v>
      </c>
      <c r="M52" s="183">
        <f>PRODUCT('Rollen-Prozess-Matrix'!Q16,'Kompetenz-Prozess-Matrix'!E20)</f>
        <v>0</v>
      </c>
      <c r="N52" s="183">
        <f>PRODUCT('Rollen-Prozess-Matrix'!R16,'Kompetenz-Prozess-Matrix'!E20)</f>
        <v>0</v>
      </c>
      <c r="O52" s="183">
        <f>PRODUCT('Rollen-Prozess-Matrix'!S16,'Kompetenz-Prozess-Matrix'!E20)</f>
        <v>0</v>
      </c>
      <c r="P52" s="183">
        <f>PRODUCT('Rollen-Prozess-Matrix'!T16,'Kompetenz-Prozess-Matrix'!E20)</f>
        <v>0</v>
      </c>
      <c r="Q52" s="185">
        <f>PRODUCT('Rollen-Prozess-Matrix'!U16,'Kompetenz-Prozess-Matrix'!E20)</f>
        <v>0</v>
      </c>
      <c r="AE52" s="2"/>
    </row>
    <row r="53" spans="1:31" ht="12.6" customHeight="1" outlineLevel="1" x14ac:dyDescent="0.35">
      <c r="A53" s="333"/>
      <c r="B53" s="339"/>
      <c r="C53" s="180" t="s">
        <v>185</v>
      </c>
      <c r="D53" s="182">
        <f>PRODUCT('Rollen-Prozess-Matrix'!H17,'Kompetenz-Prozess-Matrix'!E21)</f>
        <v>0</v>
      </c>
      <c r="E53" s="182">
        <f>PRODUCT('Rollen-Prozess-Matrix'!I17,'Kompetenz-Prozess-Matrix'!E21)</f>
        <v>0</v>
      </c>
      <c r="F53" s="183">
        <f>PRODUCT('Rollen-Prozess-Matrix'!J17,'Kompetenz-Prozess-Matrix'!E21)</f>
        <v>0</v>
      </c>
      <c r="G53" s="183">
        <f>PRODUCT('Rollen-Prozess-Matrix'!K17,'Kompetenz-Prozess-Matrix'!E21)</f>
        <v>0</v>
      </c>
      <c r="H53" s="183">
        <f>PRODUCT('Rollen-Prozess-Matrix'!L17,'Kompetenz-Prozess-Matrix'!E21)</f>
        <v>0</v>
      </c>
      <c r="I53" s="183">
        <f>PRODUCT('Rollen-Prozess-Matrix'!M17,'Kompetenz-Prozess-Matrix'!E21)</f>
        <v>0</v>
      </c>
      <c r="J53" s="183">
        <f>PRODUCT('Rollen-Prozess-Matrix'!N17,'Kompetenz-Prozess-Matrix'!E21)</f>
        <v>0</v>
      </c>
      <c r="K53" s="183">
        <f>PRODUCT('Rollen-Prozess-Matrix'!O17,'Kompetenz-Prozess-Matrix'!E21)</f>
        <v>0</v>
      </c>
      <c r="L53" s="183">
        <f>PRODUCT('Rollen-Prozess-Matrix'!P17,'Kompetenz-Prozess-Matrix'!E21)</f>
        <v>0</v>
      </c>
      <c r="M53" s="183">
        <f>PRODUCT('Rollen-Prozess-Matrix'!Q17,'Kompetenz-Prozess-Matrix'!E21)</f>
        <v>0</v>
      </c>
      <c r="N53" s="183">
        <f>PRODUCT('Rollen-Prozess-Matrix'!R17,'Kompetenz-Prozess-Matrix'!E21)</f>
        <v>0</v>
      </c>
      <c r="O53" s="183">
        <f>PRODUCT('Rollen-Prozess-Matrix'!S17,'Kompetenz-Prozess-Matrix'!E21)</f>
        <v>0</v>
      </c>
      <c r="P53" s="183">
        <f>PRODUCT('Rollen-Prozess-Matrix'!T17,'Kompetenz-Prozess-Matrix'!E21)</f>
        <v>0</v>
      </c>
      <c r="Q53" s="185">
        <f>PRODUCT('Rollen-Prozess-Matrix'!U17,'Kompetenz-Prozess-Matrix'!E21)</f>
        <v>0</v>
      </c>
      <c r="AE53" s="2"/>
    </row>
    <row r="54" spans="1:31" ht="12.6" customHeight="1" outlineLevel="1" x14ac:dyDescent="0.35">
      <c r="A54" s="333"/>
      <c r="B54" s="339"/>
      <c r="C54" s="180" t="s">
        <v>190</v>
      </c>
      <c r="D54" s="182">
        <f>PRODUCT('Rollen-Prozess-Matrix'!H18,'Kompetenz-Prozess-Matrix'!E22)</f>
        <v>0</v>
      </c>
      <c r="E54" s="182">
        <f>PRODUCT('Rollen-Prozess-Matrix'!I18,'Kompetenz-Prozess-Matrix'!E22)</f>
        <v>4</v>
      </c>
      <c r="F54" s="183">
        <f>PRODUCT('Rollen-Prozess-Matrix'!J18,'Kompetenz-Prozess-Matrix'!E22)</f>
        <v>0</v>
      </c>
      <c r="G54" s="183">
        <f>PRODUCT('Rollen-Prozess-Matrix'!K18,'Kompetenz-Prozess-Matrix'!E22)</f>
        <v>0</v>
      </c>
      <c r="H54" s="183">
        <f>PRODUCT('Rollen-Prozess-Matrix'!L18,'Kompetenz-Prozess-Matrix'!E22)</f>
        <v>6</v>
      </c>
      <c r="I54" s="183">
        <f>PRODUCT('Rollen-Prozess-Matrix'!M18,'Kompetenz-Prozess-Matrix'!E22)</f>
        <v>0</v>
      </c>
      <c r="J54" s="183">
        <f>PRODUCT('Rollen-Prozess-Matrix'!N18,'Kompetenz-Prozess-Matrix'!E22)</f>
        <v>0</v>
      </c>
      <c r="K54" s="183">
        <f>PRODUCT('Rollen-Prozess-Matrix'!O18,'Kompetenz-Prozess-Matrix'!E22)</f>
        <v>0</v>
      </c>
      <c r="L54" s="183">
        <f>PRODUCT('Rollen-Prozess-Matrix'!P18,'Kompetenz-Prozess-Matrix'!E22)</f>
        <v>0</v>
      </c>
      <c r="M54" s="183">
        <f>PRODUCT('Rollen-Prozess-Matrix'!Q18,'Kompetenz-Prozess-Matrix'!E22)</f>
        <v>0</v>
      </c>
      <c r="N54" s="183">
        <f>PRODUCT('Rollen-Prozess-Matrix'!R18,'Kompetenz-Prozess-Matrix'!E22)</f>
        <v>0</v>
      </c>
      <c r="O54" s="183">
        <f>PRODUCT('Rollen-Prozess-Matrix'!S18,'Kompetenz-Prozess-Matrix'!E22)</f>
        <v>0</v>
      </c>
      <c r="P54" s="183">
        <f>PRODUCT('Rollen-Prozess-Matrix'!T18,'Kompetenz-Prozess-Matrix'!E22)</f>
        <v>4</v>
      </c>
      <c r="Q54" s="185">
        <f>PRODUCT('Rollen-Prozess-Matrix'!U18,'Kompetenz-Prozess-Matrix'!E22)</f>
        <v>2</v>
      </c>
      <c r="AE54" s="2"/>
    </row>
    <row r="55" spans="1:31" ht="63.75" outlineLevel="1" x14ac:dyDescent="0.35">
      <c r="A55" s="333"/>
      <c r="B55" s="339"/>
      <c r="C55" s="180" t="s">
        <v>194</v>
      </c>
      <c r="D55" s="182">
        <f>PRODUCT('Rollen-Prozess-Matrix'!H19,'Kompetenz-Prozess-Matrix'!E23)</f>
        <v>0</v>
      </c>
      <c r="E55" s="182">
        <f>PRODUCT('Rollen-Prozess-Matrix'!I19,'Kompetenz-Prozess-Matrix'!E23)</f>
        <v>4</v>
      </c>
      <c r="F55" s="183">
        <f>PRODUCT('Rollen-Prozess-Matrix'!J19,'Kompetenz-Prozess-Matrix'!E23)</f>
        <v>0</v>
      </c>
      <c r="G55" s="183">
        <f>PRODUCT('Rollen-Prozess-Matrix'!K19,'Kompetenz-Prozess-Matrix'!E23)</f>
        <v>0</v>
      </c>
      <c r="H55" s="183">
        <f>PRODUCT('Rollen-Prozess-Matrix'!L19,'Kompetenz-Prozess-Matrix'!E23)</f>
        <v>6</v>
      </c>
      <c r="I55" s="183">
        <f>PRODUCT('Rollen-Prozess-Matrix'!M19,'Kompetenz-Prozess-Matrix'!E23)</f>
        <v>2</v>
      </c>
      <c r="J55" s="183">
        <f>PRODUCT('Rollen-Prozess-Matrix'!N19,'Kompetenz-Prozess-Matrix'!E23)</f>
        <v>0</v>
      </c>
      <c r="K55" s="183">
        <f>PRODUCT('Rollen-Prozess-Matrix'!O19,'Kompetenz-Prozess-Matrix'!E23)</f>
        <v>0</v>
      </c>
      <c r="L55" s="183">
        <f>PRODUCT('Rollen-Prozess-Matrix'!P19,'Kompetenz-Prozess-Matrix'!E23)</f>
        <v>2</v>
      </c>
      <c r="M55" s="183">
        <f>PRODUCT('Rollen-Prozess-Matrix'!Q19,'Kompetenz-Prozess-Matrix'!E23)</f>
        <v>0</v>
      </c>
      <c r="N55" s="183">
        <f>PRODUCT('Rollen-Prozess-Matrix'!R19,'Kompetenz-Prozess-Matrix'!E23)</f>
        <v>0</v>
      </c>
      <c r="O55" s="183">
        <f>PRODUCT('Rollen-Prozess-Matrix'!S19,'Kompetenz-Prozess-Matrix'!E23)</f>
        <v>0</v>
      </c>
      <c r="P55" s="183">
        <f>PRODUCT('Rollen-Prozess-Matrix'!T19,'Kompetenz-Prozess-Matrix'!E23)</f>
        <v>0</v>
      </c>
      <c r="Q55" s="185">
        <f>PRODUCT('Rollen-Prozess-Matrix'!U19,'Kompetenz-Prozess-Matrix'!E23)</f>
        <v>0</v>
      </c>
      <c r="AE55" s="2"/>
    </row>
    <row r="56" spans="1:31" ht="12.6" customHeight="1" outlineLevel="1" x14ac:dyDescent="0.35">
      <c r="A56" s="333"/>
      <c r="B56" s="339"/>
      <c r="C56" s="180" t="s">
        <v>201</v>
      </c>
      <c r="D56" s="182">
        <f>PRODUCT('Rollen-Prozess-Matrix'!H20,'Kompetenz-Prozess-Matrix'!E24)</f>
        <v>0</v>
      </c>
      <c r="E56" s="182">
        <f>PRODUCT('Rollen-Prozess-Matrix'!I20,'Kompetenz-Prozess-Matrix'!E24)</f>
        <v>4</v>
      </c>
      <c r="F56" s="183">
        <f>PRODUCT('Rollen-Prozess-Matrix'!J20,'Kompetenz-Prozess-Matrix'!E24)</f>
        <v>0</v>
      </c>
      <c r="G56" s="183">
        <f>PRODUCT('Rollen-Prozess-Matrix'!K20,'Kompetenz-Prozess-Matrix'!E24)</f>
        <v>0</v>
      </c>
      <c r="H56" s="183">
        <f>PRODUCT('Rollen-Prozess-Matrix'!L20,'Kompetenz-Prozess-Matrix'!E24)</f>
        <v>6</v>
      </c>
      <c r="I56" s="183">
        <f>PRODUCT('Rollen-Prozess-Matrix'!M20,'Kompetenz-Prozess-Matrix'!E24)</f>
        <v>4</v>
      </c>
      <c r="J56" s="183">
        <f>PRODUCT('Rollen-Prozess-Matrix'!N20,'Kompetenz-Prozess-Matrix'!E24)</f>
        <v>2</v>
      </c>
      <c r="K56" s="183">
        <f>PRODUCT('Rollen-Prozess-Matrix'!O20,'Kompetenz-Prozess-Matrix'!E24)</f>
        <v>0</v>
      </c>
      <c r="L56" s="183">
        <f>PRODUCT('Rollen-Prozess-Matrix'!P20,'Kompetenz-Prozess-Matrix'!E24)</f>
        <v>2</v>
      </c>
      <c r="M56" s="183">
        <f>PRODUCT('Rollen-Prozess-Matrix'!Q20,'Kompetenz-Prozess-Matrix'!E24)</f>
        <v>0</v>
      </c>
      <c r="N56" s="183">
        <f>PRODUCT('Rollen-Prozess-Matrix'!R20,'Kompetenz-Prozess-Matrix'!E24)</f>
        <v>0</v>
      </c>
      <c r="O56" s="183">
        <f>PRODUCT('Rollen-Prozess-Matrix'!S20,'Kompetenz-Prozess-Matrix'!E24)</f>
        <v>0</v>
      </c>
      <c r="P56" s="183">
        <f>PRODUCT('Rollen-Prozess-Matrix'!T20,'Kompetenz-Prozess-Matrix'!E24)</f>
        <v>0</v>
      </c>
      <c r="Q56" s="185">
        <f>PRODUCT('Rollen-Prozess-Matrix'!U20,'Kompetenz-Prozess-Matrix'!E24)</f>
        <v>0</v>
      </c>
      <c r="AE56" s="2"/>
    </row>
    <row r="57" spans="1:31" ht="12.6" customHeight="1" outlineLevel="1" x14ac:dyDescent="0.35">
      <c r="A57" s="333"/>
      <c r="B57" s="339"/>
      <c r="C57" s="180" t="s">
        <v>205</v>
      </c>
      <c r="D57" s="182">
        <f>PRODUCT('Rollen-Prozess-Matrix'!H21,'Kompetenz-Prozess-Matrix'!E25)</f>
        <v>0</v>
      </c>
      <c r="E57" s="182">
        <f>PRODUCT('Rollen-Prozess-Matrix'!I21,'Kompetenz-Prozess-Matrix'!E25)</f>
        <v>2</v>
      </c>
      <c r="F57" s="183">
        <f>PRODUCT('Rollen-Prozess-Matrix'!J21,'Kompetenz-Prozess-Matrix'!E25)</f>
        <v>0</v>
      </c>
      <c r="G57" s="183">
        <f>PRODUCT('Rollen-Prozess-Matrix'!K21,'Kompetenz-Prozess-Matrix'!E25)</f>
        <v>0</v>
      </c>
      <c r="H57" s="183">
        <f>PRODUCT('Rollen-Prozess-Matrix'!L21,'Kompetenz-Prozess-Matrix'!E25)</f>
        <v>6</v>
      </c>
      <c r="I57" s="183">
        <f>PRODUCT('Rollen-Prozess-Matrix'!M21,'Kompetenz-Prozess-Matrix'!E25)</f>
        <v>4</v>
      </c>
      <c r="J57" s="183">
        <f>PRODUCT('Rollen-Prozess-Matrix'!N21,'Kompetenz-Prozess-Matrix'!E25)</f>
        <v>2</v>
      </c>
      <c r="K57" s="183">
        <f>PRODUCT('Rollen-Prozess-Matrix'!O21,'Kompetenz-Prozess-Matrix'!E25)</f>
        <v>0</v>
      </c>
      <c r="L57" s="183">
        <f>PRODUCT('Rollen-Prozess-Matrix'!P21,'Kompetenz-Prozess-Matrix'!E25)</f>
        <v>0</v>
      </c>
      <c r="M57" s="183">
        <f>PRODUCT('Rollen-Prozess-Matrix'!Q21,'Kompetenz-Prozess-Matrix'!E25)</f>
        <v>0</v>
      </c>
      <c r="N57" s="183">
        <f>PRODUCT('Rollen-Prozess-Matrix'!R21,'Kompetenz-Prozess-Matrix'!E25)</f>
        <v>0</v>
      </c>
      <c r="O57" s="183">
        <f>PRODUCT('Rollen-Prozess-Matrix'!S21,'Kompetenz-Prozess-Matrix'!E25)</f>
        <v>0</v>
      </c>
      <c r="P57" s="183">
        <f>PRODUCT('Rollen-Prozess-Matrix'!T21,'Kompetenz-Prozess-Matrix'!E25)</f>
        <v>0</v>
      </c>
      <c r="Q57" s="185">
        <f>PRODUCT('Rollen-Prozess-Matrix'!U21,'Kompetenz-Prozess-Matrix'!E25)</f>
        <v>0</v>
      </c>
      <c r="AE57" s="2"/>
    </row>
    <row r="58" spans="1:31" ht="12.6" customHeight="1" outlineLevel="1" x14ac:dyDescent="0.35">
      <c r="A58" s="333"/>
      <c r="B58" s="339"/>
      <c r="C58" s="180" t="s">
        <v>209</v>
      </c>
      <c r="D58" s="182">
        <f>PRODUCT('Rollen-Prozess-Matrix'!H22,'Kompetenz-Prozess-Matrix'!E26)</f>
        <v>0</v>
      </c>
      <c r="E58" s="182">
        <f>PRODUCT('Rollen-Prozess-Matrix'!I22,'Kompetenz-Prozess-Matrix'!E26)</f>
        <v>2</v>
      </c>
      <c r="F58" s="183">
        <f>PRODUCT('Rollen-Prozess-Matrix'!J22,'Kompetenz-Prozess-Matrix'!E26)</f>
        <v>0</v>
      </c>
      <c r="G58" s="183">
        <f>PRODUCT('Rollen-Prozess-Matrix'!K22,'Kompetenz-Prozess-Matrix'!E26)</f>
        <v>0</v>
      </c>
      <c r="H58" s="183">
        <f>PRODUCT('Rollen-Prozess-Matrix'!L22,'Kompetenz-Prozess-Matrix'!E26)</f>
        <v>6</v>
      </c>
      <c r="I58" s="183">
        <f>PRODUCT('Rollen-Prozess-Matrix'!M22,'Kompetenz-Prozess-Matrix'!E26)</f>
        <v>4</v>
      </c>
      <c r="J58" s="183">
        <f>PRODUCT('Rollen-Prozess-Matrix'!N22,'Kompetenz-Prozess-Matrix'!E26)</f>
        <v>4</v>
      </c>
      <c r="K58" s="183">
        <f>PRODUCT('Rollen-Prozess-Matrix'!O22,'Kompetenz-Prozess-Matrix'!E26)</f>
        <v>0</v>
      </c>
      <c r="L58" s="183">
        <f>PRODUCT('Rollen-Prozess-Matrix'!P22,'Kompetenz-Prozess-Matrix'!E26)</f>
        <v>0</v>
      </c>
      <c r="M58" s="183">
        <f>PRODUCT('Rollen-Prozess-Matrix'!Q22,'Kompetenz-Prozess-Matrix'!E26)</f>
        <v>0</v>
      </c>
      <c r="N58" s="183">
        <f>PRODUCT('Rollen-Prozess-Matrix'!R22,'Kompetenz-Prozess-Matrix'!E26)</f>
        <v>0</v>
      </c>
      <c r="O58" s="183">
        <f>PRODUCT('Rollen-Prozess-Matrix'!S22,'Kompetenz-Prozess-Matrix'!E26)</f>
        <v>0</v>
      </c>
      <c r="P58" s="183">
        <f>PRODUCT('Rollen-Prozess-Matrix'!T22,'Kompetenz-Prozess-Matrix'!E26)</f>
        <v>0</v>
      </c>
      <c r="Q58" s="185">
        <f>PRODUCT('Rollen-Prozess-Matrix'!U22,'Kompetenz-Prozess-Matrix'!E26)</f>
        <v>0</v>
      </c>
      <c r="AE58" s="2"/>
    </row>
    <row r="59" spans="1:31" ht="12.6" customHeight="1" outlineLevel="1" x14ac:dyDescent="0.35">
      <c r="A59" s="333"/>
      <c r="B59" s="339"/>
      <c r="C59" s="180" t="s">
        <v>213</v>
      </c>
      <c r="D59" s="182">
        <f>PRODUCT('Rollen-Prozess-Matrix'!H23,'Kompetenz-Prozess-Matrix'!E27)</f>
        <v>0</v>
      </c>
      <c r="E59" s="182">
        <f>PRODUCT('Rollen-Prozess-Matrix'!I23,'Kompetenz-Prozess-Matrix'!E27)</f>
        <v>0</v>
      </c>
      <c r="F59" s="183">
        <f>PRODUCT('Rollen-Prozess-Matrix'!J23,'Kompetenz-Prozess-Matrix'!E27)</f>
        <v>0</v>
      </c>
      <c r="G59" s="183">
        <f>PRODUCT('Rollen-Prozess-Matrix'!K23,'Kompetenz-Prozess-Matrix'!E27)</f>
        <v>0</v>
      </c>
      <c r="H59" s="183">
        <f>PRODUCT('Rollen-Prozess-Matrix'!L23,'Kompetenz-Prozess-Matrix'!E27)</f>
        <v>6</v>
      </c>
      <c r="I59" s="183">
        <f>PRODUCT('Rollen-Prozess-Matrix'!M23,'Kompetenz-Prozess-Matrix'!E27)</f>
        <v>2</v>
      </c>
      <c r="J59" s="183">
        <f>PRODUCT('Rollen-Prozess-Matrix'!N23,'Kompetenz-Prozess-Matrix'!E27)</f>
        <v>0</v>
      </c>
      <c r="K59" s="183">
        <f>PRODUCT('Rollen-Prozess-Matrix'!O23,'Kompetenz-Prozess-Matrix'!E27)</f>
        <v>0</v>
      </c>
      <c r="L59" s="183">
        <f>PRODUCT('Rollen-Prozess-Matrix'!P23,'Kompetenz-Prozess-Matrix'!E27)</f>
        <v>4</v>
      </c>
      <c r="M59" s="183">
        <f>PRODUCT('Rollen-Prozess-Matrix'!Q23,'Kompetenz-Prozess-Matrix'!E27)</f>
        <v>0</v>
      </c>
      <c r="N59" s="183">
        <f>PRODUCT('Rollen-Prozess-Matrix'!R23,'Kompetenz-Prozess-Matrix'!E27)</f>
        <v>0</v>
      </c>
      <c r="O59" s="183">
        <f>PRODUCT('Rollen-Prozess-Matrix'!S23,'Kompetenz-Prozess-Matrix'!E27)</f>
        <v>0</v>
      </c>
      <c r="P59" s="183">
        <f>PRODUCT('Rollen-Prozess-Matrix'!T23,'Kompetenz-Prozess-Matrix'!E27)</f>
        <v>0</v>
      </c>
      <c r="Q59" s="185">
        <f>PRODUCT('Rollen-Prozess-Matrix'!U23,'Kompetenz-Prozess-Matrix'!E27)</f>
        <v>0</v>
      </c>
      <c r="AE59" s="2"/>
    </row>
    <row r="60" spans="1:31" ht="12.6" customHeight="1" outlineLevel="1" x14ac:dyDescent="0.35">
      <c r="A60" s="333"/>
      <c r="B60" s="339"/>
      <c r="C60" s="180" t="s">
        <v>217</v>
      </c>
      <c r="D60" s="182">
        <f>PRODUCT('Rollen-Prozess-Matrix'!H24,'Kompetenz-Prozess-Matrix'!E28)</f>
        <v>0</v>
      </c>
      <c r="E60" s="182">
        <f>PRODUCT('Rollen-Prozess-Matrix'!I24,'Kompetenz-Prozess-Matrix'!E28)</f>
        <v>0</v>
      </c>
      <c r="F60" s="183">
        <f>PRODUCT('Rollen-Prozess-Matrix'!J24,'Kompetenz-Prozess-Matrix'!E28)</f>
        <v>0</v>
      </c>
      <c r="G60" s="183">
        <f>PRODUCT('Rollen-Prozess-Matrix'!K24,'Kompetenz-Prozess-Matrix'!E28)</f>
        <v>0</v>
      </c>
      <c r="H60" s="183">
        <f>PRODUCT('Rollen-Prozess-Matrix'!L24,'Kompetenz-Prozess-Matrix'!E28)</f>
        <v>3</v>
      </c>
      <c r="I60" s="183">
        <f>PRODUCT('Rollen-Prozess-Matrix'!M24,'Kompetenz-Prozess-Matrix'!E28)</f>
        <v>0</v>
      </c>
      <c r="J60" s="183">
        <f>PRODUCT('Rollen-Prozess-Matrix'!N24,'Kompetenz-Prozess-Matrix'!E28)</f>
        <v>2</v>
      </c>
      <c r="K60" s="183">
        <f>PRODUCT('Rollen-Prozess-Matrix'!O24,'Kompetenz-Prozess-Matrix'!E28)</f>
        <v>2</v>
      </c>
      <c r="L60" s="183">
        <f>PRODUCT('Rollen-Prozess-Matrix'!P24,'Kompetenz-Prozess-Matrix'!E28)</f>
        <v>0</v>
      </c>
      <c r="M60" s="183">
        <f>PRODUCT('Rollen-Prozess-Matrix'!Q24,'Kompetenz-Prozess-Matrix'!E28)</f>
        <v>2</v>
      </c>
      <c r="N60" s="183">
        <f>PRODUCT('Rollen-Prozess-Matrix'!R24,'Kompetenz-Prozess-Matrix'!E28)</f>
        <v>0</v>
      </c>
      <c r="O60" s="183">
        <f>PRODUCT('Rollen-Prozess-Matrix'!S24,'Kompetenz-Prozess-Matrix'!E28)</f>
        <v>0</v>
      </c>
      <c r="P60" s="183">
        <f>PRODUCT('Rollen-Prozess-Matrix'!T24,'Kompetenz-Prozess-Matrix'!E28)</f>
        <v>0</v>
      </c>
      <c r="Q60" s="185">
        <f>PRODUCT('Rollen-Prozess-Matrix'!U24,'Kompetenz-Prozess-Matrix'!E28)</f>
        <v>0</v>
      </c>
      <c r="AE60" s="2"/>
    </row>
    <row r="61" spans="1:31" ht="12.6" customHeight="1" outlineLevel="1" x14ac:dyDescent="0.35">
      <c r="A61" s="333"/>
      <c r="B61" s="339"/>
      <c r="C61" s="180" t="s">
        <v>223</v>
      </c>
      <c r="D61" s="182">
        <f>PRODUCT('Rollen-Prozess-Matrix'!H25,'Kompetenz-Prozess-Matrix'!E29)</f>
        <v>0</v>
      </c>
      <c r="E61" s="182">
        <f>PRODUCT('Rollen-Prozess-Matrix'!I25,'Kompetenz-Prozess-Matrix'!E29)</f>
        <v>1</v>
      </c>
      <c r="F61" s="183">
        <f>PRODUCT('Rollen-Prozess-Matrix'!J25,'Kompetenz-Prozess-Matrix'!E29)</f>
        <v>0</v>
      </c>
      <c r="G61" s="183">
        <f>PRODUCT('Rollen-Prozess-Matrix'!K25,'Kompetenz-Prozess-Matrix'!E29)</f>
        <v>0</v>
      </c>
      <c r="H61" s="183">
        <f>PRODUCT('Rollen-Prozess-Matrix'!L25,'Kompetenz-Prozess-Matrix'!E29)</f>
        <v>3</v>
      </c>
      <c r="I61" s="183">
        <f>PRODUCT('Rollen-Prozess-Matrix'!M25,'Kompetenz-Prozess-Matrix'!E29)</f>
        <v>0</v>
      </c>
      <c r="J61" s="183">
        <f>PRODUCT('Rollen-Prozess-Matrix'!N25,'Kompetenz-Prozess-Matrix'!E29)</f>
        <v>0</v>
      </c>
      <c r="K61" s="183">
        <f>PRODUCT('Rollen-Prozess-Matrix'!O25,'Kompetenz-Prozess-Matrix'!E29)</f>
        <v>1</v>
      </c>
      <c r="L61" s="183">
        <f>PRODUCT('Rollen-Prozess-Matrix'!P25,'Kompetenz-Prozess-Matrix'!E29)</f>
        <v>1</v>
      </c>
      <c r="M61" s="183">
        <f>PRODUCT('Rollen-Prozess-Matrix'!Q25,'Kompetenz-Prozess-Matrix'!E29)</f>
        <v>2</v>
      </c>
      <c r="N61" s="183">
        <f>PRODUCT('Rollen-Prozess-Matrix'!R25,'Kompetenz-Prozess-Matrix'!E29)</f>
        <v>0</v>
      </c>
      <c r="O61" s="183">
        <f>PRODUCT('Rollen-Prozess-Matrix'!S25,'Kompetenz-Prozess-Matrix'!E29)</f>
        <v>0</v>
      </c>
      <c r="P61" s="183">
        <f>PRODUCT('Rollen-Prozess-Matrix'!T25,'Kompetenz-Prozess-Matrix'!E29)</f>
        <v>0</v>
      </c>
      <c r="Q61" s="185">
        <f>PRODUCT('Rollen-Prozess-Matrix'!U25,'Kompetenz-Prozess-Matrix'!E29)</f>
        <v>0</v>
      </c>
      <c r="AE61" s="2"/>
    </row>
    <row r="62" spans="1:31" ht="12.6" customHeight="1" outlineLevel="1" x14ac:dyDescent="0.35">
      <c r="A62" s="333"/>
      <c r="B62" s="339"/>
      <c r="C62" s="180" t="s">
        <v>229</v>
      </c>
      <c r="D62" s="182">
        <f>PRODUCT('Rollen-Prozess-Matrix'!H26,'Kompetenz-Prozess-Matrix'!E30)</f>
        <v>0</v>
      </c>
      <c r="E62" s="182">
        <f>PRODUCT('Rollen-Prozess-Matrix'!I26,'Kompetenz-Prozess-Matrix'!E30)</f>
        <v>1</v>
      </c>
      <c r="F62" s="183">
        <f>PRODUCT('Rollen-Prozess-Matrix'!J26,'Kompetenz-Prozess-Matrix'!E30)</f>
        <v>0</v>
      </c>
      <c r="G62" s="183">
        <f>PRODUCT('Rollen-Prozess-Matrix'!K26,'Kompetenz-Prozess-Matrix'!E30)</f>
        <v>0</v>
      </c>
      <c r="H62" s="183">
        <f>PRODUCT('Rollen-Prozess-Matrix'!L26,'Kompetenz-Prozess-Matrix'!E30)</f>
        <v>3</v>
      </c>
      <c r="I62" s="183">
        <f>PRODUCT('Rollen-Prozess-Matrix'!M26,'Kompetenz-Prozess-Matrix'!E30)</f>
        <v>1</v>
      </c>
      <c r="J62" s="183">
        <f>PRODUCT('Rollen-Prozess-Matrix'!N26,'Kompetenz-Prozess-Matrix'!E30)</f>
        <v>1</v>
      </c>
      <c r="K62" s="183">
        <f>PRODUCT('Rollen-Prozess-Matrix'!O26,'Kompetenz-Prozess-Matrix'!E30)</f>
        <v>0</v>
      </c>
      <c r="L62" s="183">
        <f>PRODUCT('Rollen-Prozess-Matrix'!P26,'Kompetenz-Prozess-Matrix'!E30)</f>
        <v>2</v>
      </c>
      <c r="M62" s="183">
        <f>PRODUCT('Rollen-Prozess-Matrix'!Q26,'Kompetenz-Prozess-Matrix'!E30)</f>
        <v>0</v>
      </c>
      <c r="N62" s="183">
        <f>PRODUCT('Rollen-Prozess-Matrix'!R26,'Kompetenz-Prozess-Matrix'!E30)</f>
        <v>0</v>
      </c>
      <c r="O62" s="183">
        <f>PRODUCT('Rollen-Prozess-Matrix'!S26,'Kompetenz-Prozess-Matrix'!E30)</f>
        <v>1</v>
      </c>
      <c r="P62" s="183">
        <f>PRODUCT('Rollen-Prozess-Matrix'!T26,'Kompetenz-Prozess-Matrix'!E30)</f>
        <v>0</v>
      </c>
      <c r="Q62" s="185">
        <f>PRODUCT('Rollen-Prozess-Matrix'!U26,'Kompetenz-Prozess-Matrix'!E30)</f>
        <v>0</v>
      </c>
      <c r="AE62" s="2"/>
    </row>
    <row r="63" spans="1:31" ht="12.6" customHeight="1" outlineLevel="1" x14ac:dyDescent="0.35">
      <c r="A63" s="333"/>
      <c r="B63" s="339"/>
      <c r="C63" s="180" t="s">
        <v>235</v>
      </c>
      <c r="D63" s="182">
        <f>PRODUCT('Rollen-Prozess-Matrix'!H27,'Kompetenz-Prozess-Matrix'!E31)</f>
        <v>2</v>
      </c>
      <c r="E63" s="182">
        <f>PRODUCT('Rollen-Prozess-Matrix'!I27,'Kompetenz-Prozess-Matrix'!E31)</f>
        <v>2</v>
      </c>
      <c r="F63" s="183">
        <f>PRODUCT('Rollen-Prozess-Matrix'!J27,'Kompetenz-Prozess-Matrix'!E31)</f>
        <v>0</v>
      </c>
      <c r="G63" s="183">
        <f>PRODUCT('Rollen-Prozess-Matrix'!K27,'Kompetenz-Prozess-Matrix'!E31)</f>
        <v>0</v>
      </c>
      <c r="H63" s="183">
        <f>PRODUCT('Rollen-Prozess-Matrix'!L27,'Kompetenz-Prozess-Matrix'!E31)</f>
        <v>3</v>
      </c>
      <c r="I63" s="183">
        <f>PRODUCT('Rollen-Prozess-Matrix'!M27,'Kompetenz-Prozess-Matrix'!E31)</f>
        <v>0</v>
      </c>
      <c r="J63" s="183">
        <f>PRODUCT('Rollen-Prozess-Matrix'!N27,'Kompetenz-Prozess-Matrix'!E31)</f>
        <v>0</v>
      </c>
      <c r="K63" s="183">
        <f>PRODUCT('Rollen-Prozess-Matrix'!O27,'Kompetenz-Prozess-Matrix'!E31)</f>
        <v>2</v>
      </c>
      <c r="L63" s="183">
        <f>PRODUCT('Rollen-Prozess-Matrix'!P27,'Kompetenz-Prozess-Matrix'!E31)</f>
        <v>0</v>
      </c>
      <c r="M63" s="183">
        <f>PRODUCT('Rollen-Prozess-Matrix'!Q27,'Kompetenz-Prozess-Matrix'!E31)</f>
        <v>0</v>
      </c>
      <c r="N63" s="183">
        <f>PRODUCT('Rollen-Prozess-Matrix'!R27,'Kompetenz-Prozess-Matrix'!E31)</f>
        <v>2</v>
      </c>
      <c r="O63" s="183">
        <f>PRODUCT('Rollen-Prozess-Matrix'!S27,'Kompetenz-Prozess-Matrix'!E31)</f>
        <v>0</v>
      </c>
      <c r="P63" s="183">
        <f>PRODUCT('Rollen-Prozess-Matrix'!T27,'Kompetenz-Prozess-Matrix'!E31)</f>
        <v>0</v>
      </c>
      <c r="Q63" s="185">
        <f>PRODUCT('Rollen-Prozess-Matrix'!U27,'Kompetenz-Prozess-Matrix'!E31)</f>
        <v>0</v>
      </c>
      <c r="AE63" s="2"/>
    </row>
    <row r="64" spans="1:31" ht="12.6" customHeight="1" outlineLevel="1" x14ac:dyDescent="0.35">
      <c r="A64" s="333"/>
      <c r="B64" s="339"/>
      <c r="C64" s="180" t="s">
        <v>242</v>
      </c>
      <c r="D64" s="182">
        <f>PRODUCT('Rollen-Prozess-Matrix'!H28,'Kompetenz-Prozess-Matrix'!E32)</f>
        <v>1</v>
      </c>
      <c r="E64" s="182">
        <f>PRODUCT('Rollen-Prozess-Matrix'!I28,'Kompetenz-Prozess-Matrix'!E32)</f>
        <v>1</v>
      </c>
      <c r="F64" s="183">
        <f>PRODUCT('Rollen-Prozess-Matrix'!J28,'Kompetenz-Prozess-Matrix'!E32)</f>
        <v>0</v>
      </c>
      <c r="G64" s="183">
        <f>PRODUCT('Rollen-Prozess-Matrix'!K28,'Kompetenz-Prozess-Matrix'!E32)</f>
        <v>0</v>
      </c>
      <c r="H64" s="183">
        <f>PRODUCT('Rollen-Prozess-Matrix'!L28,'Kompetenz-Prozess-Matrix'!E32)</f>
        <v>3</v>
      </c>
      <c r="I64" s="183">
        <f>PRODUCT('Rollen-Prozess-Matrix'!M28,'Kompetenz-Prozess-Matrix'!E32)</f>
        <v>0</v>
      </c>
      <c r="J64" s="183">
        <f>PRODUCT('Rollen-Prozess-Matrix'!N28,'Kompetenz-Prozess-Matrix'!E32)</f>
        <v>0</v>
      </c>
      <c r="K64" s="183">
        <f>PRODUCT('Rollen-Prozess-Matrix'!O28,'Kompetenz-Prozess-Matrix'!E32)</f>
        <v>0</v>
      </c>
      <c r="L64" s="183">
        <f>PRODUCT('Rollen-Prozess-Matrix'!P28,'Kompetenz-Prozess-Matrix'!E32)</f>
        <v>2</v>
      </c>
      <c r="M64" s="183">
        <f>PRODUCT('Rollen-Prozess-Matrix'!Q28,'Kompetenz-Prozess-Matrix'!E32)</f>
        <v>0</v>
      </c>
      <c r="N64" s="183">
        <f>PRODUCT('Rollen-Prozess-Matrix'!R28,'Kompetenz-Prozess-Matrix'!E32)</f>
        <v>0</v>
      </c>
      <c r="O64" s="183">
        <f>PRODUCT('Rollen-Prozess-Matrix'!S28,'Kompetenz-Prozess-Matrix'!E32)</f>
        <v>1</v>
      </c>
      <c r="P64" s="183">
        <f>PRODUCT('Rollen-Prozess-Matrix'!T28,'Kompetenz-Prozess-Matrix'!E32)</f>
        <v>0</v>
      </c>
      <c r="Q64" s="185">
        <f>PRODUCT('Rollen-Prozess-Matrix'!U28,'Kompetenz-Prozess-Matrix'!E32)</f>
        <v>0</v>
      </c>
      <c r="AE64" s="2"/>
    </row>
    <row r="65" spans="1:31" ht="12.6" customHeight="1" outlineLevel="1" x14ac:dyDescent="0.35">
      <c r="A65" s="333"/>
      <c r="B65" s="339"/>
      <c r="C65" s="180" t="s">
        <v>248</v>
      </c>
      <c r="D65" s="182">
        <f>PRODUCT('Rollen-Prozess-Matrix'!H29,'Kompetenz-Prozess-Matrix'!E33)</f>
        <v>2</v>
      </c>
      <c r="E65" s="182">
        <f>PRODUCT('Rollen-Prozess-Matrix'!I29,'Kompetenz-Prozess-Matrix'!E33)</f>
        <v>0</v>
      </c>
      <c r="F65" s="183">
        <f>PRODUCT('Rollen-Prozess-Matrix'!J29,'Kompetenz-Prozess-Matrix'!E33)</f>
        <v>0</v>
      </c>
      <c r="G65" s="183">
        <f>PRODUCT('Rollen-Prozess-Matrix'!K29,'Kompetenz-Prozess-Matrix'!E33)</f>
        <v>0</v>
      </c>
      <c r="H65" s="183">
        <f>PRODUCT('Rollen-Prozess-Matrix'!L29,'Kompetenz-Prozess-Matrix'!E33)</f>
        <v>3</v>
      </c>
      <c r="I65" s="183">
        <f>PRODUCT('Rollen-Prozess-Matrix'!M29,'Kompetenz-Prozess-Matrix'!E33)</f>
        <v>1</v>
      </c>
      <c r="J65" s="183">
        <f>PRODUCT('Rollen-Prozess-Matrix'!N29,'Kompetenz-Prozess-Matrix'!E33)</f>
        <v>0</v>
      </c>
      <c r="K65" s="183">
        <f>PRODUCT('Rollen-Prozess-Matrix'!O29,'Kompetenz-Prozess-Matrix'!E33)</f>
        <v>0</v>
      </c>
      <c r="L65" s="183">
        <f>PRODUCT('Rollen-Prozess-Matrix'!P29,'Kompetenz-Prozess-Matrix'!E33)</f>
        <v>0</v>
      </c>
      <c r="M65" s="183">
        <f>PRODUCT('Rollen-Prozess-Matrix'!Q29,'Kompetenz-Prozess-Matrix'!E33)</f>
        <v>0</v>
      </c>
      <c r="N65" s="183">
        <f>PRODUCT('Rollen-Prozess-Matrix'!R29,'Kompetenz-Prozess-Matrix'!E33)</f>
        <v>1</v>
      </c>
      <c r="O65" s="183">
        <f>PRODUCT('Rollen-Prozess-Matrix'!S29,'Kompetenz-Prozess-Matrix'!E33)</f>
        <v>0</v>
      </c>
      <c r="P65" s="183">
        <f>PRODUCT('Rollen-Prozess-Matrix'!T29,'Kompetenz-Prozess-Matrix'!E33)</f>
        <v>0</v>
      </c>
      <c r="Q65" s="185">
        <f>PRODUCT('Rollen-Prozess-Matrix'!U29,'Kompetenz-Prozess-Matrix'!E33)</f>
        <v>0</v>
      </c>
      <c r="AE65" s="2"/>
    </row>
    <row r="66" spans="1:31" ht="12.6" customHeight="1" outlineLevel="1" x14ac:dyDescent="0.35">
      <c r="A66" s="333"/>
      <c r="B66" s="339"/>
      <c r="C66" s="180" t="s">
        <v>255</v>
      </c>
      <c r="D66" s="182">
        <f>PRODUCT('Rollen-Prozess-Matrix'!H30,'Kompetenz-Prozess-Matrix'!E34)</f>
        <v>2</v>
      </c>
      <c r="E66" s="182">
        <f>PRODUCT('Rollen-Prozess-Matrix'!I30,'Kompetenz-Prozess-Matrix'!E34)</f>
        <v>0</v>
      </c>
      <c r="F66" s="183">
        <f>PRODUCT('Rollen-Prozess-Matrix'!J30,'Kompetenz-Prozess-Matrix'!E34)</f>
        <v>0</v>
      </c>
      <c r="G66" s="183">
        <f>PRODUCT('Rollen-Prozess-Matrix'!K30,'Kompetenz-Prozess-Matrix'!E34)</f>
        <v>0</v>
      </c>
      <c r="H66" s="183">
        <f>PRODUCT('Rollen-Prozess-Matrix'!L30,'Kompetenz-Prozess-Matrix'!E34)</f>
        <v>3</v>
      </c>
      <c r="I66" s="183">
        <f>PRODUCT('Rollen-Prozess-Matrix'!M30,'Kompetenz-Prozess-Matrix'!E34)</f>
        <v>1</v>
      </c>
      <c r="J66" s="183">
        <f>PRODUCT('Rollen-Prozess-Matrix'!N30,'Kompetenz-Prozess-Matrix'!E34)</f>
        <v>0</v>
      </c>
      <c r="K66" s="183">
        <f>PRODUCT('Rollen-Prozess-Matrix'!O30,'Kompetenz-Prozess-Matrix'!E34)</f>
        <v>0</v>
      </c>
      <c r="L66" s="183">
        <f>PRODUCT('Rollen-Prozess-Matrix'!P30,'Kompetenz-Prozess-Matrix'!E34)</f>
        <v>0</v>
      </c>
      <c r="M66" s="183">
        <f>PRODUCT('Rollen-Prozess-Matrix'!Q30,'Kompetenz-Prozess-Matrix'!E34)</f>
        <v>0</v>
      </c>
      <c r="N66" s="183">
        <f>PRODUCT('Rollen-Prozess-Matrix'!R30,'Kompetenz-Prozess-Matrix'!E34)</f>
        <v>2</v>
      </c>
      <c r="O66" s="183">
        <f>PRODUCT('Rollen-Prozess-Matrix'!S30,'Kompetenz-Prozess-Matrix'!E34)</f>
        <v>0</v>
      </c>
      <c r="P66" s="183">
        <f>PRODUCT('Rollen-Prozess-Matrix'!T30,'Kompetenz-Prozess-Matrix'!E34)</f>
        <v>0</v>
      </c>
      <c r="Q66" s="185">
        <f>PRODUCT('Rollen-Prozess-Matrix'!U30,'Kompetenz-Prozess-Matrix'!E34)</f>
        <v>0</v>
      </c>
      <c r="AE66" s="2"/>
    </row>
    <row r="67" spans="1:31" ht="12.6" customHeight="1" outlineLevel="1" x14ac:dyDescent="0.35">
      <c r="A67" s="333"/>
      <c r="B67" s="339"/>
      <c r="C67" s="180" t="s">
        <v>261</v>
      </c>
      <c r="D67" s="182">
        <f>PRODUCT('Rollen-Prozess-Matrix'!H31,'Kompetenz-Prozess-Matrix'!E35)</f>
        <v>2</v>
      </c>
      <c r="E67" s="182">
        <f>PRODUCT('Rollen-Prozess-Matrix'!I31,'Kompetenz-Prozess-Matrix'!E35)</f>
        <v>0</v>
      </c>
      <c r="F67" s="183">
        <f>PRODUCT('Rollen-Prozess-Matrix'!J31,'Kompetenz-Prozess-Matrix'!E35)</f>
        <v>0</v>
      </c>
      <c r="G67" s="183">
        <f>PRODUCT('Rollen-Prozess-Matrix'!K31,'Kompetenz-Prozess-Matrix'!E35)</f>
        <v>0</v>
      </c>
      <c r="H67" s="183">
        <f>PRODUCT('Rollen-Prozess-Matrix'!L31,'Kompetenz-Prozess-Matrix'!E35)</f>
        <v>3</v>
      </c>
      <c r="I67" s="183">
        <f>PRODUCT('Rollen-Prozess-Matrix'!M31,'Kompetenz-Prozess-Matrix'!E35)</f>
        <v>0</v>
      </c>
      <c r="J67" s="183">
        <f>PRODUCT('Rollen-Prozess-Matrix'!N31,'Kompetenz-Prozess-Matrix'!E35)</f>
        <v>0</v>
      </c>
      <c r="K67" s="183">
        <f>PRODUCT('Rollen-Prozess-Matrix'!O31,'Kompetenz-Prozess-Matrix'!E35)</f>
        <v>0</v>
      </c>
      <c r="L67" s="183">
        <f>PRODUCT('Rollen-Prozess-Matrix'!P31,'Kompetenz-Prozess-Matrix'!E35)</f>
        <v>0</v>
      </c>
      <c r="M67" s="183">
        <f>PRODUCT('Rollen-Prozess-Matrix'!Q31,'Kompetenz-Prozess-Matrix'!E35)</f>
        <v>0</v>
      </c>
      <c r="N67" s="183">
        <f>PRODUCT('Rollen-Prozess-Matrix'!R31,'Kompetenz-Prozess-Matrix'!E35)</f>
        <v>1</v>
      </c>
      <c r="O67" s="183">
        <f>PRODUCT('Rollen-Prozess-Matrix'!S31,'Kompetenz-Prozess-Matrix'!E35)</f>
        <v>0</v>
      </c>
      <c r="P67" s="183">
        <f>PRODUCT('Rollen-Prozess-Matrix'!T31,'Kompetenz-Prozess-Matrix'!E35)</f>
        <v>0</v>
      </c>
      <c r="Q67" s="185">
        <f>PRODUCT('Rollen-Prozess-Matrix'!U31,'Kompetenz-Prozess-Matrix'!E35)</f>
        <v>0</v>
      </c>
      <c r="AE67" s="2"/>
    </row>
    <row r="68" spans="1:31" ht="12.6" customHeight="1" outlineLevel="1" x14ac:dyDescent="0.35">
      <c r="A68" s="333"/>
      <c r="B68" s="339"/>
      <c r="C68" s="180" t="s">
        <v>264</v>
      </c>
      <c r="D68" s="182">
        <f>PRODUCT('Rollen-Prozess-Matrix'!H32,'Kompetenz-Prozess-Matrix'!E36)</f>
        <v>0</v>
      </c>
      <c r="E68" s="182">
        <f>PRODUCT('Rollen-Prozess-Matrix'!I32,'Kompetenz-Prozess-Matrix'!E36)</f>
        <v>0</v>
      </c>
      <c r="F68" s="183">
        <f>PRODUCT('Rollen-Prozess-Matrix'!J32,'Kompetenz-Prozess-Matrix'!E36)</f>
        <v>0</v>
      </c>
      <c r="G68" s="183">
        <f>PRODUCT('Rollen-Prozess-Matrix'!K32,'Kompetenz-Prozess-Matrix'!E36)</f>
        <v>4</v>
      </c>
      <c r="H68" s="183">
        <f>PRODUCT('Rollen-Prozess-Matrix'!L32,'Kompetenz-Prozess-Matrix'!E36)</f>
        <v>2</v>
      </c>
      <c r="I68" s="183">
        <f>PRODUCT('Rollen-Prozess-Matrix'!M32,'Kompetenz-Prozess-Matrix'!E36)</f>
        <v>0</v>
      </c>
      <c r="J68" s="183">
        <f>PRODUCT('Rollen-Prozess-Matrix'!N32,'Kompetenz-Prozess-Matrix'!E36)</f>
        <v>0</v>
      </c>
      <c r="K68" s="183">
        <f>PRODUCT('Rollen-Prozess-Matrix'!O32,'Kompetenz-Prozess-Matrix'!E36)</f>
        <v>0</v>
      </c>
      <c r="L68" s="183">
        <f>PRODUCT('Rollen-Prozess-Matrix'!P32,'Kompetenz-Prozess-Matrix'!E36)</f>
        <v>0</v>
      </c>
      <c r="M68" s="183">
        <f>PRODUCT('Rollen-Prozess-Matrix'!Q32,'Kompetenz-Prozess-Matrix'!E36)</f>
        <v>0</v>
      </c>
      <c r="N68" s="183">
        <f>PRODUCT('Rollen-Prozess-Matrix'!R32,'Kompetenz-Prozess-Matrix'!E36)</f>
        <v>0</v>
      </c>
      <c r="O68" s="183">
        <f>PRODUCT('Rollen-Prozess-Matrix'!S32,'Kompetenz-Prozess-Matrix'!E36)</f>
        <v>0</v>
      </c>
      <c r="P68" s="183">
        <f>PRODUCT('Rollen-Prozess-Matrix'!T32,'Kompetenz-Prozess-Matrix'!E36)</f>
        <v>0</v>
      </c>
      <c r="Q68" s="185">
        <f>PRODUCT('Rollen-Prozess-Matrix'!U32,'Kompetenz-Prozess-Matrix'!E36)</f>
        <v>0</v>
      </c>
      <c r="AE68" s="2"/>
    </row>
    <row r="69" spans="1:31" ht="13.35" customHeight="1" outlineLevel="1" x14ac:dyDescent="0.35">
      <c r="A69" s="333"/>
      <c r="B69" s="339"/>
      <c r="C69" s="180" t="s">
        <v>266</v>
      </c>
      <c r="D69" s="182">
        <f>PRODUCT('Rollen-Prozess-Matrix'!H33,'Kompetenz-Prozess-Matrix'!E37)</f>
        <v>0</v>
      </c>
      <c r="E69" s="182">
        <f>PRODUCT('Rollen-Prozess-Matrix'!I33,'Kompetenz-Prozess-Matrix'!E37)</f>
        <v>0</v>
      </c>
      <c r="F69" s="183">
        <f>PRODUCT('Rollen-Prozess-Matrix'!J33,'Kompetenz-Prozess-Matrix'!E37)</f>
        <v>0</v>
      </c>
      <c r="G69" s="183">
        <f>PRODUCT('Rollen-Prozess-Matrix'!K33,'Kompetenz-Prozess-Matrix'!E37)</f>
        <v>0</v>
      </c>
      <c r="H69" s="183">
        <f>PRODUCT('Rollen-Prozess-Matrix'!L33,'Kompetenz-Prozess-Matrix'!E37)</f>
        <v>0</v>
      </c>
      <c r="I69" s="183">
        <f>PRODUCT('Rollen-Prozess-Matrix'!M33,'Kompetenz-Prozess-Matrix'!E37)</f>
        <v>0</v>
      </c>
      <c r="J69" s="183">
        <f>PRODUCT('Rollen-Prozess-Matrix'!N33,'Kompetenz-Prozess-Matrix'!E37)</f>
        <v>0</v>
      </c>
      <c r="K69" s="183">
        <f>PRODUCT('Rollen-Prozess-Matrix'!O33,'Kompetenz-Prozess-Matrix'!E37)</f>
        <v>0</v>
      </c>
      <c r="L69" s="183">
        <f>PRODUCT('Rollen-Prozess-Matrix'!P33,'Kompetenz-Prozess-Matrix'!E37)</f>
        <v>0</v>
      </c>
      <c r="M69" s="183">
        <f>PRODUCT('Rollen-Prozess-Matrix'!Q33,'Kompetenz-Prozess-Matrix'!E37)</f>
        <v>0</v>
      </c>
      <c r="N69" s="183">
        <f>PRODUCT('Rollen-Prozess-Matrix'!R33,'Kompetenz-Prozess-Matrix'!E37)</f>
        <v>0</v>
      </c>
      <c r="O69" s="183">
        <f>PRODUCT('Rollen-Prozess-Matrix'!S33,'Kompetenz-Prozess-Matrix'!E37)</f>
        <v>0</v>
      </c>
      <c r="P69" s="183">
        <f>PRODUCT('Rollen-Prozess-Matrix'!T33,'Kompetenz-Prozess-Matrix'!E37)</f>
        <v>0</v>
      </c>
      <c r="Q69" s="185">
        <f>PRODUCT('Rollen-Prozess-Matrix'!U33,'Kompetenz-Prozess-Matrix'!E37)</f>
        <v>0</v>
      </c>
      <c r="AE69" s="2"/>
    </row>
    <row r="70" spans="1:31" ht="13.35" customHeight="1" outlineLevel="1" thickBot="1" x14ac:dyDescent="0.4">
      <c r="A70" s="333"/>
      <c r="B70" s="340"/>
      <c r="C70" s="181" t="s">
        <v>289</v>
      </c>
      <c r="D70" s="182">
        <f>PRODUCT('Rollen-Prozess-Matrix'!H34,'Kompetenz-Prozess-Matrix'!E38)</f>
        <v>0</v>
      </c>
      <c r="E70" s="182">
        <f>PRODUCT('Rollen-Prozess-Matrix'!I34,'Kompetenz-Prozess-Matrix'!E38)</f>
        <v>0</v>
      </c>
      <c r="F70" s="183">
        <f>PRODUCT('Rollen-Prozess-Matrix'!J34,'Kompetenz-Prozess-Matrix'!E38)</f>
        <v>0</v>
      </c>
      <c r="G70" s="183">
        <f>PRODUCT('Rollen-Prozess-Matrix'!K34,'Kompetenz-Prozess-Matrix'!E38)</f>
        <v>4</v>
      </c>
      <c r="H70" s="183">
        <f>PRODUCT('Rollen-Prozess-Matrix'!L34,'Kompetenz-Prozess-Matrix'!E38)</f>
        <v>0</v>
      </c>
      <c r="I70" s="183">
        <f>PRODUCT('Rollen-Prozess-Matrix'!M34,'Kompetenz-Prozess-Matrix'!E38)</f>
        <v>0</v>
      </c>
      <c r="J70" s="183">
        <f>PRODUCT('Rollen-Prozess-Matrix'!N34,'Kompetenz-Prozess-Matrix'!E38)</f>
        <v>0</v>
      </c>
      <c r="K70" s="183">
        <f>PRODUCT('Rollen-Prozess-Matrix'!O34,'Kompetenz-Prozess-Matrix'!E38)</f>
        <v>0</v>
      </c>
      <c r="L70" s="183">
        <f>PRODUCT('Rollen-Prozess-Matrix'!P34,'Kompetenz-Prozess-Matrix'!E38)</f>
        <v>0</v>
      </c>
      <c r="M70" s="183">
        <f>PRODUCT('Rollen-Prozess-Matrix'!Q34,'Kompetenz-Prozess-Matrix'!E38)</f>
        <v>0</v>
      </c>
      <c r="N70" s="183">
        <f>PRODUCT('Rollen-Prozess-Matrix'!R34,'Kompetenz-Prozess-Matrix'!E38)</f>
        <v>0</v>
      </c>
      <c r="O70" s="183">
        <f>PRODUCT('Rollen-Prozess-Matrix'!S34,'Kompetenz-Prozess-Matrix'!E38)</f>
        <v>0</v>
      </c>
      <c r="P70" s="183">
        <f>PRODUCT('Rollen-Prozess-Matrix'!T34,'Kompetenz-Prozess-Matrix'!E38)</f>
        <v>0</v>
      </c>
      <c r="Q70" s="185">
        <f>PRODUCT('Rollen-Prozess-Matrix'!U34,'Kompetenz-Prozess-Matrix'!E38)</f>
        <v>0</v>
      </c>
      <c r="AE70" s="2"/>
    </row>
    <row r="71" spans="1:31" ht="24" customHeight="1" thickBot="1" x14ac:dyDescent="0.4">
      <c r="A71" s="333"/>
      <c r="B71" s="338" t="s">
        <v>31</v>
      </c>
      <c r="C71" s="178"/>
      <c r="D71" s="184">
        <f>MAX(D72:D104)</f>
        <v>2</v>
      </c>
      <c r="E71" s="184">
        <f t="shared" ref="E71" si="14">MAX(E72:E104)</f>
        <v>4</v>
      </c>
      <c r="F71" s="184">
        <f t="shared" ref="F71" si="15">MAX(F72:F104)</f>
        <v>4</v>
      </c>
      <c r="G71" s="184">
        <f t="shared" ref="G71" si="16">MAX(G72:G104)</f>
        <v>4</v>
      </c>
      <c r="H71" s="184">
        <f t="shared" ref="H71" si="17">MAX(H72:H104)</f>
        <v>6</v>
      </c>
      <c r="I71" s="184">
        <f t="shared" ref="I71" si="18">MAX(I72:I104)</f>
        <v>4</v>
      </c>
      <c r="J71" s="184">
        <f t="shared" ref="J71" si="19">MAX(J72:J104)</f>
        <v>4</v>
      </c>
      <c r="K71" s="184">
        <f t="shared" ref="K71" si="20">MAX(K72:K104)</f>
        <v>2</v>
      </c>
      <c r="L71" s="184">
        <f t="shared" ref="L71" si="21">MAX(L72:L104)</f>
        <v>4</v>
      </c>
      <c r="M71" s="184">
        <f t="shared" ref="M71" si="22">MAX(M72:M104)</f>
        <v>2</v>
      </c>
      <c r="N71" s="184">
        <f t="shared" ref="N71" si="23">MAX(N72:N104)</f>
        <v>2</v>
      </c>
      <c r="O71" s="184">
        <f t="shared" ref="O71" si="24">MAX(O72:O104)</f>
        <v>2</v>
      </c>
      <c r="P71" s="184">
        <f t="shared" ref="P71" si="25">MAX(P72:P104)</f>
        <v>4</v>
      </c>
      <c r="Q71" s="199">
        <f t="shared" ref="Q71" si="26">MAX(Q72:Q104)</f>
        <v>4</v>
      </c>
      <c r="S71">
        <v>1</v>
      </c>
      <c r="AE71" s="2"/>
    </row>
    <row r="72" spans="1:31" ht="12.6" hidden="1" customHeight="1" outlineLevel="1" x14ac:dyDescent="0.35">
      <c r="A72" s="333"/>
      <c r="B72" s="339"/>
      <c r="C72" s="179" t="s">
        <v>123</v>
      </c>
      <c r="D72" s="182">
        <f>PRODUCT('Rollen-Prozess-Matrix'!H2,'Kompetenz-Prozess-Matrix'!F6)</f>
        <v>0</v>
      </c>
      <c r="E72" s="183">
        <f>PRODUCT('Rollen-Prozess-Matrix'!I2,'Kompetenz-Prozess-Matrix'!F6)</f>
        <v>0</v>
      </c>
      <c r="F72" s="183">
        <f>PRODUCT('Rollen-Prozess-Matrix'!J2,'Kompetenz-Prozess-Matrix'!F6)</f>
        <v>0</v>
      </c>
      <c r="G72" s="183">
        <f>PRODUCT('Rollen-Prozess-Matrix'!K2,'Kompetenz-Prozess-Matrix'!F6)</f>
        <v>0</v>
      </c>
      <c r="H72" s="183">
        <f>PRODUCT('Rollen-Prozess-Matrix'!L2,'Kompetenz-Prozess-Matrix'!F6)</f>
        <v>0</v>
      </c>
      <c r="I72" s="183">
        <f>PRODUCT('Rollen-Prozess-Matrix'!M2,'Kompetenz-Prozess-Matrix'!F6)</f>
        <v>0</v>
      </c>
      <c r="J72" s="183">
        <f>PRODUCT('Rollen-Prozess-Matrix'!N2,'Kompetenz-Prozess-Matrix'!F6)</f>
        <v>0</v>
      </c>
      <c r="K72" s="183">
        <f>PRODUCT('Rollen-Prozess-Matrix'!O2,'Kompetenz-Prozess-Matrix'!F6)</f>
        <v>0</v>
      </c>
      <c r="L72" s="183">
        <f>PRODUCT('Rollen-Prozess-Matrix'!P2,'Kompetenz-Prozess-Matrix'!F6)</f>
        <v>0</v>
      </c>
      <c r="M72" s="183">
        <f>PRODUCT('Rollen-Prozess-Matrix'!Q2,'Kompetenz-Prozess-Matrix'!F6)</f>
        <v>0</v>
      </c>
      <c r="N72" s="183">
        <f>PRODUCT('Rollen-Prozess-Matrix'!R2,'Kompetenz-Prozess-Matrix'!F6)</f>
        <v>0</v>
      </c>
      <c r="O72" s="183">
        <f>PRODUCT('Rollen-Prozess-Matrix'!S2,'Kompetenz-Prozess-Matrix'!F6)</f>
        <v>0</v>
      </c>
      <c r="P72" s="183">
        <f>PRODUCT('Rollen-Prozess-Matrix'!T2,'Kompetenz-Prozess-Matrix'!F6)</f>
        <v>0</v>
      </c>
      <c r="Q72" s="185">
        <f>PRODUCT('Rollen-Prozess-Matrix'!U2,'Kompetenz-Prozess-Matrix'!F6)</f>
        <v>0</v>
      </c>
    </row>
    <row r="73" spans="1:31" ht="12.6" hidden="1" customHeight="1" outlineLevel="1" x14ac:dyDescent="0.35">
      <c r="A73" s="333"/>
      <c r="B73" s="339"/>
      <c r="C73" s="180" t="s">
        <v>127</v>
      </c>
      <c r="D73" s="182">
        <f>PRODUCT('Rollen-Prozess-Matrix'!H3,'Kompetenz-Prozess-Matrix'!F7)</f>
        <v>0</v>
      </c>
      <c r="E73" s="183">
        <f>PRODUCT('Rollen-Prozess-Matrix'!I3,'Kompetenz-Prozess-Matrix'!F7)</f>
        <v>0</v>
      </c>
      <c r="F73" s="183">
        <f>PRODUCT('Rollen-Prozess-Matrix'!J3,'Kompetenz-Prozess-Matrix'!F7)</f>
        <v>0</v>
      </c>
      <c r="G73" s="183">
        <f>PRODUCT('Rollen-Prozess-Matrix'!K3,'Kompetenz-Prozess-Matrix'!F7)</f>
        <v>0</v>
      </c>
      <c r="H73" s="183">
        <f>PRODUCT('Rollen-Prozess-Matrix'!L3,'Kompetenz-Prozess-Matrix'!F7)</f>
        <v>0</v>
      </c>
      <c r="I73" s="183">
        <f>PRODUCT('Rollen-Prozess-Matrix'!M3,'Kompetenz-Prozess-Matrix'!F7)</f>
        <v>0</v>
      </c>
      <c r="J73" s="183">
        <f>PRODUCT('Rollen-Prozess-Matrix'!N3,'Kompetenz-Prozess-Matrix'!F7)</f>
        <v>0</v>
      </c>
      <c r="K73" s="183">
        <f>PRODUCT('Rollen-Prozess-Matrix'!O3,'Kompetenz-Prozess-Matrix'!F7)</f>
        <v>0</v>
      </c>
      <c r="L73" s="183">
        <f>PRODUCT('Rollen-Prozess-Matrix'!P3,'Kompetenz-Prozess-Matrix'!F7)</f>
        <v>0</v>
      </c>
      <c r="M73" s="183">
        <f>PRODUCT('Rollen-Prozess-Matrix'!Q3,'Kompetenz-Prozess-Matrix'!F7)</f>
        <v>0</v>
      </c>
      <c r="N73" s="183">
        <f>PRODUCT('Rollen-Prozess-Matrix'!R3,'Kompetenz-Prozess-Matrix'!F7)</f>
        <v>0</v>
      </c>
      <c r="O73" s="183">
        <f>PRODUCT('Rollen-Prozess-Matrix'!S3,'Kompetenz-Prozess-Matrix'!F7)</f>
        <v>0</v>
      </c>
      <c r="P73" s="183">
        <f>PRODUCT('Rollen-Prozess-Matrix'!T3,'Kompetenz-Prozess-Matrix'!F7)</f>
        <v>0</v>
      </c>
      <c r="Q73" s="185">
        <f>PRODUCT('Rollen-Prozess-Matrix'!U3,'Kompetenz-Prozess-Matrix'!F7)</f>
        <v>0</v>
      </c>
    </row>
    <row r="74" spans="1:31" ht="13.35" hidden="1" customHeight="1" outlineLevel="1" x14ac:dyDescent="0.35">
      <c r="A74" s="333"/>
      <c r="B74" s="339"/>
      <c r="C74" s="180" t="s">
        <v>132</v>
      </c>
      <c r="D74" s="182">
        <f>PRODUCT('Rollen-Prozess-Matrix'!H4,'Kompetenz-Prozess-Matrix'!F8)</f>
        <v>0</v>
      </c>
      <c r="E74" s="183">
        <f>PRODUCT('Rollen-Prozess-Matrix'!I4,'Kompetenz-Prozess-Matrix'!F8)</f>
        <v>0</v>
      </c>
      <c r="F74" s="183">
        <f>PRODUCT('Rollen-Prozess-Matrix'!J4,'Kompetenz-Prozess-Matrix'!F8)</f>
        <v>0</v>
      </c>
      <c r="G74" s="183">
        <f>PRODUCT('Rollen-Prozess-Matrix'!K4,'Kompetenz-Prozess-Matrix'!F8)</f>
        <v>2</v>
      </c>
      <c r="H74" s="183">
        <f>PRODUCT('Rollen-Prozess-Matrix'!L4,'Kompetenz-Prozess-Matrix'!F8)</f>
        <v>6</v>
      </c>
      <c r="I74" s="183">
        <f>PRODUCT('Rollen-Prozess-Matrix'!M4,'Kompetenz-Prozess-Matrix'!F8)</f>
        <v>0</v>
      </c>
      <c r="J74" s="183">
        <f>PRODUCT('Rollen-Prozess-Matrix'!N4,'Kompetenz-Prozess-Matrix'!F8)</f>
        <v>0</v>
      </c>
      <c r="K74" s="183">
        <f>PRODUCT('Rollen-Prozess-Matrix'!O4,'Kompetenz-Prozess-Matrix'!F8)</f>
        <v>0</v>
      </c>
      <c r="L74" s="183">
        <f>PRODUCT('Rollen-Prozess-Matrix'!P4,'Kompetenz-Prozess-Matrix'!F8)</f>
        <v>0</v>
      </c>
      <c r="M74" s="183">
        <f>PRODUCT('Rollen-Prozess-Matrix'!Q4,'Kompetenz-Prozess-Matrix'!F8)</f>
        <v>0</v>
      </c>
      <c r="N74" s="183">
        <f>PRODUCT('Rollen-Prozess-Matrix'!R4,'Kompetenz-Prozess-Matrix'!F8)</f>
        <v>0</v>
      </c>
      <c r="O74" s="183">
        <f>PRODUCT('Rollen-Prozess-Matrix'!S4,'Kompetenz-Prozess-Matrix'!F8)</f>
        <v>0</v>
      </c>
      <c r="P74" s="183">
        <f>PRODUCT('Rollen-Prozess-Matrix'!T4,'Kompetenz-Prozess-Matrix'!F8)</f>
        <v>0</v>
      </c>
      <c r="Q74" s="185">
        <f>PRODUCT('Rollen-Prozess-Matrix'!U4,'Kompetenz-Prozess-Matrix'!F8)</f>
        <v>0</v>
      </c>
    </row>
    <row r="75" spans="1:31" ht="12.6" hidden="1" customHeight="1" outlineLevel="1" x14ac:dyDescent="0.35">
      <c r="A75" s="333"/>
      <c r="B75" s="339"/>
      <c r="C75" s="180" t="s">
        <v>136</v>
      </c>
      <c r="D75" s="182">
        <f>PRODUCT('Rollen-Prozess-Matrix'!H5,'Kompetenz-Prozess-Matrix'!F9)</f>
        <v>0</v>
      </c>
      <c r="E75" s="183">
        <f>PRODUCT('Rollen-Prozess-Matrix'!I5,'Kompetenz-Prozess-Matrix'!F9)</f>
        <v>0</v>
      </c>
      <c r="F75" s="183">
        <f>PRODUCT('Rollen-Prozess-Matrix'!J5,'Kompetenz-Prozess-Matrix'!F9)</f>
        <v>0</v>
      </c>
      <c r="G75" s="183">
        <f>PRODUCT('Rollen-Prozess-Matrix'!K5,'Kompetenz-Prozess-Matrix'!F9)</f>
        <v>0</v>
      </c>
      <c r="H75" s="183">
        <f>PRODUCT('Rollen-Prozess-Matrix'!L5,'Kompetenz-Prozess-Matrix'!F9)</f>
        <v>0</v>
      </c>
      <c r="I75" s="183">
        <f>PRODUCT('Rollen-Prozess-Matrix'!M5,'Kompetenz-Prozess-Matrix'!F9)</f>
        <v>0</v>
      </c>
      <c r="J75" s="183">
        <f>PRODUCT('Rollen-Prozess-Matrix'!N5,'Kompetenz-Prozess-Matrix'!F9)</f>
        <v>0</v>
      </c>
      <c r="K75" s="183">
        <f>PRODUCT('Rollen-Prozess-Matrix'!O5,'Kompetenz-Prozess-Matrix'!F9)</f>
        <v>0</v>
      </c>
      <c r="L75" s="183">
        <f>PRODUCT('Rollen-Prozess-Matrix'!P5,'Kompetenz-Prozess-Matrix'!F9)</f>
        <v>0</v>
      </c>
      <c r="M75" s="183">
        <f>PRODUCT('Rollen-Prozess-Matrix'!Q5,'Kompetenz-Prozess-Matrix'!F9)</f>
        <v>0</v>
      </c>
      <c r="N75" s="183">
        <f>PRODUCT('Rollen-Prozess-Matrix'!R5,'Kompetenz-Prozess-Matrix'!F9)</f>
        <v>0</v>
      </c>
      <c r="O75" s="183">
        <f>PRODUCT('Rollen-Prozess-Matrix'!S5,'Kompetenz-Prozess-Matrix'!F9)</f>
        <v>0</v>
      </c>
      <c r="P75" s="183">
        <f>PRODUCT('Rollen-Prozess-Matrix'!T5,'Kompetenz-Prozess-Matrix'!F9)</f>
        <v>0</v>
      </c>
      <c r="Q75" s="185">
        <f>PRODUCT('Rollen-Prozess-Matrix'!U5,'Kompetenz-Prozess-Matrix'!F9)</f>
        <v>0</v>
      </c>
    </row>
    <row r="76" spans="1:31" ht="12.6" hidden="1" customHeight="1" outlineLevel="1" x14ac:dyDescent="0.35">
      <c r="A76" s="333"/>
      <c r="B76" s="339"/>
      <c r="C76" s="180" t="s">
        <v>140</v>
      </c>
      <c r="D76" s="182">
        <f>PRODUCT('Rollen-Prozess-Matrix'!H6,'Kompetenz-Prozess-Matrix'!F10)</f>
        <v>0</v>
      </c>
      <c r="E76" s="183">
        <f>PRODUCT('Rollen-Prozess-Matrix'!I6,'Kompetenz-Prozess-Matrix'!F10)</f>
        <v>0</v>
      </c>
      <c r="F76" s="183">
        <f>PRODUCT('Rollen-Prozess-Matrix'!J6,'Kompetenz-Prozess-Matrix'!F10)</f>
        <v>0</v>
      </c>
      <c r="G76" s="183">
        <f>PRODUCT('Rollen-Prozess-Matrix'!K6,'Kompetenz-Prozess-Matrix'!F10)</f>
        <v>0</v>
      </c>
      <c r="H76" s="183">
        <f>PRODUCT('Rollen-Prozess-Matrix'!L6,'Kompetenz-Prozess-Matrix'!F10)</f>
        <v>0</v>
      </c>
      <c r="I76" s="183">
        <f>PRODUCT('Rollen-Prozess-Matrix'!M6,'Kompetenz-Prozess-Matrix'!F10)</f>
        <v>0</v>
      </c>
      <c r="J76" s="183">
        <f>PRODUCT('Rollen-Prozess-Matrix'!N6,'Kompetenz-Prozess-Matrix'!F10)</f>
        <v>0</v>
      </c>
      <c r="K76" s="183">
        <f>PRODUCT('Rollen-Prozess-Matrix'!O6,'Kompetenz-Prozess-Matrix'!F10)</f>
        <v>0</v>
      </c>
      <c r="L76" s="183">
        <f>PRODUCT('Rollen-Prozess-Matrix'!P6,'Kompetenz-Prozess-Matrix'!F10)</f>
        <v>0</v>
      </c>
      <c r="M76" s="183">
        <f>PRODUCT('Rollen-Prozess-Matrix'!Q6,'Kompetenz-Prozess-Matrix'!F10)</f>
        <v>0</v>
      </c>
      <c r="N76" s="183">
        <f>PRODUCT('Rollen-Prozess-Matrix'!R6,'Kompetenz-Prozess-Matrix'!F10)</f>
        <v>0</v>
      </c>
      <c r="O76" s="183">
        <f>PRODUCT('Rollen-Prozess-Matrix'!S6,'Kompetenz-Prozess-Matrix'!F10)</f>
        <v>0</v>
      </c>
      <c r="P76" s="183">
        <f>PRODUCT('Rollen-Prozess-Matrix'!T6,'Kompetenz-Prozess-Matrix'!F10)</f>
        <v>0</v>
      </c>
      <c r="Q76" s="185">
        <f>PRODUCT('Rollen-Prozess-Matrix'!U6,'Kompetenz-Prozess-Matrix'!F10)</f>
        <v>0</v>
      </c>
    </row>
    <row r="77" spans="1:31" ht="13.35" hidden="1" customHeight="1" outlineLevel="1" x14ac:dyDescent="0.35">
      <c r="A77" s="333"/>
      <c r="B77" s="339"/>
      <c r="C77" s="180" t="s">
        <v>144</v>
      </c>
      <c r="D77" s="182">
        <f>PRODUCT('Rollen-Prozess-Matrix'!H7,'Kompetenz-Prozess-Matrix'!F11)</f>
        <v>0</v>
      </c>
      <c r="E77" s="183">
        <f>PRODUCT('Rollen-Prozess-Matrix'!I7,'Kompetenz-Prozess-Matrix'!F11)</f>
        <v>0</v>
      </c>
      <c r="F77" s="183">
        <f>PRODUCT('Rollen-Prozess-Matrix'!J7,'Kompetenz-Prozess-Matrix'!F11)</f>
        <v>0</v>
      </c>
      <c r="G77" s="183">
        <f>PRODUCT('Rollen-Prozess-Matrix'!K7,'Kompetenz-Prozess-Matrix'!F11)</f>
        <v>2</v>
      </c>
      <c r="H77" s="183">
        <f>PRODUCT('Rollen-Prozess-Matrix'!L7,'Kompetenz-Prozess-Matrix'!F11)</f>
        <v>3</v>
      </c>
      <c r="I77" s="183">
        <f>PRODUCT('Rollen-Prozess-Matrix'!M7,'Kompetenz-Prozess-Matrix'!F11)</f>
        <v>0</v>
      </c>
      <c r="J77" s="183">
        <f>PRODUCT('Rollen-Prozess-Matrix'!N7,'Kompetenz-Prozess-Matrix'!F11)</f>
        <v>0</v>
      </c>
      <c r="K77" s="183">
        <f>PRODUCT('Rollen-Prozess-Matrix'!O7,'Kompetenz-Prozess-Matrix'!F11)</f>
        <v>0</v>
      </c>
      <c r="L77" s="183">
        <f>PRODUCT('Rollen-Prozess-Matrix'!P7,'Kompetenz-Prozess-Matrix'!F11)</f>
        <v>0</v>
      </c>
      <c r="M77" s="183">
        <f>PRODUCT('Rollen-Prozess-Matrix'!Q7,'Kompetenz-Prozess-Matrix'!F11)</f>
        <v>0</v>
      </c>
      <c r="N77" s="183">
        <f>PRODUCT('Rollen-Prozess-Matrix'!R7,'Kompetenz-Prozess-Matrix'!F11)</f>
        <v>0</v>
      </c>
      <c r="O77" s="183">
        <f>PRODUCT('Rollen-Prozess-Matrix'!S7,'Kompetenz-Prozess-Matrix'!F11)</f>
        <v>0</v>
      </c>
      <c r="P77" s="183">
        <f>PRODUCT('Rollen-Prozess-Matrix'!T7,'Kompetenz-Prozess-Matrix'!F11)</f>
        <v>0</v>
      </c>
      <c r="Q77" s="185">
        <f>PRODUCT('Rollen-Prozess-Matrix'!U7,'Kompetenz-Prozess-Matrix'!F11)</f>
        <v>1</v>
      </c>
    </row>
    <row r="78" spans="1:31" ht="12.6" hidden="1" customHeight="1" outlineLevel="1" x14ac:dyDescent="0.35">
      <c r="A78" s="333"/>
      <c r="B78" s="339"/>
      <c r="C78" s="180" t="s">
        <v>148</v>
      </c>
      <c r="D78" s="182">
        <f>PRODUCT('Rollen-Prozess-Matrix'!H8,'Kompetenz-Prozess-Matrix'!F12)</f>
        <v>0</v>
      </c>
      <c r="E78" s="183">
        <f>PRODUCT('Rollen-Prozess-Matrix'!I8,'Kompetenz-Prozess-Matrix'!F12)</f>
        <v>0</v>
      </c>
      <c r="F78" s="183">
        <f>PRODUCT('Rollen-Prozess-Matrix'!J8,'Kompetenz-Prozess-Matrix'!F12)</f>
        <v>0</v>
      </c>
      <c r="G78" s="183">
        <f>PRODUCT('Rollen-Prozess-Matrix'!K8,'Kompetenz-Prozess-Matrix'!F12)</f>
        <v>0</v>
      </c>
      <c r="H78" s="183">
        <f>PRODUCT('Rollen-Prozess-Matrix'!L8,'Kompetenz-Prozess-Matrix'!F12)</f>
        <v>3</v>
      </c>
      <c r="I78" s="183">
        <f>PRODUCT('Rollen-Prozess-Matrix'!M8,'Kompetenz-Prozess-Matrix'!F12)</f>
        <v>0</v>
      </c>
      <c r="J78" s="183">
        <f>PRODUCT('Rollen-Prozess-Matrix'!N8,'Kompetenz-Prozess-Matrix'!F12)</f>
        <v>0</v>
      </c>
      <c r="K78" s="183">
        <f>PRODUCT('Rollen-Prozess-Matrix'!O8,'Kompetenz-Prozess-Matrix'!F12)</f>
        <v>0</v>
      </c>
      <c r="L78" s="183">
        <f>PRODUCT('Rollen-Prozess-Matrix'!P8,'Kompetenz-Prozess-Matrix'!F12)</f>
        <v>1</v>
      </c>
      <c r="M78" s="183">
        <f>PRODUCT('Rollen-Prozess-Matrix'!Q8,'Kompetenz-Prozess-Matrix'!F12)</f>
        <v>0</v>
      </c>
      <c r="N78" s="183">
        <f>PRODUCT('Rollen-Prozess-Matrix'!R8,'Kompetenz-Prozess-Matrix'!F12)</f>
        <v>0</v>
      </c>
      <c r="O78" s="183">
        <f>PRODUCT('Rollen-Prozess-Matrix'!S8,'Kompetenz-Prozess-Matrix'!F12)</f>
        <v>2</v>
      </c>
      <c r="P78" s="183">
        <f>PRODUCT('Rollen-Prozess-Matrix'!T8,'Kompetenz-Prozess-Matrix'!F12)</f>
        <v>0</v>
      </c>
      <c r="Q78" s="185">
        <f>PRODUCT('Rollen-Prozess-Matrix'!U8,'Kompetenz-Prozess-Matrix'!F12)</f>
        <v>0</v>
      </c>
    </row>
    <row r="79" spans="1:31" ht="12.6" hidden="1" customHeight="1" outlineLevel="1" x14ac:dyDescent="0.35">
      <c r="A79" s="333"/>
      <c r="B79" s="339"/>
      <c r="C79" s="180" t="s">
        <v>152</v>
      </c>
      <c r="D79" s="182">
        <f>PRODUCT('Rollen-Prozess-Matrix'!H9,'Kompetenz-Prozess-Matrix'!F13)</f>
        <v>0</v>
      </c>
      <c r="E79" s="183">
        <f>PRODUCT('Rollen-Prozess-Matrix'!I9,'Kompetenz-Prozess-Matrix'!F13)</f>
        <v>0</v>
      </c>
      <c r="F79" s="183">
        <f>PRODUCT('Rollen-Prozess-Matrix'!J9,'Kompetenz-Prozess-Matrix'!F13)</f>
        <v>0</v>
      </c>
      <c r="G79" s="183">
        <f>PRODUCT('Rollen-Prozess-Matrix'!K9,'Kompetenz-Prozess-Matrix'!F13)</f>
        <v>0</v>
      </c>
      <c r="H79" s="183">
        <f>PRODUCT('Rollen-Prozess-Matrix'!L9,'Kompetenz-Prozess-Matrix'!F13)</f>
        <v>0</v>
      </c>
      <c r="I79" s="183">
        <f>PRODUCT('Rollen-Prozess-Matrix'!M9,'Kompetenz-Prozess-Matrix'!F13)</f>
        <v>0</v>
      </c>
      <c r="J79" s="183">
        <f>PRODUCT('Rollen-Prozess-Matrix'!N9,'Kompetenz-Prozess-Matrix'!F13)</f>
        <v>0</v>
      </c>
      <c r="K79" s="183">
        <f>PRODUCT('Rollen-Prozess-Matrix'!O9,'Kompetenz-Prozess-Matrix'!F13)</f>
        <v>0</v>
      </c>
      <c r="L79" s="183">
        <f>PRODUCT('Rollen-Prozess-Matrix'!P9,'Kompetenz-Prozess-Matrix'!F13)</f>
        <v>0</v>
      </c>
      <c r="M79" s="183">
        <f>PRODUCT('Rollen-Prozess-Matrix'!Q9,'Kompetenz-Prozess-Matrix'!F13)</f>
        <v>0</v>
      </c>
      <c r="N79" s="183">
        <f>PRODUCT('Rollen-Prozess-Matrix'!R9,'Kompetenz-Prozess-Matrix'!F13)</f>
        <v>0</v>
      </c>
      <c r="O79" s="183">
        <f>PRODUCT('Rollen-Prozess-Matrix'!S9,'Kompetenz-Prozess-Matrix'!F13)</f>
        <v>0</v>
      </c>
      <c r="P79" s="183">
        <f>PRODUCT('Rollen-Prozess-Matrix'!T9,'Kompetenz-Prozess-Matrix'!F13)</f>
        <v>0</v>
      </c>
      <c r="Q79" s="185">
        <f>PRODUCT('Rollen-Prozess-Matrix'!U9,'Kompetenz-Prozess-Matrix'!F13)</f>
        <v>0</v>
      </c>
    </row>
    <row r="80" spans="1:31" ht="12.6" hidden="1" customHeight="1" outlineLevel="1" x14ac:dyDescent="0.35">
      <c r="A80" s="333"/>
      <c r="B80" s="339"/>
      <c r="C80" s="180" t="s">
        <v>157</v>
      </c>
      <c r="D80" s="182">
        <f>PRODUCT('Rollen-Prozess-Matrix'!H10,'Kompetenz-Prozess-Matrix'!F14)</f>
        <v>0</v>
      </c>
      <c r="E80" s="183">
        <f>PRODUCT('Rollen-Prozess-Matrix'!I10,'Kompetenz-Prozess-Matrix'!F14)</f>
        <v>0</v>
      </c>
      <c r="F80" s="183">
        <f>PRODUCT('Rollen-Prozess-Matrix'!J10,'Kompetenz-Prozess-Matrix'!F14)</f>
        <v>2</v>
      </c>
      <c r="G80" s="183">
        <f>PRODUCT('Rollen-Prozess-Matrix'!K10,'Kompetenz-Prozess-Matrix'!F14)</f>
        <v>0</v>
      </c>
      <c r="H80" s="183">
        <f>PRODUCT('Rollen-Prozess-Matrix'!L10,'Kompetenz-Prozess-Matrix'!F14)</f>
        <v>3</v>
      </c>
      <c r="I80" s="183">
        <f>PRODUCT('Rollen-Prozess-Matrix'!M10,'Kompetenz-Prozess-Matrix'!F14)</f>
        <v>0</v>
      </c>
      <c r="J80" s="183">
        <f>PRODUCT('Rollen-Prozess-Matrix'!N10,'Kompetenz-Prozess-Matrix'!F14)</f>
        <v>0</v>
      </c>
      <c r="K80" s="183">
        <f>PRODUCT('Rollen-Prozess-Matrix'!O10,'Kompetenz-Prozess-Matrix'!F14)</f>
        <v>0</v>
      </c>
      <c r="L80" s="183">
        <f>PRODUCT('Rollen-Prozess-Matrix'!P10,'Kompetenz-Prozess-Matrix'!F14)</f>
        <v>0</v>
      </c>
      <c r="M80" s="183">
        <f>PRODUCT('Rollen-Prozess-Matrix'!Q10,'Kompetenz-Prozess-Matrix'!F14)</f>
        <v>0</v>
      </c>
      <c r="N80" s="183">
        <f>PRODUCT('Rollen-Prozess-Matrix'!R10,'Kompetenz-Prozess-Matrix'!F14)</f>
        <v>0</v>
      </c>
      <c r="O80" s="183">
        <f>PRODUCT('Rollen-Prozess-Matrix'!S10,'Kompetenz-Prozess-Matrix'!F14)</f>
        <v>0</v>
      </c>
      <c r="P80" s="183">
        <f>PRODUCT('Rollen-Prozess-Matrix'!T10,'Kompetenz-Prozess-Matrix'!F14)</f>
        <v>0</v>
      </c>
      <c r="Q80" s="185">
        <f>PRODUCT('Rollen-Prozess-Matrix'!U10,'Kompetenz-Prozess-Matrix'!F14)</f>
        <v>0</v>
      </c>
    </row>
    <row r="81" spans="1:17" ht="13.35" hidden="1" customHeight="1" outlineLevel="1" x14ac:dyDescent="0.35">
      <c r="A81" s="333"/>
      <c r="B81" s="339"/>
      <c r="C81" s="180" t="s">
        <v>161</v>
      </c>
      <c r="D81" s="182">
        <f>PRODUCT('Rollen-Prozess-Matrix'!H11,'Kompetenz-Prozess-Matrix'!F15)</f>
        <v>0</v>
      </c>
      <c r="E81" s="183">
        <f>PRODUCT('Rollen-Prozess-Matrix'!I11,'Kompetenz-Prozess-Matrix'!F15)</f>
        <v>0</v>
      </c>
      <c r="F81" s="183">
        <f>PRODUCT('Rollen-Prozess-Matrix'!J11,'Kompetenz-Prozess-Matrix'!F15)</f>
        <v>2</v>
      </c>
      <c r="G81" s="183">
        <f>PRODUCT('Rollen-Prozess-Matrix'!K11,'Kompetenz-Prozess-Matrix'!F15)</f>
        <v>0</v>
      </c>
      <c r="H81" s="183">
        <f>PRODUCT('Rollen-Prozess-Matrix'!L11,'Kompetenz-Prozess-Matrix'!F15)</f>
        <v>3</v>
      </c>
      <c r="I81" s="183">
        <f>PRODUCT('Rollen-Prozess-Matrix'!M11,'Kompetenz-Prozess-Matrix'!F15)</f>
        <v>0</v>
      </c>
      <c r="J81" s="183">
        <f>PRODUCT('Rollen-Prozess-Matrix'!N11,'Kompetenz-Prozess-Matrix'!F15)</f>
        <v>0</v>
      </c>
      <c r="K81" s="183">
        <f>PRODUCT('Rollen-Prozess-Matrix'!O11,'Kompetenz-Prozess-Matrix'!F15)</f>
        <v>0</v>
      </c>
      <c r="L81" s="183">
        <f>PRODUCT('Rollen-Prozess-Matrix'!P11,'Kompetenz-Prozess-Matrix'!F15)</f>
        <v>0</v>
      </c>
      <c r="M81" s="183">
        <f>PRODUCT('Rollen-Prozess-Matrix'!Q11,'Kompetenz-Prozess-Matrix'!F15)</f>
        <v>0</v>
      </c>
      <c r="N81" s="183">
        <f>PRODUCT('Rollen-Prozess-Matrix'!R11,'Kompetenz-Prozess-Matrix'!F15)</f>
        <v>0</v>
      </c>
      <c r="O81" s="183">
        <f>PRODUCT('Rollen-Prozess-Matrix'!S11,'Kompetenz-Prozess-Matrix'!F15)</f>
        <v>0</v>
      </c>
      <c r="P81" s="183">
        <f>PRODUCT('Rollen-Prozess-Matrix'!T11,'Kompetenz-Prozess-Matrix'!F15)</f>
        <v>0</v>
      </c>
      <c r="Q81" s="185">
        <f>PRODUCT('Rollen-Prozess-Matrix'!U11,'Kompetenz-Prozess-Matrix'!F15)</f>
        <v>1</v>
      </c>
    </row>
    <row r="82" spans="1:17" ht="38.25" hidden="1" outlineLevel="1" x14ac:dyDescent="0.35">
      <c r="A82" s="333"/>
      <c r="B82" s="339"/>
      <c r="C82" s="180" t="s">
        <v>288</v>
      </c>
      <c r="D82" s="182">
        <f>PRODUCT('Rollen-Prozess-Matrix'!H12,'Kompetenz-Prozess-Matrix'!F16)</f>
        <v>0</v>
      </c>
      <c r="E82" s="183">
        <f>PRODUCT('Rollen-Prozess-Matrix'!I12,'Kompetenz-Prozess-Matrix'!F16)</f>
        <v>4</v>
      </c>
      <c r="F82" s="183">
        <f>PRODUCT('Rollen-Prozess-Matrix'!J12,'Kompetenz-Prozess-Matrix'!F16)</f>
        <v>4</v>
      </c>
      <c r="G82" s="183">
        <f>PRODUCT('Rollen-Prozess-Matrix'!K12,'Kompetenz-Prozess-Matrix'!F16)</f>
        <v>0</v>
      </c>
      <c r="H82" s="183">
        <f>PRODUCT('Rollen-Prozess-Matrix'!L12,'Kompetenz-Prozess-Matrix'!F16)</f>
        <v>6</v>
      </c>
      <c r="I82" s="183">
        <f>PRODUCT('Rollen-Prozess-Matrix'!M12,'Kompetenz-Prozess-Matrix'!F16)</f>
        <v>4</v>
      </c>
      <c r="J82" s="183">
        <f>PRODUCT('Rollen-Prozess-Matrix'!N12,'Kompetenz-Prozess-Matrix'!F16)</f>
        <v>2</v>
      </c>
      <c r="K82" s="183">
        <f>PRODUCT('Rollen-Prozess-Matrix'!O12,'Kompetenz-Prozess-Matrix'!F16)</f>
        <v>2</v>
      </c>
      <c r="L82" s="183">
        <f>PRODUCT('Rollen-Prozess-Matrix'!P12,'Kompetenz-Prozess-Matrix'!F16)</f>
        <v>2</v>
      </c>
      <c r="M82" s="183">
        <f>PRODUCT('Rollen-Prozess-Matrix'!Q12,'Kompetenz-Prozess-Matrix'!F16)</f>
        <v>0</v>
      </c>
      <c r="N82" s="183">
        <f>PRODUCT('Rollen-Prozess-Matrix'!R12,'Kompetenz-Prozess-Matrix'!F16)</f>
        <v>0</v>
      </c>
      <c r="O82" s="183">
        <f>PRODUCT('Rollen-Prozess-Matrix'!S12,'Kompetenz-Prozess-Matrix'!F16)</f>
        <v>0</v>
      </c>
      <c r="P82" s="183">
        <f>PRODUCT('Rollen-Prozess-Matrix'!T12,'Kompetenz-Prozess-Matrix'!F16)</f>
        <v>2</v>
      </c>
      <c r="Q82" s="185">
        <f>PRODUCT('Rollen-Prozess-Matrix'!U12,'Kompetenz-Prozess-Matrix'!F16)</f>
        <v>4</v>
      </c>
    </row>
    <row r="83" spans="1:17" ht="25.5" hidden="1" outlineLevel="1" x14ac:dyDescent="0.35">
      <c r="A83" s="333"/>
      <c r="B83" s="339"/>
      <c r="C83" s="180" t="s">
        <v>169</v>
      </c>
      <c r="D83" s="182">
        <f>PRODUCT('Rollen-Prozess-Matrix'!H13,'Kompetenz-Prozess-Matrix'!F17)</f>
        <v>0</v>
      </c>
      <c r="E83" s="183">
        <f>PRODUCT('Rollen-Prozess-Matrix'!I13,'Kompetenz-Prozess-Matrix'!F17)</f>
        <v>2</v>
      </c>
      <c r="F83" s="183">
        <f>PRODUCT('Rollen-Prozess-Matrix'!J13,'Kompetenz-Prozess-Matrix'!F17)</f>
        <v>4</v>
      </c>
      <c r="G83" s="183">
        <f>PRODUCT('Rollen-Prozess-Matrix'!K13,'Kompetenz-Prozess-Matrix'!F17)</f>
        <v>0</v>
      </c>
      <c r="H83" s="183">
        <f>PRODUCT('Rollen-Prozess-Matrix'!L13,'Kompetenz-Prozess-Matrix'!F17)</f>
        <v>6</v>
      </c>
      <c r="I83" s="183">
        <f>PRODUCT('Rollen-Prozess-Matrix'!M13,'Kompetenz-Prozess-Matrix'!F17)</f>
        <v>4</v>
      </c>
      <c r="J83" s="183">
        <f>PRODUCT('Rollen-Prozess-Matrix'!N13,'Kompetenz-Prozess-Matrix'!F17)</f>
        <v>2</v>
      </c>
      <c r="K83" s="183">
        <f>PRODUCT('Rollen-Prozess-Matrix'!O13,'Kompetenz-Prozess-Matrix'!F17)</f>
        <v>2</v>
      </c>
      <c r="L83" s="183">
        <f>PRODUCT('Rollen-Prozess-Matrix'!P13,'Kompetenz-Prozess-Matrix'!F17)</f>
        <v>0</v>
      </c>
      <c r="M83" s="183">
        <f>PRODUCT('Rollen-Prozess-Matrix'!Q13,'Kompetenz-Prozess-Matrix'!F17)</f>
        <v>0</v>
      </c>
      <c r="N83" s="183">
        <f>PRODUCT('Rollen-Prozess-Matrix'!R13,'Kompetenz-Prozess-Matrix'!F17)</f>
        <v>0</v>
      </c>
      <c r="O83" s="183">
        <f>PRODUCT('Rollen-Prozess-Matrix'!S13,'Kompetenz-Prozess-Matrix'!F17)</f>
        <v>2</v>
      </c>
      <c r="P83" s="183">
        <f>PRODUCT('Rollen-Prozess-Matrix'!T13,'Kompetenz-Prozess-Matrix'!F17)</f>
        <v>0</v>
      </c>
      <c r="Q83" s="185">
        <f>PRODUCT('Rollen-Prozess-Matrix'!U13,'Kompetenz-Prozess-Matrix'!F17)</f>
        <v>0</v>
      </c>
    </row>
    <row r="84" spans="1:17" ht="63.75" hidden="1" outlineLevel="1" x14ac:dyDescent="0.35">
      <c r="A84" s="333"/>
      <c r="B84" s="339"/>
      <c r="C84" s="180" t="s">
        <v>173</v>
      </c>
      <c r="D84" s="182">
        <f>PRODUCT('Rollen-Prozess-Matrix'!H14,'Kompetenz-Prozess-Matrix'!F18)</f>
        <v>0</v>
      </c>
      <c r="E84" s="183">
        <f>PRODUCT('Rollen-Prozess-Matrix'!I14,'Kompetenz-Prozess-Matrix'!F18)</f>
        <v>0</v>
      </c>
      <c r="F84" s="183">
        <f>PRODUCT('Rollen-Prozess-Matrix'!J14,'Kompetenz-Prozess-Matrix'!F18)</f>
        <v>0</v>
      </c>
      <c r="G84" s="183">
        <f>PRODUCT('Rollen-Prozess-Matrix'!K14,'Kompetenz-Prozess-Matrix'!F18)</f>
        <v>0</v>
      </c>
      <c r="H84" s="183">
        <f>PRODUCT('Rollen-Prozess-Matrix'!L14,'Kompetenz-Prozess-Matrix'!F18)</f>
        <v>0</v>
      </c>
      <c r="I84" s="183">
        <f>PRODUCT('Rollen-Prozess-Matrix'!M14,'Kompetenz-Prozess-Matrix'!F18)</f>
        <v>0</v>
      </c>
      <c r="J84" s="183">
        <f>PRODUCT('Rollen-Prozess-Matrix'!N14,'Kompetenz-Prozess-Matrix'!F18)</f>
        <v>0</v>
      </c>
      <c r="K84" s="183">
        <f>PRODUCT('Rollen-Prozess-Matrix'!O14,'Kompetenz-Prozess-Matrix'!F18)</f>
        <v>0</v>
      </c>
      <c r="L84" s="183">
        <f>PRODUCT('Rollen-Prozess-Matrix'!P14,'Kompetenz-Prozess-Matrix'!F18)</f>
        <v>0</v>
      </c>
      <c r="M84" s="183">
        <f>PRODUCT('Rollen-Prozess-Matrix'!Q14,'Kompetenz-Prozess-Matrix'!F18)</f>
        <v>0</v>
      </c>
      <c r="N84" s="183">
        <f>PRODUCT('Rollen-Prozess-Matrix'!R14,'Kompetenz-Prozess-Matrix'!F18)</f>
        <v>0</v>
      </c>
      <c r="O84" s="183">
        <f>PRODUCT('Rollen-Prozess-Matrix'!S14,'Kompetenz-Prozess-Matrix'!F18)</f>
        <v>0</v>
      </c>
      <c r="P84" s="183">
        <f>PRODUCT('Rollen-Prozess-Matrix'!T14,'Kompetenz-Prozess-Matrix'!F18)</f>
        <v>0</v>
      </c>
      <c r="Q84" s="185">
        <f>PRODUCT('Rollen-Prozess-Matrix'!U14,'Kompetenz-Prozess-Matrix'!F18)</f>
        <v>0</v>
      </c>
    </row>
    <row r="85" spans="1:17" ht="38.25" hidden="1" outlineLevel="1" x14ac:dyDescent="0.35">
      <c r="A85" s="333"/>
      <c r="B85" s="339"/>
      <c r="C85" s="180" t="s">
        <v>177</v>
      </c>
      <c r="D85" s="182">
        <f>PRODUCT('Rollen-Prozess-Matrix'!H15,'Kompetenz-Prozess-Matrix'!F19)</f>
        <v>0</v>
      </c>
      <c r="E85" s="183">
        <f>PRODUCT('Rollen-Prozess-Matrix'!I15,'Kompetenz-Prozess-Matrix'!F19)</f>
        <v>0</v>
      </c>
      <c r="F85" s="183">
        <f>PRODUCT('Rollen-Prozess-Matrix'!J15,'Kompetenz-Prozess-Matrix'!F19)</f>
        <v>0</v>
      </c>
      <c r="G85" s="183">
        <f>PRODUCT('Rollen-Prozess-Matrix'!K15,'Kompetenz-Prozess-Matrix'!F19)</f>
        <v>0</v>
      </c>
      <c r="H85" s="183">
        <f>PRODUCT('Rollen-Prozess-Matrix'!L15,'Kompetenz-Prozess-Matrix'!F19)</f>
        <v>0</v>
      </c>
      <c r="I85" s="183">
        <f>PRODUCT('Rollen-Prozess-Matrix'!M15,'Kompetenz-Prozess-Matrix'!F19)</f>
        <v>0</v>
      </c>
      <c r="J85" s="183">
        <f>PRODUCT('Rollen-Prozess-Matrix'!N15,'Kompetenz-Prozess-Matrix'!F19)</f>
        <v>0</v>
      </c>
      <c r="K85" s="183">
        <f>PRODUCT('Rollen-Prozess-Matrix'!O15,'Kompetenz-Prozess-Matrix'!F19)</f>
        <v>0</v>
      </c>
      <c r="L85" s="183">
        <f>PRODUCT('Rollen-Prozess-Matrix'!P15,'Kompetenz-Prozess-Matrix'!F19)</f>
        <v>0</v>
      </c>
      <c r="M85" s="183">
        <f>PRODUCT('Rollen-Prozess-Matrix'!Q15,'Kompetenz-Prozess-Matrix'!F19)</f>
        <v>0</v>
      </c>
      <c r="N85" s="183">
        <f>PRODUCT('Rollen-Prozess-Matrix'!R15,'Kompetenz-Prozess-Matrix'!F19)</f>
        <v>0</v>
      </c>
      <c r="O85" s="183">
        <f>PRODUCT('Rollen-Prozess-Matrix'!S15,'Kompetenz-Prozess-Matrix'!F19)</f>
        <v>0</v>
      </c>
      <c r="P85" s="183">
        <f>PRODUCT('Rollen-Prozess-Matrix'!T15,'Kompetenz-Prozess-Matrix'!F19)</f>
        <v>0</v>
      </c>
      <c r="Q85" s="185">
        <f>PRODUCT('Rollen-Prozess-Matrix'!U15,'Kompetenz-Prozess-Matrix'!F19)</f>
        <v>0</v>
      </c>
    </row>
    <row r="86" spans="1:17" hidden="1" outlineLevel="1" x14ac:dyDescent="0.35">
      <c r="A86" s="333"/>
      <c r="B86" s="339"/>
      <c r="C86" s="180" t="s">
        <v>181</v>
      </c>
      <c r="D86" s="182">
        <f>PRODUCT('Rollen-Prozess-Matrix'!H16,'Kompetenz-Prozess-Matrix'!F20)</f>
        <v>0</v>
      </c>
      <c r="E86" s="183">
        <f>PRODUCT('Rollen-Prozess-Matrix'!I16,'Kompetenz-Prozess-Matrix'!F20)</f>
        <v>0</v>
      </c>
      <c r="F86" s="183">
        <f>PRODUCT('Rollen-Prozess-Matrix'!J16,'Kompetenz-Prozess-Matrix'!F20)</f>
        <v>0</v>
      </c>
      <c r="G86" s="183">
        <f>PRODUCT('Rollen-Prozess-Matrix'!K16,'Kompetenz-Prozess-Matrix'!F20)</f>
        <v>0</v>
      </c>
      <c r="H86" s="183">
        <f>PRODUCT('Rollen-Prozess-Matrix'!L16,'Kompetenz-Prozess-Matrix'!F20)</f>
        <v>0</v>
      </c>
      <c r="I86" s="183">
        <f>PRODUCT('Rollen-Prozess-Matrix'!M16,'Kompetenz-Prozess-Matrix'!F20)</f>
        <v>0</v>
      </c>
      <c r="J86" s="183">
        <f>PRODUCT('Rollen-Prozess-Matrix'!N16,'Kompetenz-Prozess-Matrix'!F20)</f>
        <v>0</v>
      </c>
      <c r="K86" s="183">
        <f>PRODUCT('Rollen-Prozess-Matrix'!O16,'Kompetenz-Prozess-Matrix'!F20)</f>
        <v>0</v>
      </c>
      <c r="L86" s="183">
        <f>PRODUCT('Rollen-Prozess-Matrix'!P16,'Kompetenz-Prozess-Matrix'!F20)</f>
        <v>0</v>
      </c>
      <c r="M86" s="183">
        <f>PRODUCT('Rollen-Prozess-Matrix'!Q16,'Kompetenz-Prozess-Matrix'!F20)</f>
        <v>0</v>
      </c>
      <c r="N86" s="183">
        <f>PRODUCT('Rollen-Prozess-Matrix'!R16,'Kompetenz-Prozess-Matrix'!F20)</f>
        <v>0</v>
      </c>
      <c r="O86" s="183">
        <f>PRODUCT('Rollen-Prozess-Matrix'!S16,'Kompetenz-Prozess-Matrix'!F20)</f>
        <v>0</v>
      </c>
      <c r="P86" s="183">
        <f>PRODUCT('Rollen-Prozess-Matrix'!T16,'Kompetenz-Prozess-Matrix'!F20)</f>
        <v>0</v>
      </c>
      <c r="Q86" s="185">
        <f>PRODUCT('Rollen-Prozess-Matrix'!U16,'Kompetenz-Prozess-Matrix'!F20)</f>
        <v>0</v>
      </c>
    </row>
    <row r="87" spans="1:17" ht="38.25" hidden="1" outlineLevel="1" x14ac:dyDescent="0.35">
      <c r="A87" s="333"/>
      <c r="B87" s="339"/>
      <c r="C87" s="180" t="s">
        <v>185</v>
      </c>
      <c r="D87" s="182">
        <f>PRODUCT('Rollen-Prozess-Matrix'!H17,'Kompetenz-Prozess-Matrix'!F21)</f>
        <v>0</v>
      </c>
      <c r="E87" s="183">
        <f>PRODUCT('Rollen-Prozess-Matrix'!I17,'Kompetenz-Prozess-Matrix'!F21)</f>
        <v>0</v>
      </c>
      <c r="F87" s="183">
        <f>PRODUCT('Rollen-Prozess-Matrix'!J17,'Kompetenz-Prozess-Matrix'!F21)</f>
        <v>0</v>
      </c>
      <c r="G87" s="183">
        <f>PRODUCT('Rollen-Prozess-Matrix'!K17,'Kompetenz-Prozess-Matrix'!F21)</f>
        <v>0</v>
      </c>
      <c r="H87" s="183">
        <f>PRODUCT('Rollen-Prozess-Matrix'!L17,'Kompetenz-Prozess-Matrix'!F21)</f>
        <v>0</v>
      </c>
      <c r="I87" s="183">
        <f>PRODUCT('Rollen-Prozess-Matrix'!M17,'Kompetenz-Prozess-Matrix'!F21)</f>
        <v>0</v>
      </c>
      <c r="J87" s="183">
        <f>PRODUCT('Rollen-Prozess-Matrix'!N17,'Kompetenz-Prozess-Matrix'!F21)</f>
        <v>0</v>
      </c>
      <c r="K87" s="183">
        <f>PRODUCT('Rollen-Prozess-Matrix'!O17,'Kompetenz-Prozess-Matrix'!F21)</f>
        <v>0</v>
      </c>
      <c r="L87" s="183">
        <f>PRODUCT('Rollen-Prozess-Matrix'!P17,'Kompetenz-Prozess-Matrix'!F21)</f>
        <v>0</v>
      </c>
      <c r="M87" s="183">
        <f>PRODUCT('Rollen-Prozess-Matrix'!Q17,'Kompetenz-Prozess-Matrix'!F21)</f>
        <v>0</v>
      </c>
      <c r="N87" s="183">
        <f>PRODUCT('Rollen-Prozess-Matrix'!R17,'Kompetenz-Prozess-Matrix'!F21)</f>
        <v>0</v>
      </c>
      <c r="O87" s="183">
        <f>PRODUCT('Rollen-Prozess-Matrix'!S17,'Kompetenz-Prozess-Matrix'!F21)</f>
        <v>0</v>
      </c>
      <c r="P87" s="183">
        <f>PRODUCT('Rollen-Prozess-Matrix'!T17,'Kompetenz-Prozess-Matrix'!F21)</f>
        <v>0</v>
      </c>
      <c r="Q87" s="185">
        <f>PRODUCT('Rollen-Prozess-Matrix'!U17,'Kompetenz-Prozess-Matrix'!F21)</f>
        <v>0</v>
      </c>
    </row>
    <row r="88" spans="1:17" ht="51" hidden="1" outlineLevel="1" x14ac:dyDescent="0.35">
      <c r="A88" s="333"/>
      <c r="B88" s="339"/>
      <c r="C88" s="180" t="s">
        <v>190</v>
      </c>
      <c r="D88" s="182">
        <f>PRODUCT('Rollen-Prozess-Matrix'!H18,'Kompetenz-Prozess-Matrix'!F22)</f>
        <v>0</v>
      </c>
      <c r="E88" s="183">
        <f>PRODUCT('Rollen-Prozess-Matrix'!I18,'Kompetenz-Prozess-Matrix'!F22)</f>
        <v>4</v>
      </c>
      <c r="F88" s="183">
        <f>PRODUCT('Rollen-Prozess-Matrix'!J18,'Kompetenz-Prozess-Matrix'!F22)</f>
        <v>0</v>
      </c>
      <c r="G88" s="183">
        <f>PRODUCT('Rollen-Prozess-Matrix'!K18,'Kompetenz-Prozess-Matrix'!F22)</f>
        <v>0</v>
      </c>
      <c r="H88" s="183">
        <f>PRODUCT('Rollen-Prozess-Matrix'!L18,'Kompetenz-Prozess-Matrix'!F22)</f>
        <v>6</v>
      </c>
      <c r="I88" s="183">
        <f>PRODUCT('Rollen-Prozess-Matrix'!M18,'Kompetenz-Prozess-Matrix'!F22)</f>
        <v>0</v>
      </c>
      <c r="J88" s="183">
        <f>PRODUCT('Rollen-Prozess-Matrix'!N18,'Kompetenz-Prozess-Matrix'!F22)</f>
        <v>0</v>
      </c>
      <c r="K88" s="183">
        <f>PRODUCT('Rollen-Prozess-Matrix'!O18,'Kompetenz-Prozess-Matrix'!F22)</f>
        <v>0</v>
      </c>
      <c r="L88" s="183">
        <f>PRODUCT('Rollen-Prozess-Matrix'!P18,'Kompetenz-Prozess-Matrix'!F22)</f>
        <v>0</v>
      </c>
      <c r="M88" s="183">
        <f>PRODUCT('Rollen-Prozess-Matrix'!Q18,'Kompetenz-Prozess-Matrix'!F22)</f>
        <v>0</v>
      </c>
      <c r="N88" s="183">
        <f>PRODUCT('Rollen-Prozess-Matrix'!R18,'Kompetenz-Prozess-Matrix'!F22)</f>
        <v>0</v>
      </c>
      <c r="O88" s="183">
        <f>PRODUCT('Rollen-Prozess-Matrix'!S18,'Kompetenz-Prozess-Matrix'!F22)</f>
        <v>0</v>
      </c>
      <c r="P88" s="183">
        <f>PRODUCT('Rollen-Prozess-Matrix'!T18,'Kompetenz-Prozess-Matrix'!F22)</f>
        <v>4</v>
      </c>
      <c r="Q88" s="185">
        <f>PRODUCT('Rollen-Prozess-Matrix'!U18,'Kompetenz-Prozess-Matrix'!F22)</f>
        <v>2</v>
      </c>
    </row>
    <row r="89" spans="1:17" ht="63.75" hidden="1" outlineLevel="1" x14ac:dyDescent="0.35">
      <c r="A89" s="333"/>
      <c r="B89" s="339"/>
      <c r="C89" s="180" t="s">
        <v>194</v>
      </c>
      <c r="D89" s="182">
        <f>PRODUCT('Rollen-Prozess-Matrix'!H19,'Kompetenz-Prozess-Matrix'!F23)</f>
        <v>0</v>
      </c>
      <c r="E89" s="183">
        <f>PRODUCT('Rollen-Prozess-Matrix'!I19,'Kompetenz-Prozess-Matrix'!F23)</f>
        <v>4</v>
      </c>
      <c r="F89" s="183">
        <f>PRODUCT('Rollen-Prozess-Matrix'!J19,'Kompetenz-Prozess-Matrix'!F23)</f>
        <v>0</v>
      </c>
      <c r="G89" s="183">
        <f>PRODUCT('Rollen-Prozess-Matrix'!K19,'Kompetenz-Prozess-Matrix'!F23)</f>
        <v>0</v>
      </c>
      <c r="H89" s="183">
        <f>PRODUCT('Rollen-Prozess-Matrix'!L19,'Kompetenz-Prozess-Matrix'!F23)</f>
        <v>6</v>
      </c>
      <c r="I89" s="183">
        <f>PRODUCT('Rollen-Prozess-Matrix'!M19,'Kompetenz-Prozess-Matrix'!F23)</f>
        <v>2</v>
      </c>
      <c r="J89" s="183">
        <f>PRODUCT('Rollen-Prozess-Matrix'!N19,'Kompetenz-Prozess-Matrix'!F23)</f>
        <v>0</v>
      </c>
      <c r="K89" s="183">
        <f>PRODUCT('Rollen-Prozess-Matrix'!O19,'Kompetenz-Prozess-Matrix'!F23)</f>
        <v>0</v>
      </c>
      <c r="L89" s="183">
        <f>PRODUCT('Rollen-Prozess-Matrix'!P19,'Kompetenz-Prozess-Matrix'!F23)</f>
        <v>2</v>
      </c>
      <c r="M89" s="183">
        <f>PRODUCT('Rollen-Prozess-Matrix'!Q19,'Kompetenz-Prozess-Matrix'!F23)</f>
        <v>0</v>
      </c>
      <c r="N89" s="183">
        <f>PRODUCT('Rollen-Prozess-Matrix'!R19,'Kompetenz-Prozess-Matrix'!F23)</f>
        <v>0</v>
      </c>
      <c r="O89" s="183">
        <f>PRODUCT('Rollen-Prozess-Matrix'!S19,'Kompetenz-Prozess-Matrix'!F23)</f>
        <v>0</v>
      </c>
      <c r="P89" s="183">
        <f>PRODUCT('Rollen-Prozess-Matrix'!T19,'Kompetenz-Prozess-Matrix'!F23)</f>
        <v>0</v>
      </c>
      <c r="Q89" s="185">
        <f>PRODUCT('Rollen-Prozess-Matrix'!U19,'Kompetenz-Prozess-Matrix'!F23)</f>
        <v>0</v>
      </c>
    </row>
    <row r="90" spans="1:17" ht="63.75" hidden="1" outlineLevel="1" x14ac:dyDescent="0.35">
      <c r="A90" s="333"/>
      <c r="B90" s="339"/>
      <c r="C90" s="180" t="s">
        <v>201</v>
      </c>
      <c r="D90" s="182">
        <f>PRODUCT('Rollen-Prozess-Matrix'!H20,'Kompetenz-Prozess-Matrix'!F24)</f>
        <v>0</v>
      </c>
      <c r="E90" s="183">
        <f>PRODUCT('Rollen-Prozess-Matrix'!I20,'Kompetenz-Prozess-Matrix'!F24)</f>
        <v>4</v>
      </c>
      <c r="F90" s="183">
        <f>PRODUCT('Rollen-Prozess-Matrix'!J20,'Kompetenz-Prozess-Matrix'!F24)</f>
        <v>0</v>
      </c>
      <c r="G90" s="183">
        <f>PRODUCT('Rollen-Prozess-Matrix'!K20,'Kompetenz-Prozess-Matrix'!F24)</f>
        <v>0</v>
      </c>
      <c r="H90" s="183">
        <f>PRODUCT('Rollen-Prozess-Matrix'!L20,'Kompetenz-Prozess-Matrix'!F24)</f>
        <v>6</v>
      </c>
      <c r="I90" s="183">
        <f>PRODUCT('Rollen-Prozess-Matrix'!M20,'Kompetenz-Prozess-Matrix'!F24)</f>
        <v>4</v>
      </c>
      <c r="J90" s="183">
        <f>PRODUCT('Rollen-Prozess-Matrix'!N20,'Kompetenz-Prozess-Matrix'!F24)</f>
        <v>2</v>
      </c>
      <c r="K90" s="183">
        <f>PRODUCT('Rollen-Prozess-Matrix'!O20,'Kompetenz-Prozess-Matrix'!F24)</f>
        <v>0</v>
      </c>
      <c r="L90" s="183">
        <f>PRODUCT('Rollen-Prozess-Matrix'!P20,'Kompetenz-Prozess-Matrix'!F24)</f>
        <v>2</v>
      </c>
      <c r="M90" s="183">
        <f>PRODUCT('Rollen-Prozess-Matrix'!Q20,'Kompetenz-Prozess-Matrix'!F24)</f>
        <v>0</v>
      </c>
      <c r="N90" s="183">
        <f>PRODUCT('Rollen-Prozess-Matrix'!R20,'Kompetenz-Prozess-Matrix'!F24)</f>
        <v>0</v>
      </c>
      <c r="O90" s="183">
        <f>PRODUCT('Rollen-Prozess-Matrix'!S20,'Kompetenz-Prozess-Matrix'!F24)</f>
        <v>0</v>
      </c>
      <c r="P90" s="183">
        <f>PRODUCT('Rollen-Prozess-Matrix'!T20,'Kompetenz-Prozess-Matrix'!F24)</f>
        <v>0</v>
      </c>
      <c r="Q90" s="185">
        <f>PRODUCT('Rollen-Prozess-Matrix'!U20,'Kompetenz-Prozess-Matrix'!F24)</f>
        <v>0</v>
      </c>
    </row>
    <row r="91" spans="1:17" ht="51" hidden="1" outlineLevel="1" x14ac:dyDescent="0.35">
      <c r="A91" s="333"/>
      <c r="B91" s="339"/>
      <c r="C91" s="180" t="s">
        <v>205</v>
      </c>
      <c r="D91" s="182">
        <f>PRODUCT('Rollen-Prozess-Matrix'!H21,'Kompetenz-Prozess-Matrix'!F25)</f>
        <v>0</v>
      </c>
      <c r="E91" s="183">
        <f>PRODUCT('Rollen-Prozess-Matrix'!I21,'Kompetenz-Prozess-Matrix'!F25)</f>
        <v>2</v>
      </c>
      <c r="F91" s="183">
        <f>PRODUCT('Rollen-Prozess-Matrix'!J21,'Kompetenz-Prozess-Matrix'!F25)</f>
        <v>0</v>
      </c>
      <c r="G91" s="183">
        <f>PRODUCT('Rollen-Prozess-Matrix'!K21,'Kompetenz-Prozess-Matrix'!F25)</f>
        <v>0</v>
      </c>
      <c r="H91" s="183">
        <f>PRODUCT('Rollen-Prozess-Matrix'!L21,'Kompetenz-Prozess-Matrix'!F25)</f>
        <v>6</v>
      </c>
      <c r="I91" s="183">
        <f>PRODUCT('Rollen-Prozess-Matrix'!M21,'Kompetenz-Prozess-Matrix'!F25)</f>
        <v>4</v>
      </c>
      <c r="J91" s="183">
        <f>PRODUCT('Rollen-Prozess-Matrix'!N21,'Kompetenz-Prozess-Matrix'!F25)</f>
        <v>2</v>
      </c>
      <c r="K91" s="183">
        <f>PRODUCT('Rollen-Prozess-Matrix'!O21,'Kompetenz-Prozess-Matrix'!F25)</f>
        <v>0</v>
      </c>
      <c r="L91" s="183">
        <f>PRODUCT('Rollen-Prozess-Matrix'!P21,'Kompetenz-Prozess-Matrix'!F25)</f>
        <v>0</v>
      </c>
      <c r="M91" s="183">
        <f>PRODUCT('Rollen-Prozess-Matrix'!Q21,'Kompetenz-Prozess-Matrix'!F25)</f>
        <v>0</v>
      </c>
      <c r="N91" s="183">
        <f>PRODUCT('Rollen-Prozess-Matrix'!R21,'Kompetenz-Prozess-Matrix'!F25)</f>
        <v>0</v>
      </c>
      <c r="O91" s="183">
        <f>PRODUCT('Rollen-Prozess-Matrix'!S21,'Kompetenz-Prozess-Matrix'!F25)</f>
        <v>0</v>
      </c>
      <c r="P91" s="183">
        <f>PRODUCT('Rollen-Prozess-Matrix'!T21,'Kompetenz-Prozess-Matrix'!F25)</f>
        <v>0</v>
      </c>
      <c r="Q91" s="185">
        <f>PRODUCT('Rollen-Prozess-Matrix'!U21,'Kompetenz-Prozess-Matrix'!F25)</f>
        <v>0</v>
      </c>
    </row>
    <row r="92" spans="1:17" ht="38.25" hidden="1" outlineLevel="1" x14ac:dyDescent="0.35">
      <c r="A92" s="333"/>
      <c r="B92" s="339"/>
      <c r="C92" s="180" t="s">
        <v>209</v>
      </c>
      <c r="D92" s="182">
        <f>PRODUCT('Rollen-Prozess-Matrix'!H22,'Kompetenz-Prozess-Matrix'!F26)</f>
        <v>0</v>
      </c>
      <c r="E92" s="183">
        <f>PRODUCT('Rollen-Prozess-Matrix'!I22,'Kompetenz-Prozess-Matrix'!F26)</f>
        <v>2</v>
      </c>
      <c r="F92" s="183">
        <f>PRODUCT('Rollen-Prozess-Matrix'!J22,'Kompetenz-Prozess-Matrix'!F26)</f>
        <v>0</v>
      </c>
      <c r="G92" s="183">
        <f>PRODUCT('Rollen-Prozess-Matrix'!K22,'Kompetenz-Prozess-Matrix'!F26)</f>
        <v>0</v>
      </c>
      <c r="H92" s="183">
        <f>PRODUCT('Rollen-Prozess-Matrix'!L22,'Kompetenz-Prozess-Matrix'!F26)</f>
        <v>6</v>
      </c>
      <c r="I92" s="183">
        <f>PRODUCT('Rollen-Prozess-Matrix'!M22,'Kompetenz-Prozess-Matrix'!F26)</f>
        <v>4</v>
      </c>
      <c r="J92" s="183">
        <f>PRODUCT('Rollen-Prozess-Matrix'!N22,'Kompetenz-Prozess-Matrix'!F26)</f>
        <v>4</v>
      </c>
      <c r="K92" s="183">
        <f>PRODUCT('Rollen-Prozess-Matrix'!O22,'Kompetenz-Prozess-Matrix'!F26)</f>
        <v>0</v>
      </c>
      <c r="L92" s="183">
        <f>PRODUCT('Rollen-Prozess-Matrix'!P22,'Kompetenz-Prozess-Matrix'!F26)</f>
        <v>0</v>
      </c>
      <c r="M92" s="183">
        <f>PRODUCT('Rollen-Prozess-Matrix'!Q22,'Kompetenz-Prozess-Matrix'!F26)</f>
        <v>0</v>
      </c>
      <c r="N92" s="183">
        <f>PRODUCT('Rollen-Prozess-Matrix'!R22,'Kompetenz-Prozess-Matrix'!F26)</f>
        <v>0</v>
      </c>
      <c r="O92" s="183">
        <f>PRODUCT('Rollen-Prozess-Matrix'!S22,'Kompetenz-Prozess-Matrix'!F26)</f>
        <v>0</v>
      </c>
      <c r="P92" s="183">
        <f>PRODUCT('Rollen-Prozess-Matrix'!T22,'Kompetenz-Prozess-Matrix'!F26)</f>
        <v>0</v>
      </c>
      <c r="Q92" s="185">
        <f>PRODUCT('Rollen-Prozess-Matrix'!U22,'Kompetenz-Prozess-Matrix'!F26)</f>
        <v>0</v>
      </c>
    </row>
    <row r="93" spans="1:17" ht="38.25" hidden="1" outlineLevel="1" x14ac:dyDescent="0.35">
      <c r="A93" s="333"/>
      <c r="B93" s="339"/>
      <c r="C93" s="180" t="s">
        <v>213</v>
      </c>
      <c r="D93" s="182">
        <f>PRODUCT('Rollen-Prozess-Matrix'!H23,'Kompetenz-Prozess-Matrix'!F27)</f>
        <v>0</v>
      </c>
      <c r="E93" s="183">
        <f>PRODUCT('Rollen-Prozess-Matrix'!I23,'Kompetenz-Prozess-Matrix'!F27)</f>
        <v>0</v>
      </c>
      <c r="F93" s="183">
        <f>PRODUCT('Rollen-Prozess-Matrix'!J23,'Kompetenz-Prozess-Matrix'!F27)</f>
        <v>0</v>
      </c>
      <c r="G93" s="183">
        <f>PRODUCT('Rollen-Prozess-Matrix'!K23,'Kompetenz-Prozess-Matrix'!F27)</f>
        <v>0</v>
      </c>
      <c r="H93" s="183">
        <f>PRODUCT('Rollen-Prozess-Matrix'!L23,'Kompetenz-Prozess-Matrix'!F27)</f>
        <v>6</v>
      </c>
      <c r="I93" s="183">
        <f>PRODUCT('Rollen-Prozess-Matrix'!M23,'Kompetenz-Prozess-Matrix'!F27)</f>
        <v>2</v>
      </c>
      <c r="J93" s="183">
        <f>PRODUCT('Rollen-Prozess-Matrix'!N23,'Kompetenz-Prozess-Matrix'!F27)</f>
        <v>0</v>
      </c>
      <c r="K93" s="183">
        <f>PRODUCT('Rollen-Prozess-Matrix'!O23,'Kompetenz-Prozess-Matrix'!F27)</f>
        <v>0</v>
      </c>
      <c r="L93" s="183">
        <f>PRODUCT('Rollen-Prozess-Matrix'!P23,'Kompetenz-Prozess-Matrix'!F27)</f>
        <v>4</v>
      </c>
      <c r="M93" s="183">
        <f>PRODUCT('Rollen-Prozess-Matrix'!Q23,'Kompetenz-Prozess-Matrix'!F27)</f>
        <v>0</v>
      </c>
      <c r="N93" s="183">
        <f>PRODUCT('Rollen-Prozess-Matrix'!R23,'Kompetenz-Prozess-Matrix'!F27)</f>
        <v>0</v>
      </c>
      <c r="O93" s="183">
        <f>PRODUCT('Rollen-Prozess-Matrix'!S23,'Kompetenz-Prozess-Matrix'!F27)</f>
        <v>0</v>
      </c>
      <c r="P93" s="183">
        <f>PRODUCT('Rollen-Prozess-Matrix'!T23,'Kompetenz-Prozess-Matrix'!F27)</f>
        <v>0</v>
      </c>
      <c r="Q93" s="185">
        <f>PRODUCT('Rollen-Prozess-Matrix'!U23,'Kompetenz-Prozess-Matrix'!F27)</f>
        <v>0</v>
      </c>
    </row>
    <row r="94" spans="1:17" ht="38.25" hidden="1" outlineLevel="1" x14ac:dyDescent="0.35">
      <c r="A94" s="333"/>
      <c r="B94" s="339"/>
      <c r="C94" s="180" t="s">
        <v>217</v>
      </c>
      <c r="D94" s="182">
        <f>PRODUCT('Rollen-Prozess-Matrix'!H24,'Kompetenz-Prozess-Matrix'!F28)</f>
        <v>0</v>
      </c>
      <c r="E94" s="183">
        <f>PRODUCT('Rollen-Prozess-Matrix'!I24,'Kompetenz-Prozess-Matrix'!F28)</f>
        <v>0</v>
      </c>
      <c r="F94" s="183">
        <f>PRODUCT('Rollen-Prozess-Matrix'!J24,'Kompetenz-Prozess-Matrix'!F28)</f>
        <v>0</v>
      </c>
      <c r="G94" s="183">
        <f>PRODUCT('Rollen-Prozess-Matrix'!K24,'Kompetenz-Prozess-Matrix'!F28)</f>
        <v>0</v>
      </c>
      <c r="H94" s="183">
        <f>PRODUCT('Rollen-Prozess-Matrix'!L24,'Kompetenz-Prozess-Matrix'!F28)</f>
        <v>3</v>
      </c>
      <c r="I94" s="183">
        <f>PRODUCT('Rollen-Prozess-Matrix'!M24,'Kompetenz-Prozess-Matrix'!F28)</f>
        <v>0</v>
      </c>
      <c r="J94" s="183">
        <f>PRODUCT('Rollen-Prozess-Matrix'!N24,'Kompetenz-Prozess-Matrix'!F28)</f>
        <v>2</v>
      </c>
      <c r="K94" s="183">
        <f>PRODUCT('Rollen-Prozess-Matrix'!O24,'Kompetenz-Prozess-Matrix'!F28)</f>
        <v>2</v>
      </c>
      <c r="L94" s="183">
        <f>PRODUCT('Rollen-Prozess-Matrix'!P24,'Kompetenz-Prozess-Matrix'!F28)</f>
        <v>0</v>
      </c>
      <c r="M94" s="183">
        <f>PRODUCT('Rollen-Prozess-Matrix'!Q24,'Kompetenz-Prozess-Matrix'!F28)</f>
        <v>2</v>
      </c>
      <c r="N94" s="183">
        <f>PRODUCT('Rollen-Prozess-Matrix'!R24,'Kompetenz-Prozess-Matrix'!F28)</f>
        <v>0</v>
      </c>
      <c r="O94" s="183">
        <f>PRODUCT('Rollen-Prozess-Matrix'!S24,'Kompetenz-Prozess-Matrix'!F28)</f>
        <v>0</v>
      </c>
      <c r="P94" s="183">
        <f>PRODUCT('Rollen-Prozess-Matrix'!T24,'Kompetenz-Prozess-Matrix'!F28)</f>
        <v>0</v>
      </c>
      <c r="Q94" s="185">
        <f>PRODUCT('Rollen-Prozess-Matrix'!U24,'Kompetenz-Prozess-Matrix'!F28)</f>
        <v>0</v>
      </c>
    </row>
    <row r="95" spans="1:17" ht="38.25" hidden="1" outlineLevel="1" x14ac:dyDescent="0.35">
      <c r="A95" s="333"/>
      <c r="B95" s="339"/>
      <c r="C95" s="180" t="s">
        <v>223</v>
      </c>
      <c r="D95" s="182">
        <f>PRODUCT('Rollen-Prozess-Matrix'!H25,'Kompetenz-Prozess-Matrix'!F29)</f>
        <v>0</v>
      </c>
      <c r="E95" s="183">
        <f>PRODUCT('Rollen-Prozess-Matrix'!I25,'Kompetenz-Prozess-Matrix'!F29)</f>
        <v>1</v>
      </c>
      <c r="F95" s="183">
        <f>PRODUCT('Rollen-Prozess-Matrix'!J25,'Kompetenz-Prozess-Matrix'!F29)</f>
        <v>0</v>
      </c>
      <c r="G95" s="183">
        <f>PRODUCT('Rollen-Prozess-Matrix'!K25,'Kompetenz-Prozess-Matrix'!F29)</f>
        <v>0</v>
      </c>
      <c r="H95" s="183">
        <f>PRODUCT('Rollen-Prozess-Matrix'!L25,'Kompetenz-Prozess-Matrix'!F29)</f>
        <v>3</v>
      </c>
      <c r="I95" s="183">
        <f>PRODUCT('Rollen-Prozess-Matrix'!M25,'Kompetenz-Prozess-Matrix'!F29)</f>
        <v>0</v>
      </c>
      <c r="J95" s="183">
        <f>PRODUCT('Rollen-Prozess-Matrix'!N25,'Kompetenz-Prozess-Matrix'!F29)</f>
        <v>0</v>
      </c>
      <c r="K95" s="183">
        <f>PRODUCT('Rollen-Prozess-Matrix'!O25,'Kompetenz-Prozess-Matrix'!F29)</f>
        <v>1</v>
      </c>
      <c r="L95" s="183">
        <f>PRODUCT('Rollen-Prozess-Matrix'!P25,'Kompetenz-Prozess-Matrix'!F29)</f>
        <v>1</v>
      </c>
      <c r="M95" s="183">
        <f>PRODUCT('Rollen-Prozess-Matrix'!Q25,'Kompetenz-Prozess-Matrix'!F29)</f>
        <v>2</v>
      </c>
      <c r="N95" s="183">
        <f>PRODUCT('Rollen-Prozess-Matrix'!R25,'Kompetenz-Prozess-Matrix'!F29)</f>
        <v>0</v>
      </c>
      <c r="O95" s="183">
        <f>PRODUCT('Rollen-Prozess-Matrix'!S25,'Kompetenz-Prozess-Matrix'!F29)</f>
        <v>0</v>
      </c>
      <c r="P95" s="183">
        <f>PRODUCT('Rollen-Prozess-Matrix'!T25,'Kompetenz-Prozess-Matrix'!F29)</f>
        <v>0</v>
      </c>
      <c r="Q95" s="185">
        <f>PRODUCT('Rollen-Prozess-Matrix'!U25,'Kompetenz-Prozess-Matrix'!F29)</f>
        <v>0</v>
      </c>
    </row>
    <row r="96" spans="1:17" ht="38.25" hidden="1" outlineLevel="1" x14ac:dyDescent="0.35">
      <c r="A96" s="333"/>
      <c r="B96" s="339"/>
      <c r="C96" s="180" t="s">
        <v>229</v>
      </c>
      <c r="D96" s="182">
        <f>PRODUCT('Rollen-Prozess-Matrix'!H26,'Kompetenz-Prozess-Matrix'!F30)</f>
        <v>0</v>
      </c>
      <c r="E96" s="183">
        <f>PRODUCT('Rollen-Prozess-Matrix'!I26,'Kompetenz-Prozess-Matrix'!F30)</f>
        <v>1</v>
      </c>
      <c r="F96" s="183">
        <f>PRODUCT('Rollen-Prozess-Matrix'!J26,'Kompetenz-Prozess-Matrix'!F30)</f>
        <v>0</v>
      </c>
      <c r="G96" s="183">
        <f>PRODUCT('Rollen-Prozess-Matrix'!K26,'Kompetenz-Prozess-Matrix'!F30)</f>
        <v>0</v>
      </c>
      <c r="H96" s="183">
        <f>PRODUCT('Rollen-Prozess-Matrix'!L26,'Kompetenz-Prozess-Matrix'!F30)</f>
        <v>3</v>
      </c>
      <c r="I96" s="183">
        <f>PRODUCT('Rollen-Prozess-Matrix'!M26,'Kompetenz-Prozess-Matrix'!F30)</f>
        <v>1</v>
      </c>
      <c r="J96" s="183">
        <f>PRODUCT('Rollen-Prozess-Matrix'!N26,'Kompetenz-Prozess-Matrix'!F30)</f>
        <v>1</v>
      </c>
      <c r="K96" s="183">
        <f>PRODUCT('Rollen-Prozess-Matrix'!O26,'Kompetenz-Prozess-Matrix'!F30)</f>
        <v>0</v>
      </c>
      <c r="L96" s="183">
        <f>PRODUCT('Rollen-Prozess-Matrix'!P26,'Kompetenz-Prozess-Matrix'!F30)</f>
        <v>2</v>
      </c>
      <c r="M96" s="183">
        <f>PRODUCT('Rollen-Prozess-Matrix'!Q26,'Kompetenz-Prozess-Matrix'!F30)</f>
        <v>0</v>
      </c>
      <c r="N96" s="183">
        <f>PRODUCT('Rollen-Prozess-Matrix'!R26,'Kompetenz-Prozess-Matrix'!F30)</f>
        <v>0</v>
      </c>
      <c r="O96" s="183">
        <f>PRODUCT('Rollen-Prozess-Matrix'!S26,'Kompetenz-Prozess-Matrix'!F30)</f>
        <v>1</v>
      </c>
      <c r="P96" s="183">
        <f>PRODUCT('Rollen-Prozess-Matrix'!T26,'Kompetenz-Prozess-Matrix'!F30)</f>
        <v>0</v>
      </c>
      <c r="Q96" s="185">
        <f>PRODUCT('Rollen-Prozess-Matrix'!U26,'Kompetenz-Prozess-Matrix'!F30)</f>
        <v>0</v>
      </c>
    </row>
    <row r="97" spans="1:19" ht="38.25" hidden="1" outlineLevel="1" x14ac:dyDescent="0.35">
      <c r="A97" s="333"/>
      <c r="B97" s="339"/>
      <c r="C97" s="180" t="s">
        <v>235</v>
      </c>
      <c r="D97" s="182">
        <f>PRODUCT('Rollen-Prozess-Matrix'!H27,'Kompetenz-Prozess-Matrix'!F31)</f>
        <v>2</v>
      </c>
      <c r="E97" s="183">
        <f>PRODUCT('Rollen-Prozess-Matrix'!I27,'Kompetenz-Prozess-Matrix'!F31)</f>
        <v>2</v>
      </c>
      <c r="F97" s="183">
        <f>PRODUCT('Rollen-Prozess-Matrix'!J27,'Kompetenz-Prozess-Matrix'!F31)</f>
        <v>0</v>
      </c>
      <c r="G97" s="183">
        <f>PRODUCT('Rollen-Prozess-Matrix'!K27,'Kompetenz-Prozess-Matrix'!F31)</f>
        <v>0</v>
      </c>
      <c r="H97" s="183">
        <f>PRODUCT('Rollen-Prozess-Matrix'!L27,'Kompetenz-Prozess-Matrix'!F31)</f>
        <v>3</v>
      </c>
      <c r="I97" s="183">
        <f>PRODUCT('Rollen-Prozess-Matrix'!M27,'Kompetenz-Prozess-Matrix'!F31)</f>
        <v>0</v>
      </c>
      <c r="J97" s="183">
        <f>PRODUCT('Rollen-Prozess-Matrix'!N27,'Kompetenz-Prozess-Matrix'!F31)</f>
        <v>0</v>
      </c>
      <c r="K97" s="183">
        <f>PRODUCT('Rollen-Prozess-Matrix'!O27,'Kompetenz-Prozess-Matrix'!F31)</f>
        <v>2</v>
      </c>
      <c r="L97" s="183">
        <f>PRODUCT('Rollen-Prozess-Matrix'!P27,'Kompetenz-Prozess-Matrix'!F31)</f>
        <v>0</v>
      </c>
      <c r="M97" s="183">
        <f>PRODUCT('Rollen-Prozess-Matrix'!Q27,'Kompetenz-Prozess-Matrix'!F31)</f>
        <v>0</v>
      </c>
      <c r="N97" s="183">
        <f>PRODUCT('Rollen-Prozess-Matrix'!R27,'Kompetenz-Prozess-Matrix'!F31)</f>
        <v>2</v>
      </c>
      <c r="O97" s="183">
        <f>PRODUCT('Rollen-Prozess-Matrix'!S27,'Kompetenz-Prozess-Matrix'!F31)</f>
        <v>0</v>
      </c>
      <c r="P97" s="183">
        <f>PRODUCT('Rollen-Prozess-Matrix'!T27,'Kompetenz-Prozess-Matrix'!F31)</f>
        <v>0</v>
      </c>
      <c r="Q97" s="185">
        <f>PRODUCT('Rollen-Prozess-Matrix'!U27,'Kompetenz-Prozess-Matrix'!F31)</f>
        <v>0</v>
      </c>
    </row>
    <row r="98" spans="1:19" ht="38.25" hidden="1" outlineLevel="1" x14ac:dyDescent="0.35">
      <c r="A98" s="333"/>
      <c r="B98" s="339"/>
      <c r="C98" s="180" t="s">
        <v>242</v>
      </c>
      <c r="D98" s="182">
        <f>PRODUCT('Rollen-Prozess-Matrix'!H28,'Kompetenz-Prozess-Matrix'!F32)</f>
        <v>1</v>
      </c>
      <c r="E98" s="183">
        <f>PRODUCT('Rollen-Prozess-Matrix'!I28,'Kompetenz-Prozess-Matrix'!F32)</f>
        <v>1</v>
      </c>
      <c r="F98" s="183">
        <f>PRODUCT('Rollen-Prozess-Matrix'!J28,'Kompetenz-Prozess-Matrix'!F32)</f>
        <v>0</v>
      </c>
      <c r="G98" s="183">
        <f>PRODUCT('Rollen-Prozess-Matrix'!K28,'Kompetenz-Prozess-Matrix'!F32)</f>
        <v>0</v>
      </c>
      <c r="H98" s="183">
        <f>PRODUCT('Rollen-Prozess-Matrix'!L28,'Kompetenz-Prozess-Matrix'!F32)</f>
        <v>3</v>
      </c>
      <c r="I98" s="183">
        <f>PRODUCT('Rollen-Prozess-Matrix'!M28,'Kompetenz-Prozess-Matrix'!F32)</f>
        <v>0</v>
      </c>
      <c r="J98" s="183">
        <f>PRODUCT('Rollen-Prozess-Matrix'!N28,'Kompetenz-Prozess-Matrix'!F32)</f>
        <v>0</v>
      </c>
      <c r="K98" s="183">
        <f>PRODUCT('Rollen-Prozess-Matrix'!O28,'Kompetenz-Prozess-Matrix'!F32)</f>
        <v>0</v>
      </c>
      <c r="L98" s="183">
        <f>PRODUCT('Rollen-Prozess-Matrix'!P28,'Kompetenz-Prozess-Matrix'!F32)</f>
        <v>2</v>
      </c>
      <c r="M98" s="183">
        <f>PRODUCT('Rollen-Prozess-Matrix'!Q28,'Kompetenz-Prozess-Matrix'!F32)</f>
        <v>0</v>
      </c>
      <c r="N98" s="183">
        <f>PRODUCT('Rollen-Prozess-Matrix'!R28,'Kompetenz-Prozess-Matrix'!F32)</f>
        <v>0</v>
      </c>
      <c r="O98" s="183">
        <f>PRODUCT('Rollen-Prozess-Matrix'!S28,'Kompetenz-Prozess-Matrix'!F32)</f>
        <v>1</v>
      </c>
      <c r="P98" s="183">
        <f>PRODUCT('Rollen-Prozess-Matrix'!T28,'Kompetenz-Prozess-Matrix'!F32)</f>
        <v>0</v>
      </c>
      <c r="Q98" s="185">
        <f>PRODUCT('Rollen-Prozess-Matrix'!U28,'Kompetenz-Prozess-Matrix'!F32)</f>
        <v>0</v>
      </c>
    </row>
    <row r="99" spans="1:19" ht="38.25" hidden="1" outlineLevel="1" x14ac:dyDescent="0.35">
      <c r="A99" s="333"/>
      <c r="B99" s="339"/>
      <c r="C99" s="180" t="s">
        <v>248</v>
      </c>
      <c r="D99" s="182">
        <f>PRODUCT('Rollen-Prozess-Matrix'!H29,'Kompetenz-Prozess-Matrix'!F33)</f>
        <v>2</v>
      </c>
      <c r="E99" s="183">
        <f>PRODUCT('Rollen-Prozess-Matrix'!I29,'Kompetenz-Prozess-Matrix'!F33)</f>
        <v>0</v>
      </c>
      <c r="F99" s="183">
        <f>PRODUCT('Rollen-Prozess-Matrix'!J29,'Kompetenz-Prozess-Matrix'!F33)</f>
        <v>0</v>
      </c>
      <c r="G99" s="183">
        <f>PRODUCT('Rollen-Prozess-Matrix'!K29,'Kompetenz-Prozess-Matrix'!F33)</f>
        <v>0</v>
      </c>
      <c r="H99" s="183">
        <f>PRODUCT('Rollen-Prozess-Matrix'!L29,'Kompetenz-Prozess-Matrix'!F33)</f>
        <v>3</v>
      </c>
      <c r="I99" s="183">
        <f>PRODUCT('Rollen-Prozess-Matrix'!M29,'Kompetenz-Prozess-Matrix'!F33)</f>
        <v>1</v>
      </c>
      <c r="J99" s="183">
        <f>PRODUCT('Rollen-Prozess-Matrix'!N29,'Kompetenz-Prozess-Matrix'!F33)</f>
        <v>0</v>
      </c>
      <c r="K99" s="183">
        <f>PRODUCT('Rollen-Prozess-Matrix'!O29,'Kompetenz-Prozess-Matrix'!F33)</f>
        <v>0</v>
      </c>
      <c r="L99" s="183">
        <f>PRODUCT('Rollen-Prozess-Matrix'!P29,'Kompetenz-Prozess-Matrix'!F33)</f>
        <v>0</v>
      </c>
      <c r="M99" s="183">
        <f>PRODUCT('Rollen-Prozess-Matrix'!Q29,'Kompetenz-Prozess-Matrix'!F33)</f>
        <v>0</v>
      </c>
      <c r="N99" s="183">
        <f>PRODUCT('Rollen-Prozess-Matrix'!R29,'Kompetenz-Prozess-Matrix'!F33)</f>
        <v>1</v>
      </c>
      <c r="O99" s="183">
        <f>PRODUCT('Rollen-Prozess-Matrix'!S29,'Kompetenz-Prozess-Matrix'!F33)</f>
        <v>0</v>
      </c>
      <c r="P99" s="183">
        <f>PRODUCT('Rollen-Prozess-Matrix'!T29,'Kompetenz-Prozess-Matrix'!F33)</f>
        <v>0</v>
      </c>
      <c r="Q99" s="185">
        <f>PRODUCT('Rollen-Prozess-Matrix'!U29,'Kompetenz-Prozess-Matrix'!F33)</f>
        <v>0</v>
      </c>
    </row>
    <row r="100" spans="1:19" ht="38.25" hidden="1" outlineLevel="1" x14ac:dyDescent="0.35">
      <c r="A100" s="333"/>
      <c r="B100" s="339"/>
      <c r="C100" s="180" t="s">
        <v>255</v>
      </c>
      <c r="D100" s="182">
        <f>PRODUCT('Rollen-Prozess-Matrix'!H30,'Kompetenz-Prozess-Matrix'!F34)</f>
        <v>2</v>
      </c>
      <c r="E100" s="183">
        <f>PRODUCT('Rollen-Prozess-Matrix'!I30,'Kompetenz-Prozess-Matrix'!F34)</f>
        <v>0</v>
      </c>
      <c r="F100" s="183">
        <f>PRODUCT('Rollen-Prozess-Matrix'!J30,'Kompetenz-Prozess-Matrix'!F34)</f>
        <v>0</v>
      </c>
      <c r="G100" s="183">
        <f>PRODUCT('Rollen-Prozess-Matrix'!K30,'Kompetenz-Prozess-Matrix'!F34)</f>
        <v>0</v>
      </c>
      <c r="H100" s="183">
        <f>PRODUCT('Rollen-Prozess-Matrix'!L30,'Kompetenz-Prozess-Matrix'!F34)</f>
        <v>3</v>
      </c>
      <c r="I100" s="183">
        <f>PRODUCT('Rollen-Prozess-Matrix'!M30,'Kompetenz-Prozess-Matrix'!F34)</f>
        <v>1</v>
      </c>
      <c r="J100" s="183">
        <f>PRODUCT('Rollen-Prozess-Matrix'!N30,'Kompetenz-Prozess-Matrix'!F34)</f>
        <v>0</v>
      </c>
      <c r="K100" s="183">
        <f>PRODUCT('Rollen-Prozess-Matrix'!O30,'Kompetenz-Prozess-Matrix'!F34)</f>
        <v>0</v>
      </c>
      <c r="L100" s="183">
        <f>PRODUCT('Rollen-Prozess-Matrix'!P30,'Kompetenz-Prozess-Matrix'!F34)</f>
        <v>0</v>
      </c>
      <c r="M100" s="183">
        <f>PRODUCT('Rollen-Prozess-Matrix'!Q30,'Kompetenz-Prozess-Matrix'!F34)</f>
        <v>0</v>
      </c>
      <c r="N100" s="183">
        <f>PRODUCT('Rollen-Prozess-Matrix'!R30,'Kompetenz-Prozess-Matrix'!F34)</f>
        <v>2</v>
      </c>
      <c r="O100" s="183">
        <f>PRODUCT('Rollen-Prozess-Matrix'!S30,'Kompetenz-Prozess-Matrix'!F34)</f>
        <v>0</v>
      </c>
      <c r="P100" s="183">
        <f>PRODUCT('Rollen-Prozess-Matrix'!T30,'Kompetenz-Prozess-Matrix'!F34)</f>
        <v>0</v>
      </c>
      <c r="Q100" s="185">
        <f>PRODUCT('Rollen-Prozess-Matrix'!U30,'Kompetenz-Prozess-Matrix'!F34)</f>
        <v>0</v>
      </c>
    </row>
    <row r="101" spans="1:19" ht="38.25" hidden="1" outlineLevel="1" x14ac:dyDescent="0.35">
      <c r="A101" s="333"/>
      <c r="B101" s="339"/>
      <c r="C101" s="180" t="s">
        <v>261</v>
      </c>
      <c r="D101" s="182">
        <f>PRODUCT('Rollen-Prozess-Matrix'!H31,'Kompetenz-Prozess-Matrix'!F35)</f>
        <v>2</v>
      </c>
      <c r="E101" s="183">
        <f>PRODUCT('Rollen-Prozess-Matrix'!I31,'Kompetenz-Prozess-Matrix'!F35)</f>
        <v>0</v>
      </c>
      <c r="F101" s="183">
        <f>PRODUCT('Rollen-Prozess-Matrix'!J31,'Kompetenz-Prozess-Matrix'!F35)</f>
        <v>0</v>
      </c>
      <c r="G101" s="183">
        <f>PRODUCT('Rollen-Prozess-Matrix'!K31,'Kompetenz-Prozess-Matrix'!F35)</f>
        <v>0</v>
      </c>
      <c r="H101" s="183">
        <f>PRODUCT('Rollen-Prozess-Matrix'!L31,'Kompetenz-Prozess-Matrix'!F35)</f>
        <v>3</v>
      </c>
      <c r="I101" s="183">
        <f>PRODUCT('Rollen-Prozess-Matrix'!M31,'Kompetenz-Prozess-Matrix'!F35)</f>
        <v>0</v>
      </c>
      <c r="J101" s="183">
        <f>PRODUCT('Rollen-Prozess-Matrix'!N31,'Kompetenz-Prozess-Matrix'!F35)</f>
        <v>0</v>
      </c>
      <c r="K101" s="183">
        <f>PRODUCT('Rollen-Prozess-Matrix'!O31,'Kompetenz-Prozess-Matrix'!F35)</f>
        <v>0</v>
      </c>
      <c r="L101" s="183">
        <f>PRODUCT('Rollen-Prozess-Matrix'!P31,'Kompetenz-Prozess-Matrix'!F35)</f>
        <v>0</v>
      </c>
      <c r="M101" s="183">
        <f>PRODUCT('Rollen-Prozess-Matrix'!Q31,'Kompetenz-Prozess-Matrix'!F35)</f>
        <v>0</v>
      </c>
      <c r="N101" s="183">
        <f>PRODUCT('Rollen-Prozess-Matrix'!R31,'Kompetenz-Prozess-Matrix'!F35)</f>
        <v>1</v>
      </c>
      <c r="O101" s="183">
        <f>PRODUCT('Rollen-Prozess-Matrix'!S31,'Kompetenz-Prozess-Matrix'!F35)</f>
        <v>0</v>
      </c>
      <c r="P101" s="183">
        <f>PRODUCT('Rollen-Prozess-Matrix'!T31,'Kompetenz-Prozess-Matrix'!F35)</f>
        <v>0</v>
      </c>
      <c r="Q101" s="185">
        <f>PRODUCT('Rollen-Prozess-Matrix'!U31,'Kompetenz-Prozess-Matrix'!F35)</f>
        <v>0</v>
      </c>
    </row>
    <row r="102" spans="1:19" hidden="1" outlineLevel="1" x14ac:dyDescent="0.35">
      <c r="A102" s="333"/>
      <c r="B102" s="339"/>
      <c r="C102" s="180" t="s">
        <v>264</v>
      </c>
      <c r="D102" s="182">
        <f>PRODUCT('Rollen-Prozess-Matrix'!H32,'Kompetenz-Prozess-Matrix'!F36)</f>
        <v>0</v>
      </c>
      <c r="E102" s="183">
        <f>PRODUCT('Rollen-Prozess-Matrix'!I32,'Kompetenz-Prozess-Matrix'!F36)</f>
        <v>0</v>
      </c>
      <c r="F102" s="183">
        <f>PRODUCT('Rollen-Prozess-Matrix'!J32,'Kompetenz-Prozess-Matrix'!F36)</f>
        <v>0</v>
      </c>
      <c r="G102" s="183">
        <f>PRODUCT('Rollen-Prozess-Matrix'!K32,'Kompetenz-Prozess-Matrix'!F36)</f>
        <v>4</v>
      </c>
      <c r="H102" s="183">
        <f>PRODUCT('Rollen-Prozess-Matrix'!L32,'Kompetenz-Prozess-Matrix'!F36)</f>
        <v>2</v>
      </c>
      <c r="I102" s="183">
        <f>PRODUCT('Rollen-Prozess-Matrix'!M32,'Kompetenz-Prozess-Matrix'!F36)</f>
        <v>0</v>
      </c>
      <c r="J102" s="183">
        <f>PRODUCT('Rollen-Prozess-Matrix'!N32,'Kompetenz-Prozess-Matrix'!F36)</f>
        <v>0</v>
      </c>
      <c r="K102" s="183">
        <f>PRODUCT('Rollen-Prozess-Matrix'!O32,'Kompetenz-Prozess-Matrix'!F36)</f>
        <v>0</v>
      </c>
      <c r="L102" s="183">
        <f>PRODUCT('Rollen-Prozess-Matrix'!P32,'Kompetenz-Prozess-Matrix'!F36)</f>
        <v>0</v>
      </c>
      <c r="M102" s="183">
        <f>PRODUCT('Rollen-Prozess-Matrix'!Q32,'Kompetenz-Prozess-Matrix'!F36)</f>
        <v>0</v>
      </c>
      <c r="N102" s="183">
        <f>PRODUCT('Rollen-Prozess-Matrix'!R32,'Kompetenz-Prozess-Matrix'!F36)</f>
        <v>0</v>
      </c>
      <c r="O102" s="183">
        <f>PRODUCT('Rollen-Prozess-Matrix'!S32,'Kompetenz-Prozess-Matrix'!F36)</f>
        <v>0</v>
      </c>
      <c r="P102" s="183">
        <f>PRODUCT('Rollen-Prozess-Matrix'!T32,'Kompetenz-Prozess-Matrix'!F36)</f>
        <v>0</v>
      </c>
      <c r="Q102" s="185">
        <f>PRODUCT('Rollen-Prozess-Matrix'!U32,'Kompetenz-Prozess-Matrix'!F36)</f>
        <v>0</v>
      </c>
    </row>
    <row r="103" spans="1:19" hidden="1" outlineLevel="1" x14ac:dyDescent="0.35">
      <c r="A103" s="333"/>
      <c r="B103" s="339"/>
      <c r="C103" s="180" t="s">
        <v>266</v>
      </c>
      <c r="D103" s="182">
        <f>PRODUCT('Rollen-Prozess-Matrix'!H33,'Kompetenz-Prozess-Matrix'!F37)</f>
        <v>0</v>
      </c>
      <c r="E103" s="183">
        <f>PRODUCT('Rollen-Prozess-Matrix'!I33,'Kompetenz-Prozess-Matrix'!F37)</f>
        <v>0</v>
      </c>
      <c r="F103" s="183">
        <f>PRODUCT('Rollen-Prozess-Matrix'!J33,'Kompetenz-Prozess-Matrix'!F37)</f>
        <v>0</v>
      </c>
      <c r="G103" s="183">
        <f>PRODUCT('Rollen-Prozess-Matrix'!K33,'Kompetenz-Prozess-Matrix'!F37)</f>
        <v>0</v>
      </c>
      <c r="H103" s="183">
        <f>PRODUCT('Rollen-Prozess-Matrix'!L33,'Kompetenz-Prozess-Matrix'!F37)</f>
        <v>0</v>
      </c>
      <c r="I103" s="183">
        <f>PRODUCT('Rollen-Prozess-Matrix'!M33,'Kompetenz-Prozess-Matrix'!F37)</f>
        <v>0</v>
      </c>
      <c r="J103" s="183">
        <f>PRODUCT('Rollen-Prozess-Matrix'!N33,'Kompetenz-Prozess-Matrix'!F37)</f>
        <v>0</v>
      </c>
      <c r="K103" s="183">
        <f>PRODUCT('Rollen-Prozess-Matrix'!O33,'Kompetenz-Prozess-Matrix'!F37)</f>
        <v>0</v>
      </c>
      <c r="L103" s="183">
        <f>PRODUCT('Rollen-Prozess-Matrix'!P33,'Kompetenz-Prozess-Matrix'!F37)</f>
        <v>0</v>
      </c>
      <c r="M103" s="183">
        <f>PRODUCT('Rollen-Prozess-Matrix'!Q33,'Kompetenz-Prozess-Matrix'!F37)</f>
        <v>0</v>
      </c>
      <c r="N103" s="183">
        <f>PRODUCT('Rollen-Prozess-Matrix'!R33,'Kompetenz-Prozess-Matrix'!F37)</f>
        <v>0</v>
      </c>
      <c r="O103" s="183">
        <f>PRODUCT('Rollen-Prozess-Matrix'!S33,'Kompetenz-Prozess-Matrix'!F37)</f>
        <v>0</v>
      </c>
      <c r="P103" s="183">
        <f>PRODUCT('Rollen-Prozess-Matrix'!T33,'Kompetenz-Prozess-Matrix'!F37)</f>
        <v>0</v>
      </c>
      <c r="Q103" s="185">
        <f>PRODUCT('Rollen-Prozess-Matrix'!U33,'Kompetenz-Prozess-Matrix'!F37)</f>
        <v>0</v>
      </c>
    </row>
    <row r="104" spans="1:19" ht="13.15" hidden="1" outlineLevel="1" thickBot="1" x14ac:dyDescent="0.4">
      <c r="A104" s="333"/>
      <c r="B104" s="340"/>
      <c r="C104" s="181" t="s">
        <v>289</v>
      </c>
      <c r="D104" s="182">
        <f>PRODUCT('Rollen-Prozess-Matrix'!H34,'Kompetenz-Prozess-Matrix'!F38)</f>
        <v>0</v>
      </c>
      <c r="E104" s="183">
        <f>PRODUCT('Rollen-Prozess-Matrix'!I34,'Kompetenz-Prozess-Matrix'!F38)</f>
        <v>0</v>
      </c>
      <c r="F104" s="183">
        <f>PRODUCT('Rollen-Prozess-Matrix'!J34,'Kompetenz-Prozess-Matrix'!F38)</f>
        <v>0</v>
      </c>
      <c r="G104" s="183">
        <f>PRODUCT('Rollen-Prozess-Matrix'!K34,'Kompetenz-Prozess-Matrix'!F38)</f>
        <v>2</v>
      </c>
      <c r="H104" s="183">
        <f>PRODUCT('Rollen-Prozess-Matrix'!L34,'Kompetenz-Prozess-Matrix'!F38)</f>
        <v>0</v>
      </c>
      <c r="I104" s="183">
        <f>PRODUCT('Rollen-Prozess-Matrix'!M34,'Kompetenz-Prozess-Matrix'!F38)</f>
        <v>0</v>
      </c>
      <c r="J104" s="183">
        <f>PRODUCT('Rollen-Prozess-Matrix'!N34,'Kompetenz-Prozess-Matrix'!F38)</f>
        <v>0</v>
      </c>
      <c r="K104" s="183">
        <f>PRODUCT('Rollen-Prozess-Matrix'!O34,'Kompetenz-Prozess-Matrix'!F38)</f>
        <v>0</v>
      </c>
      <c r="L104" s="183">
        <f>PRODUCT('Rollen-Prozess-Matrix'!P34,'Kompetenz-Prozess-Matrix'!F38)</f>
        <v>0</v>
      </c>
      <c r="M104" s="183">
        <f>PRODUCT('Rollen-Prozess-Matrix'!Q34,'Kompetenz-Prozess-Matrix'!F38)</f>
        <v>0</v>
      </c>
      <c r="N104" s="183">
        <f>PRODUCT('Rollen-Prozess-Matrix'!R34,'Kompetenz-Prozess-Matrix'!F38)</f>
        <v>0</v>
      </c>
      <c r="O104" s="183">
        <f>PRODUCT('Rollen-Prozess-Matrix'!S34,'Kompetenz-Prozess-Matrix'!F38)</f>
        <v>0</v>
      </c>
      <c r="P104" s="183">
        <f>PRODUCT('Rollen-Prozess-Matrix'!T34,'Kompetenz-Prozess-Matrix'!F38)</f>
        <v>0</v>
      </c>
      <c r="Q104" s="185">
        <f>PRODUCT('Rollen-Prozess-Matrix'!U34,'Kompetenz-Prozess-Matrix'!F38)</f>
        <v>0</v>
      </c>
    </row>
    <row r="105" spans="1:19" ht="12.6" customHeight="1" collapsed="1" thickBot="1" x14ac:dyDescent="0.4">
      <c r="A105" s="333"/>
      <c r="B105" s="338" t="s">
        <v>34</v>
      </c>
      <c r="C105" s="178"/>
      <c r="D105" s="184">
        <f>MAX(D106:D138)</f>
        <v>2</v>
      </c>
      <c r="E105" s="184">
        <f t="shared" ref="E105" si="27">MAX(E106:E138)</f>
        <v>4</v>
      </c>
      <c r="F105" s="184">
        <f t="shared" ref="F105" si="28">MAX(F106:F138)</f>
        <v>4</v>
      </c>
      <c r="G105" s="184">
        <f t="shared" ref="G105" si="29">MAX(G106:G138)</f>
        <v>4</v>
      </c>
      <c r="H105" s="184">
        <f t="shared" ref="H105" si="30">MAX(H106:H138)</f>
        <v>6</v>
      </c>
      <c r="I105" s="184">
        <f t="shared" ref="I105" si="31">MAX(I106:I138)</f>
        <v>4</v>
      </c>
      <c r="J105" s="184">
        <f t="shared" ref="J105" si="32">MAX(J106:J138)</f>
        <v>4</v>
      </c>
      <c r="K105" s="184">
        <f t="shared" ref="K105" si="33">MAX(K106:K138)</f>
        <v>2</v>
      </c>
      <c r="L105" s="184">
        <f t="shared" ref="L105" si="34">MAX(L106:L138)</f>
        <v>4</v>
      </c>
      <c r="M105" s="184">
        <f t="shared" ref="M105" si="35">MAX(M106:M138)</f>
        <v>2</v>
      </c>
      <c r="N105" s="184">
        <f t="shared" ref="N105" si="36">MAX(N106:N138)</f>
        <v>2</v>
      </c>
      <c r="O105" s="184">
        <f t="shared" ref="O105" si="37">MAX(O106:O138)</f>
        <v>1</v>
      </c>
      <c r="P105" s="184">
        <f t="shared" ref="P105" si="38">MAX(P106:P138)</f>
        <v>4</v>
      </c>
      <c r="Q105" s="199">
        <f t="shared" ref="Q105" si="39">MAX(Q106:Q138)</f>
        <v>2</v>
      </c>
      <c r="S105" s="213" t="s">
        <v>292</v>
      </c>
    </row>
    <row r="106" spans="1:19" hidden="1" outlineLevel="2" x14ac:dyDescent="0.35">
      <c r="A106" s="333"/>
      <c r="B106" s="339"/>
      <c r="C106" s="179" t="s">
        <v>123</v>
      </c>
      <c r="D106" s="182">
        <f>PRODUCT('Rollen-Prozess-Matrix'!H2,'Kompetenz-Prozess-Matrix'!G6)</f>
        <v>0</v>
      </c>
      <c r="E106" s="183">
        <f>PRODUCT('Rollen-Prozess-Matrix'!I2,'Kompetenz-Prozess-Matrix'!G6)</f>
        <v>0</v>
      </c>
      <c r="F106" s="183">
        <f>PRODUCT('Rollen-Prozess-Matrix'!J2,'Kompetenz-Prozess-Matrix'!G6)</f>
        <v>0</v>
      </c>
      <c r="G106" s="183">
        <f>PRODUCT('Rollen-Prozess-Matrix'!K2,'Kompetenz-Prozess-Matrix'!G6)</f>
        <v>0</v>
      </c>
      <c r="H106" s="183">
        <f>PRODUCT('Rollen-Prozess-Matrix'!L2,'Kompetenz-Prozess-Matrix'!G6)</f>
        <v>0</v>
      </c>
      <c r="I106" s="183">
        <f>PRODUCT('Rollen-Prozess-Matrix'!M2,'Kompetenz-Prozess-Matrix'!G6)</f>
        <v>0</v>
      </c>
      <c r="J106" s="183">
        <f>PRODUCT('Rollen-Prozess-Matrix'!N2,'Kompetenz-Prozess-Matrix'!G6)</f>
        <v>0</v>
      </c>
      <c r="K106" s="183">
        <f>PRODUCT('Rollen-Prozess-Matrix'!O2,'Kompetenz-Prozess-Matrix'!G6)</f>
        <v>0</v>
      </c>
      <c r="L106" s="183">
        <f>PRODUCT('Rollen-Prozess-Matrix'!P2,'Kompetenz-Prozess-Matrix'!G6)</f>
        <v>0</v>
      </c>
      <c r="M106" s="183">
        <f>PRODUCT('Rollen-Prozess-Matrix'!Q2,'Kompetenz-Prozess-Matrix'!G6)</f>
        <v>0</v>
      </c>
      <c r="N106" s="183">
        <f>PRODUCT('Rollen-Prozess-Matrix'!R2,'Kompetenz-Prozess-Matrix'!G6)</f>
        <v>0</v>
      </c>
      <c r="O106" s="183">
        <f>PRODUCT('Rollen-Prozess-Matrix'!S2,'Kompetenz-Prozess-Matrix'!G6)</f>
        <v>0</v>
      </c>
      <c r="P106" s="183">
        <f>PRODUCT('Rollen-Prozess-Matrix'!T2,'Kompetenz-Prozess-Matrix'!G6)</f>
        <v>0</v>
      </c>
      <c r="Q106" s="185">
        <f>PRODUCT('Rollen-Prozess-Matrix'!U2,'Kompetenz-Prozess-Matrix'!G6)</f>
        <v>0</v>
      </c>
    </row>
    <row r="107" spans="1:19" hidden="1" outlineLevel="2" x14ac:dyDescent="0.35">
      <c r="A107" s="333"/>
      <c r="B107" s="339"/>
      <c r="C107" s="180" t="s">
        <v>127</v>
      </c>
      <c r="D107" s="182">
        <f>PRODUCT('Rollen-Prozess-Matrix'!H3,'Kompetenz-Prozess-Matrix'!G7)</f>
        <v>0</v>
      </c>
      <c r="E107" s="183">
        <f>PRODUCT('Rollen-Prozess-Matrix'!I3,'Kompetenz-Prozess-Matrix'!G7)</f>
        <v>0</v>
      </c>
      <c r="F107" s="183">
        <f>PRODUCT('Rollen-Prozess-Matrix'!J3,'Kompetenz-Prozess-Matrix'!G7)</f>
        <v>0</v>
      </c>
      <c r="G107" s="183">
        <f>PRODUCT('Rollen-Prozess-Matrix'!K3,'Kompetenz-Prozess-Matrix'!G7)</f>
        <v>0</v>
      </c>
      <c r="H107" s="183">
        <f>PRODUCT('Rollen-Prozess-Matrix'!L3,'Kompetenz-Prozess-Matrix'!G7)</f>
        <v>0</v>
      </c>
      <c r="I107" s="183">
        <f>PRODUCT('Rollen-Prozess-Matrix'!M3,'Kompetenz-Prozess-Matrix'!G7)</f>
        <v>0</v>
      </c>
      <c r="J107" s="183">
        <f>PRODUCT('Rollen-Prozess-Matrix'!N3,'Kompetenz-Prozess-Matrix'!G7)</f>
        <v>0</v>
      </c>
      <c r="K107" s="183">
        <f>PRODUCT('Rollen-Prozess-Matrix'!O3,'Kompetenz-Prozess-Matrix'!G7)</f>
        <v>0</v>
      </c>
      <c r="L107" s="183">
        <f>PRODUCT('Rollen-Prozess-Matrix'!P3,'Kompetenz-Prozess-Matrix'!G7)</f>
        <v>0</v>
      </c>
      <c r="M107" s="183">
        <f>PRODUCT('Rollen-Prozess-Matrix'!Q3,'Kompetenz-Prozess-Matrix'!G7)</f>
        <v>0</v>
      </c>
      <c r="N107" s="183">
        <f>PRODUCT('Rollen-Prozess-Matrix'!R3,'Kompetenz-Prozess-Matrix'!G7)</f>
        <v>0</v>
      </c>
      <c r="O107" s="183">
        <f>PRODUCT('Rollen-Prozess-Matrix'!S3,'Kompetenz-Prozess-Matrix'!G7)</f>
        <v>0</v>
      </c>
      <c r="P107" s="183">
        <f>PRODUCT('Rollen-Prozess-Matrix'!T3,'Kompetenz-Prozess-Matrix'!G7)</f>
        <v>0</v>
      </c>
      <c r="Q107" s="185">
        <f>PRODUCT('Rollen-Prozess-Matrix'!U3,'Kompetenz-Prozess-Matrix'!G7)</f>
        <v>0</v>
      </c>
    </row>
    <row r="108" spans="1:19" ht="51" hidden="1" outlineLevel="2" x14ac:dyDescent="0.35">
      <c r="A108" s="333"/>
      <c r="B108" s="339"/>
      <c r="C108" s="180" t="s">
        <v>132</v>
      </c>
      <c r="D108" s="182">
        <f>PRODUCT('Rollen-Prozess-Matrix'!H4,'Kompetenz-Prozess-Matrix'!G8)</f>
        <v>0</v>
      </c>
      <c r="E108" s="183">
        <f>PRODUCT('Rollen-Prozess-Matrix'!I4,'Kompetenz-Prozess-Matrix'!G8)</f>
        <v>0</v>
      </c>
      <c r="F108" s="183">
        <f>PRODUCT('Rollen-Prozess-Matrix'!J4,'Kompetenz-Prozess-Matrix'!G8)</f>
        <v>0</v>
      </c>
      <c r="G108" s="183">
        <f>PRODUCT('Rollen-Prozess-Matrix'!K4,'Kompetenz-Prozess-Matrix'!G8)</f>
        <v>1</v>
      </c>
      <c r="H108" s="183">
        <f>PRODUCT('Rollen-Prozess-Matrix'!L4,'Kompetenz-Prozess-Matrix'!G8)</f>
        <v>3</v>
      </c>
      <c r="I108" s="183">
        <f>PRODUCT('Rollen-Prozess-Matrix'!M4,'Kompetenz-Prozess-Matrix'!G8)</f>
        <v>0</v>
      </c>
      <c r="J108" s="183">
        <f>PRODUCT('Rollen-Prozess-Matrix'!N4,'Kompetenz-Prozess-Matrix'!G8)</f>
        <v>0</v>
      </c>
      <c r="K108" s="183">
        <f>PRODUCT('Rollen-Prozess-Matrix'!O4,'Kompetenz-Prozess-Matrix'!G8)</f>
        <v>0</v>
      </c>
      <c r="L108" s="183">
        <f>PRODUCT('Rollen-Prozess-Matrix'!P4,'Kompetenz-Prozess-Matrix'!G8)</f>
        <v>0</v>
      </c>
      <c r="M108" s="183">
        <f>PRODUCT('Rollen-Prozess-Matrix'!Q4,'Kompetenz-Prozess-Matrix'!G8)</f>
        <v>0</v>
      </c>
      <c r="N108" s="183">
        <f>PRODUCT('Rollen-Prozess-Matrix'!R4,'Kompetenz-Prozess-Matrix'!G8)</f>
        <v>0</v>
      </c>
      <c r="O108" s="183">
        <f>PRODUCT('Rollen-Prozess-Matrix'!S4,'Kompetenz-Prozess-Matrix'!G8)</f>
        <v>0</v>
      </c>
      <c r="P108" s="183">
        <f>PRODUCT('Rollen-Prozess-Matrix'!T4,'Kompetenz-Prozess-Matrix'!G8)</f>
        <v>0</v>
      </c>
      <c r="Q108" s="185">
        <f>PRODUCT('Rollen-Prozess-Matrix'!U4,'Kompetenz-Prozess-Matrix'!G8)</f>
        <v>0</v>
      </c>
    </row>
    <row r="109" spans="1:19" ht="38.25" hidden="1" outlineLevel="2" x14ac:dyDescent="0.35">
      <c r="A109" s="333"/>
      <c r="B109" s="339"/>
      <c r="C109" s="180" t="s">
        <v>136</v>
      </c>
      <c r="D109" s="182">
        <f>PRODUCT('Rollen-Prozess-Matrix'!H5,'Kompetenz-Prozess-Matrix'!G9)</f>
        <v>0</v>
      </c>
      <c r="E109" s="183">
        <f>PRODUCT('Rollen-Prozess-Matrix'!I5,'Kompetenz-Prozess-Matrix'!G9)</f>
        <v>0</v>
      </c>
      <c r="F109" s="183">
        <f>PRODUCT('Rollen-Prozess-Matrix'!J5,'Kompetenz-Prozess-Matrix'!G9)</f>
        <v>0</v>
      </c>
      <c r="G109" s="183">
        <f>PRODUCT('Rollen-Prozess-Matrix'!K5,'Kompetenz-Prozess-Matrix'!G9)</f>
        <v>0</v>
      </c>
      <c r="H109" s="183">
        <f>PRODUCT('Rollen-Prozess-Matrix'!L5,'Kompetenz-Prozess-Matrix'!G9)</f>
        <v>0</v>
      </c>
      <c r="I109" s="183">
        <f>PRODUCT('Rollen-Prozess-Matrix'!M5,'Kompetenz-Prozess-Matrix'!G9)</f>
        <v>0</v>
      </c>
      <c r="J109" s="183">
        <f>PRODUCT('Rollen-Prozess-Matrix'!N5,'Kompetenz-Prozess-Matrix'!G9)</f>
        <v>0</v>
      </c>
      <c r="K109" s="183">
        <f>PRODUCT('Rollen-Prozess-Matrix'!O5,'Kompetenz-Prozess-Matrix'!G9)</f>
        <v>0</v>
      </c>
      <c r="L109" s="183">
        <f>PRODUCT('Rollen-Prozess-Matrix'!P5,'Kompetenz-Prozess-Matrix'!G9)</f>
        <v>0</v>
      </c>
      <c r="M109" s="183">
        <f>PRODUCT('Rollen-Prozess-Matrix'!Q5,'Kompetenz-Prozess-Matrix'!G9)</f>
        <v>0</v>
      </c>
      <c r="N109" s="183">
        <f>PRODUCT('Rollen-Prozess-Matrix'!R5,'Kompetenz-Prozess-Matrix'!G9)</f>
        <v>0</v>
      </c>
      <c r="O109" s="183">
        <f>PRODUCT('Rollen-Prozess-Matrix'!S5,'Kompetenz-Prozess-Matrix'!G9)</f>
        <v>0</v>
      </c>
      <c r="P109" s="183">
        <f>PRODUCT('Rollen-Prozess-Matrix'!T5,'Kompetenz-Prozess-Matrix'!G9)</f>
        <v>0</v>
      </c>
      <c r="Q109" s="185">
        <f>PRODUCT('Rollen-Prozess-Matrix'!U5,'Kompetenz-Prozess-Matrix'!G9)</f>
        <v>0</v>
      </c>
    </row>
    <row r="110" spans="1:19" ht="38.25" hidden="1" outlineLevel="2" x14ac:dyDescent="0.35">
      <c r="A110" s="333"/>
      <c r="B110" s="339"/>
      <c r="C110" s="180" t="s">
        <v>140</v>
      </c>
      <c r="D110" s="182">
        <f>PRODUCT('Rollen-Prozess-Matrix'!H6,'Kompetenz-Prozess-Matrix'!G10)</f>
        <v>0</v>
      </c>
      <c r="E110" s="183">
        <f>PRODUCT('Rollen-Prozess-Matrix'!I6,'Kompetenz-Prozess-Matrix'!G10)</f>
        <v>0</v>
      </c>
      <c r="F110" s="183">
        <f>PRODUCT('Rollen-Prozess-Matrix'!J6,'Kompetenz-Prozess-Matrix'!G10)</f>
        <v>0</v>
      </c>
      <c r="G110" s="183">
        <f>PRODUCT('Rollen-Prozess-Matrix'!K6,'Kompetenz-Prozess-Matrix'!G10)</f>
        <v>0</v>
      </c>
      <c r="H110" s="183">
        <f>PRODUCT('Rollen-Prozess-Matrix'!L6,'Kompetenz-Prozess-Matrix'!G10)</f>
        <v>0</v>
      </c>
      <c r="I110" s="183">
        <f>PRODUCT('Rollen-Prozess-Matrix'!M6,'Kompetenz-Prozess-Matrix'!G10)</f>
        <v>0</v>
      </c>
      <c r="J110" s="183">
        <f>PRODUCT('Rollen-Prozess-Matrix'!N6,'Kompetenz-Prozess-Matrix'!G10)</f>
        <v>0</v>
      </c>
      <c r="K110" s="183">
        <f>PRODUCT('Rollen-Prozess-Matrix'!O6,'Kompetenz-Prozess-Matrix'!G10)</f>
        <v>0</v>
      </c>
      <c r="L110" s="183">
        <f>PRODUCT('Rollen-Prozess-Matrix'!P6,'Kompetenz-Prozess-Matrix'!G10)</f>
        <v>0</v>
      </c>
      <c r="M110" s="183">
        <f>PRODUCT('Rollen-Prozess-Matrix'!Q6,'Kompetenz-Prozess-Matrix'!G10)</f>
        <v>0</v>
      </c>
      <c r="N110" s="183">
        <f>PRODUCT('Rollen-Prozess-Matrix'!R6,'Kompetenz-Prozess-Matrix'!G10)</f>
        <v>0</v>
      </c>
      <c r="O110" s="183">
        <f>PRODUCT('Rollen-Prozess-Matrix'!S6,'Kompetenz-Prozess-Matrix'!G10)</f>
        <v>0</v>
      </c>
      <c r="P110" s="183">
        <f>PRODUCT('Rollen-Prozess-Matrix'!T6,'Kompetenz-Prozess-Matrix'!G10)</f>
        <v>0</v>
      </c>
      <c r="Q110" s="185">
        <f>PRODUCT('Rollen-Prozess-Matrix'!U6,'Kompetenz-Prozess-Matrix'!G10)</f>
        <v>0</v>
      </c>
    </row>
    <row r="111" spans="1:19" ht="38.25" hidden="1" outlineLevel="2" x14ac:dyDescent="0.35">
      <c r="A111" s="333"/>
      <c r="B111" s="339"/>
      <c r="C111" s="180" t="s">
        <v>144</v>
      </c>
      <c r="D111" s="182">
        <f>PRODUCT('Rollen-Prozess-Matrix'!H7,'Kompetenz-Prozess-Matrix'!G11)</f>
        <v>0</v>
      </c>
      <c r="E111" s="183">
        <f>PRODUCT('Rollen-Prozess-Matrix'!I7,'Kompetenz-Prozess-Matrix'!G11)</f>
        <v>0</v>
      </c>
      <c r="F111" s="183">
        <f>PRODUCT('Rollen-Prozess-Matrix'!J7,'Kompetenz-Prozess-Matrix'!G11)</f>
        <v>0</v>
      </c>
      <c r="G111" s="183">
        <f>PRODUCT('Rollen-Prozess-Matrix'!K7,'Kompetenz-Prozess-Matrix'!G11)</f>
        <v>0</v>
      </c>
      <c r="H111" s="183">
        <f>PRODUCT('Rollen-Prozess-Matrix'!L7,'Kompetenz-Prozess-Matrix'!G11)</f>
        <v>0</v>
      </c>
      <c r="I111" s="183">
        <f>PRODUCT('Rollen-Prozess-Matrix'!M7,'Kompetenz-Prozess-Matrix'!G11)</f>
        <v>0</v>
      </c>
      <c r="J111" s="183">
        <f>PRODUCT('Rollen-Prozess-Matrix'!N7,'Kompetenz-Prozess-Matrix'!G11)</f>
        <v>0</v>
      </c>
      <c r="K111" s="183">
        <f>PRODUCT('Rollen-Prozess-Matrix'!O7,'Kompetenz-Prozess-Matrix'!G11)</f>
        <v>0</v>
      </c>
      <c r="L111" s="183">
        <f>PRODUCT('Rollen-Prozess-Matrix'!P7,'Kompetenz-Prozess-Matrix'!G11)</f>
        <v>0</v>
      </c>
      <c r="M111" s="183">
        <f>PRODUCT('Rollen-Prozess-Matrix'!Q7,'Kompetenz-Prozess-Matrix'!G11)</f>
        <v>0</v>
      </c>
      <c r="N111" s="183">
        <f>PRODUCT('Rollen-Prozess-Matrix'!R7,'Kompetenz-Prozess-Matrix'!G11)</f>
        <v>0</v>
      </c>
      <c r="O111" s="183">
        <f>PRODUCT('Rollen-Prozess-Matrix'!S7,'Kompetenz-Prozess-Matrix'!G11)</f>
        <v>0</v>
      </c>
      <c r="P111" s="183">
        <f>PRODUCT('Rollen-Prozess-Matrix'!T7,'Kompetenz-Prozess-Matrix'!G11)</f>
        <v>0</v>
      </c>
      <c r="Q111" s="185">
        <f>PRODUCT('Rollen-Prozess-Matrix'!U7,'Kompetenz-Prozess-Matrix'!G11)</f>
        <v>0</v>
      </c>
    </row>
    <row r="112" spans="1:19" ht="38.25" hidden="1" outlineLevel="2" x14ac:dyDescent="0.35">
      <c r="A112" s="333"/>
      <c r="B112" s="339"/>
      <c r="C112" s="180" t="s">
        <v>148</v>
      </c>
      <c r="D112" s="182">
        <f>PRODUCT('Rollen-Prozess-Matrix'!H8,'Kompetenz-Prozess-Matrix'!G12)</f>
        <v>0</v>
      </c>
      <c r="E112" s="183">
        <f>PRODUCT('Rollen-Prozess-Matrix'!I8,'Kompetenz-Prozess-Matrix'!G12)</f>
        <v>0</v>
      </c>
      <c r="F112" s="183">
        <f>PRODUCT('Rollen-Prozess-Matrix'!J8,'Kompetenz-Prozess-Matrix'!G12)</f>
        <v>0</v>
      </c>
      <c r="G112" s="183">
        <f>PRODUCT('Rollen-Prozess-Matrix'!K8,'Kompetenz-Prozess-Matrix'!G12)</f>
        <v>0</v>
      </c>
      <c r="H112" s="183">
        <f>PRODUCT('Rollen-Prozess-Matrix'!L8,'Kompetenz-Prozess-Matrix'!G12)</f>
        <v>0</v>
      </c>
      <c r="I112" s="183">
        <f>PRODUCT('Rollen-Prozess-Matrix'!M8,'Kompetenz-Prozess-Matrix'!G12)</f>
        <v>0</v>
      </c>
      <c r="J112" s="183">
        <f>PRODUCT('Rollen-Prozess-Matrix'!N8,'Kompetenz-Prozess-Matrix'!G12)</f>
        <v>0</v>
      </c>
      <c r="K112" s="183">
        <f>PRODUCT('Rollen-Prozess-Matrix'!O8,'Kompetenz-Prozess-Matrix'!G12)</f>
        <v>0</v>
      </c>
      <c r="L112" s="183">
        <f>PRODUCT('Rollen-Prozess-Matrix'!P8,'Kompetenz-Prozess-Matrix'!G12)</f>
        <v>0</v>
      </c>
      <c r="M112" s="183">
        <f>PRODUCT('Rollen-Prozess-Matrix'!Q8,'Kompetenz-Prozess-Matrix'!G12)</f>
        <v>0</v>
      </c>
      <c r="N112" s="183">
        <f>PRODUCT('Rollen-Prozess-Matrix'!R8,'Kompetenz-Prozess-Matrix'!G12)</f>
        <v>0</v>
      </c>
      <c r="O112" s="183">
        <f>PRODUCT('Rollen-Prozess-Matrix'!S8,'Kompetenz-Prozess-Matrix'!G12)</f>
        <v>0</v>
      </c>
      <c r="P112" s="183">
        <f>PRODUCT('Rollen-Prozess-Matrix'!T8,'Kompetenz-Prozess-Matrix'!G12)</f>
        <v>0</v>
      </c>
      <c r="Q112" s="185">
        <f>PRODUCT('Rollen-Prozess-Matrix'!U8,'Kompetenz-Prozess-Matrix'!G12)</f>
        <v>0</v>
      </c>
    </row>
    <row r="113" spans="1:17" ht="38.25" hidden="1" outlineLevel="2" x14ac:dyDescent="0.35">
      <c r="A113" s="333"/>
      <c r="B113" s="339"/>
      <c r="C113" s="180" t="s">
        <v>152</v>
      </c>
      <c r="D113" s="182">
        <f>PRODUCT('Rollen-Prozess-Matrix'!H9,'Kompetenz-Prozess-Matrix'!G13)</f>
        <v>0</v>
      </c>
      <c r="E113" s="183">
        <f>PRODUCT('Rollen-Prozess-Matrix'!I9,'Kompetenz-Prozess-Matrix'!G13)</f>
        <v>0</v>
      </c>
      <c r="F113" s="183">
        <f>PRODUCT('Rollen-Prozess-Matrix'!J9,'Kompetenz-Prozess-Matrix'!G13)</f>
        <v>0</v>
      </c>
      <c r="G113" s="183">
        <f>PRODUCT('Rollen-Prozess-Matrix'!K9,'Kompetenz-Prozess-Matrix'!G13)</f>
        <v>0</v>
      </c>
      <c r="H113" s="183">
        <f>PRODUCT('Rollen-Prozess-Matrix'!L9,'Kompetenz-Prozess-Matrix'!G13)</f>
        <v>0</v>
      </c>
      <c r="I113" s="183">
        <f>PRODUCT('Rollen-Prozess-Matrix'!M9,'Kompetenz-Prozess-Matrix'!G13)</f>
        <v>0</v>
      </c>
      <c r="J113" s="183">
        <f>PRODUCT('Rollen-Prozess-Matrix'!N9,'Kompetenz-Prozess-Matrix'!G13)</f>
        <v>0</v>
      </c>
      <c r="K113" s="183">
        <f>PRODUCT('Rollen-Prozess-Matrix'!O9,'Kompetenz-Prozess-Matrix'!G13)</f>
        <v>0</v>
      </c>
      <c r="L113" s="183">
        <f>PRODUCT('Rollen-Prozess-Matrix'!P9,'Kompetenz-Prozess-Matrix'!G13)</f>
        <v>0</v>
      </c>
      <c r="M113" s="183">
        <f>PRODUCT('Rollen-Prozess-Matrix'!Q9,'Kompetenz-Prozess-Matrix'!G13)</f>
        <v>0</v>
      </c>
      <c r="N113" s="183">
        <f>PRODUCT('Rollen-Prozess-Matrix'!R9,'Kompetenz-Prozess-Matrix'!G13)</f>
        <v>0</v>
      </c>
      <c r="O113" s="183">
        <f>PRODUCT('Rollen-Prozess-Matrix'!S9,'Kompetenz-Prozess-Matrix'!G13)</f>
        <v>0</v>
      </c>
      <c r="P113" s="183">
        <f>PRODUCT('Rollen-Prozess-Matrix'!T9,'Kompetenz-Prozess-Matrix'!G13)</f>
        <v>0</v>
      </c>
      <c r="Q113" s="185">
        <f>PRODUCT('Rollen-Prozess-Matrix'!U9,'Kompetenz-Prozess-Matrix'!G13)</f>
        <v>0</v>
      </c>
    </row>
    <row r="114" spans="1:17" ht="38.25" hidden="1" outlineLevel="2" x14ac:dyDescent="0.35">
      <c r="A114" s="333"/>
      <c r="B114" s="339"/>
      <c r="C114" s="180" t="s">
        <v>157</v>
      </c>
      <c r="D114" s="182">
        <f>PRODUCT('Rollen-Prozess-Matrix'!H10,'Kompetenz-Prozess-Matrix'!G14)</f>
        <v>0</v>
      </c>
      <c r="E114" s="183">
        <f>PRODUCT('Rollen-Prozess-Matrix'!I10,'Kompetenz-Prozess-Matrix'!G14)</f>
        <v>0</v>
      </c>
      <c r="F114" s="183">
        <f>PRODUCT('Rollen-Prozess-Matrix'!J10,'Kompetenz-Prozess-Matrix'!G14)</f>
        <v>4</v>
      </c>
      <c r="G114" s="183">
        <f>PRODUCT('Rollen-Prozess-Matrix'!K10,'Kompetenz-Prozess-Matrix'!G14)</f>
        <v>0</v>
      </c>
      <c r="H114" s="183">
        <f>PRODUCT('Rollen-Prozess-Matrix'!L10,'Kompetenz-Prozess-Matrix'!G14)</f>
        <v>6</v>
      </c>
      <c r="I114" s="183">
        <f>PRODUCT('Rollen-Prozess-Matrix'!M10,'Kompetenz-Prozess-Matrix'!G14)</f>
        <v>0</v>
      </c>
      <c r="J114" s="183">
        <f>PRODUCT('Rollen-Prozess-Matrix'!N10,'Kompetenz-Prozess-Matrix'!G14)</f>
        <v>0</v>
      </c>
      <c r="K114" s="183">
        <f>PRODUCT('Rollen-Prozess-Matrix'!O10,'Kompetenz-Prozess-Matrix'!G14)</f>
        <v>0</v>
      </c>
      <c r="L114" s="183">
        <f>PRODUCT('Rollen-Prozess-Matrix'!P10,'Kompetenz-Prozess-Matrix'!G14)</f>
        <v>0</v>
      </c>
      <c r="M114" s="183">
        <f>PRODUCT('Rollen-Prozess-Matrix'!Q10,'Kompetenz-Prozess-Matrix'!G14)</f>
        <v>0</v>
      </c>
      <c r="N114" s="183">
        <f>PRODUCT('Rollen-Prozess-Matrix'!R10,'Kompetenz-Prozess-Matrix'!G14)</f>
        <v>0</v>
      </c>
      <c r="O114" s="183">
        <f>PRODUCT('Rollen-Prozess-Matrix'!S10,'Kompetenz-Prozess-Matrix'!G14)</f>
        <v>0</v>
      </c>
      <c r="P114" s="183">
        <f>PRODUCT('Rollen-Prozess-Matrix'!T10,'Kompetenz-Prozess-Matrix'!G14)</f>
        <v>0</v>
      </c>
      <c r="Q114" s="185">
        <f>PRODUCT('Rollen-Prozess-Matrix'!U10,'Kompetenz-Prozess-Matrix'!G14)</f>
        <v>0</v>
      </c>
    </row>
    <row r="115" spans="1:17" ht="38.25" hidden="1" outlineLevel="2" x14ac:dyDescent="0.35">
      <c r="A115" s="333"/>
      <c r="B115" s="339"/>
      <c r="C115" s="180" t="s">
        <v>161</v>
      </c>
      <c r="D115" s="182">
        <f>PRODUCT('Rollen-Prozess-Matrix'!H11,'Kompetenz-Prozess-Matrix'!G15)</f>
        <v>0</v>
      </c>
      <c r="E115" s="183">
        <f>PRODUCT('Rollen-Prozess-Matrix'!I11,'Kompetenz-Prozess-Matrix'!G15)</f>
        <v>0</v>
      </c>
      <c r="F115" s="183">
        <f>PRODUCT('Rollen-Prozess-Matrix'!J11,'Kompetenz-Prozess-Matrix'!G15)</f>
        <v>4</v>
      </c>
      <c r="G115" s="183">
        <f>PRODUCT('Rollen-Prozess-Matrix'!K11,'Kompetenz-Prozess-Matrix'!G15)</f>
        <v>0</v>
      </c>
      <c r="H115" s="183">
        <f>PRODUCT('Rollen-Prozess-Matrix'!L11,'Kompetenz-Prozess-Matrix'!G15)</f>
        <v>6</v>
      </c>
      <c r="I115" s="183">
        <f>PRODUCT('Rollen-Prozess-Matrix'!M11,'Kompetenz-Prozess-Matrix'!G15)</f>
        <v>0</v>
      </c>
      <c r="J115" s="183">
        <f>PRODUCT('Rollen-Prozess-Matrix'!N11,'Kompetenz-Prozess-Matrix'!G15)</f>
        <v>0</v>
      </c>
      <c r="K115" s="183">
        <f>PRODUCT('Rollen-Prozess-Matrix'!O11,'Kompetenz-Prozess-Matrix'!G15)</f>
        <v>0</v>
      </c>
      <c r="L115" s="183">
        <f>PRODUCT('Rollen-Prozess-Matrix'!P11,'Kompetenz-Prozess-Matrix'!G15)</f>
        <v>0</v>
      </c>
      <c r="M115" s="183">
        <f>PRODUCT('Rollen-Prozess-Matrix'!Q11,'Kompetenz-Prozess-Matrix'!G15)</f>
        <v>0</v>
      </c>
      <c r="N115" s="183">
        <f>PRODUCT('Rollen-Prozess-Matrix'!R11,'Kompetenz-Prozess-Matrix'!G15)</f>
        <v>0</v>
      </c>
      <c r="O115" s="183">
        <f>PRODUCT('Rollen-Prozess-Matrix'!S11,'Kompetenz-Prozess-Matrix'!G15)</f>
        <v>0</v>
      </c>
      <c r="P115" s="183">
        <f>PRODUCT('Rollen-Prozess-Matrix'!T11,'Kompetenz-Prozess-Matrix'!G15)</f>
        <v>0</v>
      </c>
      <c r="Q115" s="185">
        <f>PRODUCT('Rollen-Prozess-Matrix'!U11,'Kompetenz-Prozess-Matrix'!G15)</f>
        <v>2</v>
      </c>
    </row>
    <row r="116" spans="1:17" ht="38.25" hidden="1" outlineLevel="2" x14ac:dyDescent="0.35">
      <c r="A116" s="333"/>
      <c r="B116" s="339"/>
      <c r="C116" s="180" t="s">
        <v>288</v>
      </c>
      <c r="D116" s="182">
        <f>PRODUCT('Rollen-Prozess-Matrix'!H12,'Kompetenz-Prozess-Matrix'!G16)</f>
        <v>0</v>
      </c>
      <c r="E116" s="183">
        <f>PRODUCT('Rollen-Prozess-Matrix'!I12,'Kompetenz-Prozess-Matrix'!G16)</f>
        <v>2</v>
      </c>
      <c r="F116" s="183">
        <f>PRODUCT('Rollen-Prozess-Matrix'!J12,'Kompetenz-Prozess-Matrix'!G16)</f>
        <v>2</v>
      </c>
      <c r="G116" s="183">
        <f>PRODUCT('Rollen-Prozess-Matrix'!K12,'Kompetenz-Prozess-Matrix'!G16)</f>
        <v>0</v>
      </c>
      <c r="H116" s="183">
        <f>PRODUCT('Rollen-Prozess-Matrix'!L12,'Kompetenz-Prozess-Matrix'!G16)</f>
        <v>3</v>
      </c>
      <c r="I116" s="183">
        <f>PRODUCT('Rollen-Prozess-Matrix'!M12,'Kompetenz-Prozess-Matrix'!G16)</f>
        <v>2</v>
      </c>
      <c r="J116" s="183">
        <f>PRODUCT('Rollen-Prozess-Matrix'!N12,'Kompetenz-Prozess-Matrix'!G16)</f>
        <v>1</v>
      </c>
      <c r="K116" s="183">
        <f>PRODUCT('Rollen-Prozess-Matrix'!O12,'Kompetenz-Prozess-Matrix'!G16)</f>
        <v>1</v>
      </c>
      <c r="L116" s="183">
        <f>PRODUCT('Rollen-Prozess-Matrix'!P12,'Kompetenz-Prozess-Matrix'!G16)</f>
        <v>1</v>
      </c>
      <c r="M116" s="183">
        <f>PRODUCT('Rollen-Prozess-Matrix'!Q12,'Kompetenz-Prozess-Matrix'!G16)</f>
        <v>0</v>
      </c>
      <c r="N116" s="183">
        <f>PRODUCT('Rollen-Prozess-Matrix'!R12,'Kompetenz-Prozess-Matrix'!G16)</f>
        <v>0</v>
      </c>
      <c r="O116" s="183">
        <f>PRODUCT('Rollen-Prozess-Matrix'!S12,'Kompetenz-Prozess-Matrix'!G16)</f>
        <v>0</v>
      </c>
      <c r="P116" s="183">
        <f>PRODUCT('Rollen-Prozess-Matrix'!T12,'Kompetenz-Prozess-Matrix'!G16)</f>
        <v>1</v>
      </c>
      <c r="Q116" s="185">
        <f>PRODUCT('Rollen-Prozess-Matrix'!U12,'Kompetenz-Prozess-Matrix'!G16)</f>
        <v>2</v>
      </c>
    </row>
    <row r="117" spans="1:17" ht="25.5" hidden="1" outlineLevel="2" x14ac:dyDescent="0.35">
      <c r="A117" s="333"/>
      <c r="B117" s="339"/>
      <c r="C117" s="180" t="s">
        <v>169</v>
      </c>
      <c r="D117" s="182">
        <f>PRODUCT('Rollen-Prozess-Matrix'!H13,'Kompetenz-Prozess-Matrix'!G17)</f>
        <v>0</v>
      </c>
      <c r="E117" s="183">
        <f>PRODUCT('Rollen-Prozess-Matrix'!I13,'Kompetenz-Prozess-Matrix'!G17)</f>
        <v>1</v>
      </c>
      <c r="F117" s="183">
        <f>PRODUCT('Rollen-Prozess-Matrix'!J13,'Kompetenz-Prozess-Matrix'!G17)</f>
        <v>2</v>
      </c>
      <c r="G117" s="183">
        <f>PRODUCT('Rollen-Prozess-Matrix'!K13,'Kompetenz-Prozess-Matrix'!G17)</f>
        <v>0</v>
      </c>
      <c r="H117" s="183">
        <f>PRODUCT('Rollen-Prozess-Matrix'!L13,'Kompetenz-Prozess-Matrix'!G17)</f>
        <v>3</v>
      </c>
      <c r="I117" s="183">
        <f>PRODUCT('Rollen-Prozess-Matrix'!M13,'Kompetenz-Prozess-Matrix'!G17)</f>
        <v>2</v>
      </c>
      <c r="J117" s="183">
        <f>PRODUCT('Rollen-Prozess-Matrix'!N13,'Kompetenz-Prozess-Matrix'!G17)</f>
        <v>1</v>
      </c>
      <c r="K117" s="183">
        <f>PRODUCT('Rollen-Prozess-Matrix'!O13,'Kompetenz-Prozess-Matrix'!G17)</f>
        <v>1</v>
      </c>
      <c r="L117" s="183">
        <f>PRODUCT('Rollen-Prozess-Matrix'!P13,'Kompetenz-Prozess-Matrix'!G17)</f>
        <v>0</v>
      </c>
      <c r="M117" s="183">
        <f>PRODUCT('Rollen-Prozess-Matrix'!Q13,'Kompetenz-Prozess-Matrix'!G17)</f>
        <v>0</v>
      </c>
      <c r="N117" s="183">
        <f>PRODUCT('Rollen-Prozess-Matrix'!R13,'Kompetenz-Prozess-Matrix'!G17)</f>
        <v>0</v>
      </c>
      <c r="O117" s="183">
        <f>PRODUCT('Rollen-Prozess-Matrix'!S13,'Kompetenz-Prozess-Matrix'!G17)</f>
        <v>1</v>
      </c>
      <c r="P117" s="183">
        <f>PRODUCT('Rollen-Prozess-Matrix'!T13,'Kompetenz-Prozess-Matrix'!G17)</f>
        <v>0</v>
      </c>
      <c r="Q117" s="185">
        <f>PRODUCT('Rollen-Prozess-Matrix'!U13,'Kompetenz-Prozess-Matrix'!G17)</f>
        <v>0</v>
      </c>
    </row>
    <row r="118" spans="1:17" ht="63.75" hidden="1" outlineLevel="2" x14ac:dyDescent="0.35">
      <c r="A118" s="333"/>
      <c r="B118" s="339"/>
      <c r="C118" s="180" t="s">
        <v>173</v>
      </c>
      <c r="D118" s="182">
        <f>PRODUCT('Rollen-Prozess-Matrix'!H14,'Kompetenz-Prozess-Matrix'!G18)</f>
        <v>0</v>
      </c>
      <c r="E118" s="183">
        <f>PRODUCT('Rollen-Prozess-Matrix'!I14,'Kompetenz-Prozess-Matrix'!G18)</f>
        <v>0</v>
      </c>
      <c r="F118" s="183">
        <f>PRODUCT('Rollen-Prozess-Matrix'!J14,'Kompetenz-Prozess-Matrix'!G18)</f>
        <v>0</v>
      </c>
      <c r="G118" s="183">
        <f>PRODUCT('Rollen-Prozess-Matrix'!K14,'Kompetenz-Prozess-Matrix'!G18)</f>
        <v>0</v>
      </c>
      <c r="H118" s="183">
        <f>PRODUCT('Rollen-Prozess-Matrix'!L14,'Kompetenz-Prozess-Matrix'!G18)</f>
        <v>0</v>
      </c>
      <c r="I118" s="183">
        <f>PRODUCT('Rollen-Prozess-Matrix'!M14,'Kompetenz-Prozess-Matrix'!G18)</f>
        <v>0</v>
      </c>
      <c r="J118" s="183">
        <f>PRODUCT('Rollen-Prozess-Matrix'!N14,'Kompetenz-Prozess-Matrix'!G18)</f>
        <v>0</v>
      </c>
      <c r="K118" s="183">
        <f>PRODUCT('Rollen-Prozess-Matrix'!O14,'Kompetenz-Prozess-Matrix'!G18)</f>
        <v>0</v>
      </c>
      <c r="L118" s="183">
        <f>PRODUCT('Rollen-Prozess-Matrix'!P14,'Kompetenz-Prozess-Matrix'!G18)</f>
        <v>0</v>
      </c>
      <c r="M118" s="183">
        <f>PRODUCT('Rollen-Prozess-Matrix'!Q14,'Kompetenz-Prozess-Matrix'!G18)</f>
        <v>0</v>
      </c>
      <c r="N118" s="183">
        <f>PRODUCT('Rollen-Prozess-Matrix'!R14,'Kompetenz-Prozess-Matrix'!G18)</f>
        <v>0</v>
      </c>
      <c r="O118" s="183">
        <f>PRODUCT('Rollen-Prozess-Matrix'!S14,'Kompetenz-Prozess-Matrix'!G18)</f>
        <v>0</v>
      </c>
      <c r="P118" s="183">
        <f>PRODUCT('Rollen-Prozess-Matrix'!T14,'Kompetenz-Prozess-Matrix'!G18)</f>
        <v>0</v>
      </c>
      <c r="Q118" s="185">
        <f>PRODUCT('Rollen-Prozess-Matrix'!U14,'Kompetenz-Prozess-Matrix'!G18)</f>
        <v>0</v>
      </c>
    </row>
    <row r="119" spans="1:17" ht="38.25" hidden="1" outlineLevel="2" x14ac:dyDescent="0.35">
      <c r="A119" s="333"/>
      <c r="B119" s="339"/>
      <c r="C119" s="180" t="s">
        <v>177</v>
      </c>
      <c r="D119" s="182">
        <f>PRODUCT('Rollen-Prozess-Matrix'!H15,'Kompetenz-Prozess-Matrix'!G19)</f>
        <v>0</v>
      </c>
      <c r="E119" s="183">
        <f>PRODUCT('Rollen-Prozess-Matrix'!I15,'Kompetenz-Prozess-Matrix'!G19)</f>
        <v>0</v>
      </c>
      <c r="F119" s="183">
        <f>PRODUCT('Rollen-Prozess-Matrix'!J15,'Kompetenz-Prozess-Matrix'!G19)</f>
        <v>0</v>
      </c>
      <c r="G119" s="183">
        <f>PRODUCT('Rollen-Prozess-Matrix'!K15,'Kompetenz-Prozess-Matrix'!G19)</f>
        <v>0</v>
      </c>
      <c r="H119" s="183">
        <f>PRODUCT('Rollen-Prozess-Matrix'!L15,'Kompetenz-Prozess-Matrix'!G19)</f>
        <v>0</v>
      </c>
      <c r="I119" s="183">
        <f>PRODUCT('Rollen-Prozess-Matrix'!M15,'Kompetenz-Prozess-Matrix'!G19)</f>
        <v>0</v>
      </c>
      <c r="J119" s="183">
        <f>PRODUCT('Rollen-Prozess-Matrix'!N15,'Kompetenz-Prozess-Matrix'!G19)</f>
        <v>0</v>
      </c>
      <c r="K119" s="183">
        <f>PRODUCT('Rollen-Prozess-Matrix'!O15,'Kompetenz-Prozess-Matrix'!G19)</f>
        <v>0</v>
      </c>
      <c r="L119" s="183">
        <f>PRODUCT('Rollen-Prozess-Matrix'!P15,'Kompetenz-Prozess-Matrix'!G19)</f>
        <v>0</v>
      </c>
      <c r="M119" s="183">
        <f>PRODUCT('Rollen-Prozess-Matrix'!Q15,'Kompetenz-Prozess-Matrix'!G19)</f>
        <v>0</v>
      </c>
      <c r="N119" s="183">
        <f>PRODUCT('Rollen-Prozess-Matrix'!R15,'Kompetenz-Prozess-Matrix'!G19)</f>
        <v>0</v>
      </c>
      <c r="O119" s="183">
        <f>PRODUCT('Rollen-Prozess-Matrix'!S15,'Kompetenz-Prozess-Matrix'!G19)</f>
        <v>0</v>
      </c>
      <c r="P119" s="183">
        <f>PRODUCT('Rollen-Prozess-Matrix'!T15,'Kompetenz-Prozess-Matrix'!G19)</f>
        <v>0</v>
      </c>
      <c r="Q119" s="185">
        <f>PRODUCT('Rollen-Prozess-Matrix'!U15,'Kompetenz-Prozess-Matrix'!G19)</f>
        <v>0</v>
      </c>
    </row>
    <row r="120" spans="1:17" hidden="1" outlineLevel="2" x14ac:dyDescent="0.35">
      <c r="A120" s="333"/>
      <c r="B120" s="339"/>
      <c r="C120" s="180" t="s">
        <v>181</v>
      </c>
      <c r="D120" s="182">
        <f>PRODUCT('Rollen-Prozess-Matrix'!H16,'Kompetenz-Prozess-Matrix'!G20)</f>
        <v>0</v>
      </c>
      <c r="E120" s="183">
        <f>PRODUCT('Rollen-Prozess-Matrix'!I16,'Kompetenz-Prozess-Matrix'!G20)</f>
        <v>0</v>
      </c>
      <c r="F120" s="183">
        <f>PRODUCT('Rollen-Prozess-Matrix'!J16,'Kompetenz-Prozess-Matrix'!G20)</f>
        <v>0</v>
      </c>
      <c r="G120" s="183">
        <f>PRODUCT('Rollen-Prozess-Matrix'!K16,'Kompetenz-Prozess-Matrix'!G20)</f>
        <v>0</v>
      </c>
      <c r="H120" s="183">
        <f>PRODUCT('Rollen-Prozess-Matrix'!L16,'Kompetenz-Prozess-Matrix'!G20)</f>
        <v>0</v>
      </c>
      <c r="I120" s="183">
        <f>PRODUCT('Rollen-Prozess-Matrix'!M16,'Kompetenz-Prozess-Matrix'!G20)</f>
        <v>0</v>
      </c>
      <c r="J120" s="183">
        <f>PRODUCT('Rollen-Prozess-Matrix'!N16,'Kompetenz-Prozess-Matrix'!G20)</f>
        <v>0</v>
      </c>
      <c r="K120" s="183">
        <f>PRODUCT('Rollen-Prozess-Matrix'!O16,'Kompetenz-Prozess-Matrix'!G20)</f>
        <v>0</v>
      </c>
      <c r="L120" s="183">
        <f>PRODUCT('Rollen-Prozess-Matrix'!P16,'Kompetenz-Prozess-Matrix'!G20)</f>
        <v>0</v>
      </c>
      <c r="M120" s="183">
        <f>PRODUCT('Rollen-Prozess-Matrix'!Q16,'Kompetenz-Prozess-Matrix'!G20)</f>
        <v>0</v>
      </c>
      <c r="N120" s="183">
        <f>PRODUCT('Rollen-Prozess-Matrix'!R16,'Kompetenz-Prozess-Matrix'!G20)</f>
        <v>0</v>
      </c>
      <c r="O120" s="183">
        <f>PRODUCT('Rollen-Prozess-Matrix'!S16,'Kompetenz-Prozess-Matrix'!G20)</f>
        <v>0</v>
      </c>
      <c r="P120" s="183">
        <f>PRODUCT('Rollen-Prozess-Matrix'!T16,'Kompetenz-Prozess-Matrix'!G20)</f>
        <v>0</v>
      </c>
      <c r="Q120" s="185">
        <f>PRODUCT('Rollen-Prozess-Matrix'!U16,'Kompetenz-Prozess-Matrix'!G20)</f>
        <v>0</v>
      </c>
    </row>
    <row r="121" spans="1:17" ht="38.25" hidden="1" outlineLevel="2" x14ac:dyDescent="0.35">
      <c r="A121" s="333"/>
      <c r="B121" s="339"/>
      <c r="C121" s="180" t="s">
        <v>185</v>
      </c>
      <c r="D121" s="182">
        <f>PRODUCT('Rollen-Prozess-Matrix'!H17,'Kompetenz-Prozess-Matrix'!G21)</f>
        <v>0</v>
      </c>
      <c r="E121" s="183">
        <f>PRODUCT('Rollen-Prozess-Matrix'!I17,'Kompetenz-Prozess-Matrix'!G21)</f>
        <v>0</v>
      </c>
      <c r="F121" s="183">
        <f>PRODUCT('Rollen-Prozess-Matrix'!J17,'Kompetenz-Prozess-Matrix'!G21)</f>
        <v>0</v>
      </c>
      <c r="G121" s="183">
        <f>PRODUCT('Rollen-Prozess-Matrix'!K17,'Kompetenz-Prozess-Matrix'!G21)</f>
        <v>0</v>
      </c>
      <c r="H121" s="183">
        <f>PRODUCT('Rollen-Prozess-Matrix'!L17,'Kompetenz-Prozess-Matrix'!G21)</f>
        <v>0</v>
      </c>
      <c r="I121" s="183">
        <f>PRODUCT('Rollen-Prozess-Matrix'!M17,'Kompetenz-Prozess-Matrix'!G21)</f>
        <v>0</v>
      </c>
      <c r="J121" s="183">
        <f>PRODUCT('Rollen-Prozess-Matrix'!N17,'Kompetenz-Prozess-Matrix'!G21)</f>
        <v>0</v>
      </c>
      <c r="K121" s="183">
        <f>PRODUCT('Rollen-Prozess-Matrix'!O17,'Kompetenz-Prozess-Matrix'!G21)</f>
        <v>0</v>
      </c>
      <c r="L121" s="183">
        <f>PRODUCT('Rollen-Prozess-Matrix'!P17,'Kompetenz-Prozess-Matrix'!G21)</f>
        <v>0</v>
      </c>
      <c r="M121" s="183">
        <f>PRODUCT('Rollen-Prozess-Matrix'!Q17,'Kompetenz-Prozess-Matrix'!G21)</f>
        <v>0</v>
      </c>
      <c r="N121" s="183">
        <f>PRODUCT('Rollen-Prozess-Matrix'!R17,'Kompetenz-Prozess-Matrix'!G21)</f>
        <v>0</v>
      </c>
      <c r="O121" s="183">
        <f>PRODUCT('Rollen-Prozess-Matrix'!S17,'Kompetenz-Prozess-Matrix'!G21)</f>
        <v>0</v>
      </c>
      <c r="P121" s="183">
        <f>PRODUCT('Rollen-Prozess-Matrix'!T17,'Kompetenz-Prozess-Matrix'!G21)</f>
        <v>0</v>
      </c>
      <c r="Q121" s="185">
        <f>PRODUCT('Rollen-Prozess-Matrix'!U17,'Kompetenz-Prozess-Matrix'!G21)</f>
        <v>0</v>
      </c>
    </row>
    <row r="122" spans="1:17" ht="51" hidden="1" outlineLevel="2" x14ac:dyDescent="0.35">
      <c r="A122" s="333"/>
      <c r="B122" s="339"/>
      <c r="C122" s="180" t="s">
        <v>190</v>
      </c>
      <c r="D122" s="182">
        <f>PRODUCT('Rollen-Prozess-Matrix'!H18,'Kompetenz-Prozess-Matrix'!G22)</f>
        <v>0</v>
      </c>
      <c r="E122" s="183">
        <f>PRODUCT('Rollen-Prozess-Matrix'!I18,'Kompetenz-Prozess-Matrix'!G22)</f>
        <v>4</v>
      </c>
      <c r="F122" s="183">
        <f>PRODUCT('Rollen-Prozess-Matrix'!J18,'Kompetenz-Prozess-Matrix'!G22)</f>
        <v>0</v>
      </c>
      <c r="G122" s="183">
        <f>PRODUCT('Rollen-Prozess-Matrix'!K18,'Kompetenz-Prozess-Matrix'!G22)</f>
        <v>0</v>
      </c>
      <c r="H122" s="183">
        <f>PRODUCT('Rollen-Prozess-Matrix'!L18,'Kompetenz-Prozess-Matrix'!G22)</f>
        <v>6</v>
      </c>
      <c r="I122" s="183">
        <f>PRODUCT('Rollen-Prozess-Matrix'!M18,'Kompetenz-Prozess-Matrix'!G22)</f>
        <v>0</v>
      </c>
      <c r="J122" s="183">
        <f>PRODUCT('Rollen-Prozess-Matrix'!N18,'Kompetenz-Prozess-Matrix'!G22)</f>
        <v>0</v>
      </c>
      <c r="K122" s="183">
        <f>PRODUCT('Rollen-Prozess-Matrix'!O18,'Kompetenz-Prozess-Matrix'!G22)</f>
        <v>0</v>
      </c>
      <c r="L122" s="183">
        <f>PRODUCT('Rollen-Prozess-Matrix'!P18,'Kompetenz-Prozess-Matrix'!G22)</f>
        <v>0</v>
      </c>
      <c r="M122" s="183">
        <f>PRODUCT('Rollen-Prozess-Matrix'!Q18,'Kompetenz-Prozess-Matrix'!G22)</f>
        <v>0</v>
      </c>
      <c r="N122" s="183">
        <f>PRODUCT('Rollen-Prozess-Matrix'!R18,'Kompetenz-Prozess-Matrix'!G22)</f>
        <v>0</v>
      </c>
      <c r="O122" s="183">
        <f>PRODUCT('Rollen-Prozess-Matrix'!S18,'Kompetenz-Prozess-Matrix'!G22)</f>
        <v>0</v>
      </c>
      <c r="P122" s="183">
        <f>PRODUCT('Rollen-Prozess-Matrix'!T18,'Kompetenz-Prozess-Matrix'!G22)</f>
        <v>4</v>
      </c>
      <c r="Q122" s="185">
        <f>PRODUCT('Rollen-Prozess-Matrix'!U18,'Kompetenz-Prozess-Matrix'!G22)</f>
        <v>2</v>
      </c>
    </row>
    <row r="123" spans="1:17" ht="63.75" hidden="1" outlineLevel="2" x14ac:dyDescent="0.35">
      <c r="A123" s="333"/>
      <c r="B123" s="339"/>
      <c r="C123" s="180" t="s">
        <v>194</v>
      </c>
      <c r="D123" s="182">
        <f>PRODUCT('Rollen-Prozess-Matrix'!H19,'Kompetenz-Prozess-Matrix'!G23)</f>
        <v>0</v>
      </c>
      <c r="E123" s="183">
        <f>PRODUCT('Rollen-Prozess-Matrix'!I19,'Kompetenz-Prozess-Matrix'!G23)</f>
        <v>4</v>
      </c>
      <c r="F123" s="183">
        <f>PRODUCT('Rollen-Prozess-Matrix'!J19,'Kompetenz-Prozess-Matrix'!G23)</f>
        <v>0</v>
      </c>
      <c r="G123" s="183">
        <f>PRODUCT('Rollen-Prozess-Matrix'!K19,'Kompetenz-Prozess-Matrix'!G23)</f>
        <v>0</v>
      </c>
      <c r="H123" s="183">
        <f>PRODUCT('Rollen-Prozess-Matrix'!L19,'Kompetenz-Prozess-Matrix'!G23)</f>
        <v>6</v>
      </c>
      <c r="I123" s="183">
        <f>PRODUCT('Rollen-Prozess-Matrix'!M19,'Kompetenz-Prozess-Matrix'!G23)</f>
        <v>2</v>
      </c>
      <c r="J123" s="183">
        <f>PRODUCT('Rollen-Prozess-Matrix'!N19,'Kompetenz-Prozess-Matrix'!G23)</f>
        <v>0</v>
      </c>
      <c r="K123" s="183">
        <f>PRODUCT('Rollen-Prozess-Matrix'!O19,'Kompetenz-Prozess-Matrix'!G23)</f>
        <v>0</v>
      </c>
      <c r="L123" s="183">
        <f>PRODUCT('Rollen-Prozess-Matrix'!P19,'Kompetenz-Prozess-Matrix'!G23)</f>
        <v>2</v>
      </c>
      <c r="M123" s="183">
        <f>PRODUCT('Rollen-Prozess-Matrix'!Q19,'Kompetenz-Prozess-Matrix'!G23)</f>
        <v>0</v>
      </c>
      <c r="N123" s="183">
        <f>PRODUCT('Rollen-Prozess-Matrix'!R19,'Kompetenz-Prozess-Matrix'!G23)</f>
        <v>0</v>
      </c>
      <c r="O123" s="183">
        <f>PRODUCT('Rollen-Prozess-Matrix'!S19,'Kompetenz-Prozess-Matrix'!G23)</f>
        <v>0</v>
      </c>
      <c r="P123" s="183">
        <f>PRODUCT('Rollen-Prozess-Matrix'!T19,'Kompetenz-Prozess-Matrix'!G23)</f>
        <v>0</v>
      </c>
      <c r="Q123" s="185">
        <f>PRODUCT('Rollen-Prozess-Matrix'!U19,'Kompetenz-Prozess-Matrix'!G23)</f>
        <v>0</v>
      </c>
    </row>
    <row r="124" spans="1:17" ht="63.75" hidden="1" outlineLevel="2" x14ac:dyDescent="0.35">
      <c r="A124" s="333"/>
      <c r="B124" s="339"/>
      <c r="C124" s="180" t="s">
        <v>201</v>
      </c>
      <c r="D124" s="182">
        <f>PRODUCT('Rollen-Prozess-Matrix'!H20,'Kompetenz-Prozess-Matrix'!G24)</f>
        <v>0</v>
      </c>
      <c r="E124" s="183">
        <f>PRODUCT('Rollen-Prozess-Matrix'!I20,'Kompetenz-Prozess-Matrix'!G24)</f>
        <v>4</v>
      </c>
      <c r="F124" s="183">
        <f>PRODUCT('Rollen-Prozess-Matrix'!J20,'Kompetenz-Prozess-Matrix'!G24)</f>
        <v>0</v>
      </c>
      <c r="G124" s="183">
        <f>PRODUCT('Rollen-Prozess-Matrix'!K20,'Kompetenz-Prozess-Matrix'!G24)</f>
        <v>0</v>
      </c>
      <c r="H124" s="183">
        <f>PRODUCT('Rollen-Prozess-Matrix'!L20,'Kompetenz-Prozess-Matrix'!G24)</f>
        <v>6</v>
      </c>
      <c r="I124" s="183">
        <f>PRODUCT('Rollen-Prozess-Matrix'!M20,'Kompetenz-Prozess-Matrix'!G24)</f>
        <v>4</v>
      </c>
      <c r="J124" s="183">
        <f>PRODUCT('Rollen-Prozess-Matrix'!N20,'Kompetenz-Prozess-Matrix'!G24)</f>
        <v>2</v>
      </c>
      <c r="K124" s="183">
        <f>PRODUCT('Rollen-Prozess-Matrix'!O20,'Kompetenz-Prozess-Matrix'!G24)</f>
        <v>0</v>
      </c>
      <c r="L124" s="183">
        <f>PRODUCT('Rollen-Prozess-Matrix'!P20,'Kompetenz-Prozess-Matrix'!G24)</f>
        <v>2</v>
      </c>
      <c r="M124" s="183">
        <f>PRODUCT('Rollen-Prozess-Matrix'!Q20,'Kompetenz-Prozess-Matrix'!G24)</f>
        <v>0</v>
      </c>
      <c r="N124" s="183">
        <f>PRODUCT('Rollen-Prozess-Matrix'!R20,'Kompetenz-Prozess-Matrix'!G24)</f>
        <v>0</v>
      </c>
      <c r="O124" s="183">
        <f>PRODUCT('Rollen-Prozess-Matrix'!S20,'Kompetenz-Prozess-Matrix'!G24)</f>
        <v>0</v>
      </c>
      <c r="P124" s="183">
        <f>PRODUCT('Rollen-Prozess-Matrix'!T20,'Kompetenz-Prozess-Matrix'!G24)</f>
        <v>0</v>
      </c>
      <c r="Q124" s="185">
        <f>PRODUCT('Rollen-Prozess-Matrix'!U20,'Kompetenz-Prozess-Matrix'!G24)</f>
        <v>0</v>
      </c>
    </row>
    <row r="125" spans="1:17" ht="51" hidden="1" outlineLevel="2" x14ac:dyDescent="0.35">
      <c r="A125" s="333"/>
      <c r="B125" s="339"/>
      <c r="C125" s="180" t="s">
        <v>205</v>
      </c>
      <c r="D125" s="182">
        <f>PRODUCT('Rollen-Prozess-Matrix'!H21,'Kompetenz-Prozess-Matrix'!G25)</f>
        <v>0</v>
      </c>
      <c r="E125" s="183">
        <f>PRODUCT('Rollen-Prozess-Matrix'!I21,'Kompetenz-Prozess-Matrix'!G25)</f>
        <v>2</v>
      </c>
      <c r="F125" s="183">
        <f>PRODUCT('Rollen-Prozess-Matrix'!J21,'Kompetenz-Prozess-Matrix'!G25)</f>
        <v>0</v>
      </c>
      <c r="G125" s="183">
        <f>PRODUCT('Rollen-Prozess-Matrix'!K21,'Kompetenz-Prozess-Matrix'!G25)</f>
        <v>0</v>
      </c>
      <c r="H125" s="183">
        <f>PRODUCT('Rollen-Prozess-Matrix'!L21,'Kompetenz-Prozess-Matrix'!G25)</f>
        <v>6</v>
      </c>
      <c r="I125" s="183">
        <f>PRODUCT('Rollen-Prozess-Matrix'!M21,'Kompetenz-Prozess-Matrix'!G25)</f>
        <v>4</v>
      </c>
      <c r="J125" s="183">
        <f>PRODUCT('Rollen-Prozess-Matrix'!N21,'Kompetenz-Prozess-Matrix'!G25)</f>
        <v>2</v>
      </c>
      <c r="K125" s="183">
        <f>PRODUCT('Rollen-Prozess-Matrix'!O21,'Kompetenz-Prozess-Matrix'!G25)</f>
        <v>0</v>
      </c>
      <c r="L125" s="183">
        <f>PRODUCT('Rollen-Prozess-Matrix'!P21,'Kompetenz-Prozess-Matrix'!G25)</f>
        <v>0</v>
      </c>
      <c r="M125" s="183">
        <f>PRODUCT('Rollen-Prozess-Matrix'!Q21,'Kompetenz-Prozess-Matrix'!G25)</f>
        <v>0</v>
      </c>
      <c r="N125" s="183">
        <f>PRODUCT('Rollen-Prozess-Matrix'!R21,'Kompetenz-Prozess-Matrix'!G25)</f>
        <v>0</v>
      </c>
      <c r="O125" s="183">
        <f>PRODUCT('Rollen-Prozess-Matrix'!S21,'Kompetenz-Prozess-Matrix'!G25)</f>
        <v>0</v>
      </c>
      <c r="P125" s="183">
        <f>PRODUCT('Rollen-Prozess-Matrix'!T21,'Kompetenz-Prozess-Matrix'!G25)</f>
        <v>0</v>
      </c>
      <c r="Q125" s="185">
        <f>PRODUCT('Rollen-Prozess-Matrix'!U21,'Kompetenz-Prozess-Matrix'!G25)</f>
        <v>0</v>
      </c>
    </row>
    <row r="126" spans="1:17" ht="38.25" hidden="1" outlineLevel="2" x14ac:dyDescent="0.35">
      <c r="A126" s="333"/>
      <c r="B126" s="339"/>
      <c r="C126" s="180" t="s">
        <v>209</v>
      </c>
      <c r="D126" s="182">
        <f>PRODUCT('Rollen-Prozess-Matrix'!H22,'Kompetenz-Prozess-Matrix'!G26)</f>
        <v>0</v>
      </c>
      <c r="E126" s="183">
        <f>PRODUCT('Rollen-Prozess-Matrix'!I22,'Kompetenz-Prozess-Matrix'!G26)</f>
        <v>2</v>
      </c>
      <c r="F126" s="183">
        <f>PRODUCT('Rollen-Prozess-Matrix'!J22,'Kompetenz-Prozess-Matrix'!G26)</f>
        <v>0</v>
      </c>
      <c r="G126" s="183">
        <f>PRODUCT('Rollen-Prozess-Matrix'!K22,'Kompetenz-Prozess-Matrix'!G26)</f>
        <v>0</v>
      </c>
      <c r="H126" s="183">
        <f>PRODUCT('Rollen-Prozess-Matrix'!L22,'Kompetenz-Prozess-Matrix'!G26)</f>
        <v>6</v>
      </c>
      <c r="I126" s="183">
        <f>PRODUCT('Rollen-Prozess-Matrix'!M22,'Kompetenz-Prozess-Matrix'!G26)</f>
        <v>4</v>
      </c>
      <c r="J126" s="183">
        <f>PRODUCT('Rollen-Prozess-Matrix'!N22,'Kompetenz-Prozess-Matrix'!G26)</f>
        <v>4</v>
      </c>
      <c r="K126" s="183">
        <f>PRODUCT('Rollen-Prozess-Matrix'!O22,'Kompetenz-Prozess-Matrix'!G26)</f>
        <v>0</v>
      </c>
      <c r="L126" s="183">
        <f>PRODUCT('Rollen-Prozess-Matrix'!P22,'Kompetenz-Prozess-Matrix'!G26)</f>
        <v>0</v>
      </c>
      <c r="M126" s="183">
        <f>PRODUCT('Rollen-Prozess-Matrix'!Q22,'Kompetenz-Prozess-Matrix'!G26)</f>
        <v>0</v>
      </c>
      <c r="N126" s="183">
        <f>PRODUCT('Rollen-Prozess-Matrix'!R22,'Kompetenz-Prozess-Matrix'!G26)</f>
        <v>0</v>
      </c>
      <c r="O126" s="183">
        <f>PRODUCT('Rollen-Prozess-Matrix'!S22,'Kompetenz-Prozess-Matrix'!G26)</f>
        <v>0</v>
      </c>
      <c r="P126" s="183">
        <f>PRODUCT('Rollen-Prozess-Matrix'!T22,'Kompetenz-Prozess-Matrix'!G26)</f>
        <v>0</v>
      </c>
      <c r="Q126" s="185">
        <f>PRODUCT('Rollen-Prozess-Matrix'!U22,'Kompetenz-Prozess-Matrix'!G26)</f>
        <v>0</v>
      </c>
    </row>
    <row r="127" spans="1:17" ht="38.25" hidden="1" outlineLevel="2" x14ac:dyDescent="0.35">
      <c r="A127" s="333"/>
      <c r="B127" s="339"/>
      <c r="C127" s="180" t="s">
        <v>213</v>
      </c>
      <c r="D127" s="182">
        <f>PRODUCT('Rollen-Prozess-Matrix'!H23,'Kompetenz-Prozess-Matrix'!G27)</f>
        <v>0</v>
      </c>
      <c r="E127" s="183">
        <f>PRODUCT('Rollen-Prozess-Matrix'!I23,'Kompetenz-Prozess-Matrix'!G27)</f>
        <v>0</v>
      </c>
      <c r="F127" s="183">
        <f>PRODUCT('Rollen-Prozess-Matrix'!J23,'Kompetenz-Prozess-Matrix'!G27)</f>
        <v>0</v>
      </c>
      <c r="G127" s="183">
        <f>PRODUCT('Rollen-Prozess-Matrix'!K23,'Kompetenz-Prozess-Matrix'!G27)</f>
        <v>0</v>
      </c>
      <c r="H127" s="183">
        <f>PRODUCT('Rollen-Prozess-Matrix'!L23,'Kompetenz-Prozess-Matrix'!G27)</f>
        <v>6</v>
      </c>
      <c r="I127" s="183">
        <f>PRODUCT('Rollen-Prozess-Matrix'!M23,'Kompetenz-Prozess-Matrix'!G27)</f>
        <v>2</v>
      </c>
      <c r="J127" s="183">
        <f>PRODUCT('Rollen-Prozess-Matrix'!N23,'Kompetenz-Prozess-Matrix'!G27)</f>
        <v>0</v>
      </c>
      <c r="K127" s="183">
        <f>PRODUCT('Rollen-Prozess-Matrix'!O23,'Kompetenz-Prozess-Matrix'!G27)</f>
        <v>0</v>
      </c>
      <c r="L127" s="183">
        <f>PRODUCT('Rollen-Prozess-Matrix'!P23,'Kompetenz-Prozess-Matrix'!G27)</f>
        <v>4</v>
      </c>
      <c r="M127" s="183">
        <f>PRODUCT('Rollen-Prozess-Matrix'!Q23,'Kompetenz-Prozess-Matrix'!G27)</f>
        <v>0</v>
      </c>
      <c r="N127" s="183">
        <f>PRODUCT('Rollen-Prozess-Matrix'!R23,'Kompetenz-Prozess-Matrix'!G27)</f>
        <v>0</v>
      </c>
      <c r="O127" s="183">
        <f>PRODUCT('Rollen-Prozess-Matrix'!S23,'Kompetenz-Prozess-Matrix'!G27)</f>
        <v>0</v>
      </c>
      <c r="P127" s="183">
        <f>PRODUCT('Rollen-Prozess-Matrix'!T23,'Kompetenz-Prozess-Matrix'!G27)</f>
        <v>0</v>
      </c>
      <c r="Q127" s="185">
        <f>PRODUCT('Rollen-Prozess-Matrix'!U23,'Kompetenz-Prozess-Matrix'!G27)</f>
        <v>0</v>
      </c>
    </row>
    <row r="128" spans="1:17" ht="38.25" hidden="1" outlineLevel="2" x14ac:dyDescent="0.35">
      <c r="A128" s="333"/>
      <c r="B128" s="339"/>
      <c r="C128" s="180" t="s">
        <v>217</v>
      </c>
      <c r="D128" s="182">
        <f>PRODUCT('Rollen-Prozess-Matrix'!H24,'Kompetenz-Prozess-Matrix'!G28)</f>
        <v>0</v>
      </c>
      <c r="E128" s="183">
        <f>PRODUCT('Rollen-Prozess-Matrix'!I24,'Kompetenz-Prozess-Matrix'!G28)</f>
        <v>0</v>
      </c>
      <c r="F128" s="183">
        <f>PRODUCT('Rollen-Prozess-Matrix'!J24,'Kompetenz-Prozess-Matrix'!G28)</f>
        <v>0</v>
      </c>
      <c r="G128" s="183">
        <f>PRODUCT('Rollen-Prozess-Matrix'!K24,'Kompetenz-Prozess-Matrix'!G28)</f>
        <v>0</v>
      </c>
      <c r="H128" s="183">
        <f>PRODUCT('Rollen-Prozess-Matrix'!L24,'Kompetenz-Prozess-Matrix'!G28)</f>
        <v>3</v>
      </c>
      <c r="I128" s="183">
        <f>PRODUCT('Rollen-Prozess-Matrix'!M24,'Kompetenz-Prozess-Matrix'!G28)</f>
        <v>0</v>
      </c>
      <c r="J128" s="183">
        <f>PRODUCT('Rollen-Prozess-Matrix'!N24,'Kompetenz-Prozess-Matrix'!G28)</f>
        <v>2</v>
      </c>
      <c r="K128" s="183">
        <f>PRODUCT('Rollen-Prozess-Matrix'!O24,'Kompetenz-Prozess-Matrix'!G28)</f>
        <v>2</v>
      </c>
      <c r="L128" s="183">
        <f>PRODUCT('Rollen-Prozess-Matrix'!P24,'Kompetenz-Prozess-Matrix'!G28)</f>
        <v>0</v>
      </c>
      <c r="M128" s="183">
        <f>PRODUCT('Rollen-Prozess-Matrix'!Q24,'Kompetenz-Prozess-Matrix'!G28)</f>
        <v>2</v>
      </c>
      <c r="N128" s="183">
        <f>PRODUCT('Rollen-Prozess-Matrix'!R24,'Kompetenz-Prozess-Matrix'!G28)</f>
        <v>0</v>
      </c>
      <c r="O128" s="183">
        <f>PRODUCT('Rollen-Prozess-Matrix'!S24,'Kompetenz-Prozess-Matrix'!G28)</f>
        <v>0</v>
      </c>
      <c r="P128" s="183">
        <f>PRODUCT('Rollen-Prozess-Matrix'!T24,'Kompetenz-Prozess-Matrix'!G28)</f>
        <v>0</v>
      </c>
      <c r="Q128" s="185">
        <f>PRODUCT('Rollen-Prozess-Matrix'!U24,'Kompetenz-Prozess-Matrix'!G28)</f>
        <v>0</v>
      </c>
    </row>
    <row r="129" spans="1:19" ht="38.25" hidden="1" outlineLevel="2" x14ac:dyDescent="0.35">
      <c r="A129" s="333"/>
      <c r="B129" s="339"/>
      <c r="C129" s="180" t="s">
        <v>223</v>
      </c>
      <c r="D129" s="182">
        <f>PRODUCT('Rollen-Prozess-Matrix'!H25,'Kompetenz-Prozess-Matrix'!G29)</f>
        <v>0</v>
      </c>
      <c r="E129" s="183">
        <f>PRODUCT('Rollen-Prozess-Matrix'!I25,'Kompetenz-Prozess-Matrix'!G29)</f>
        <v>1</v>
      </c>
      <c r="F129" s="183">
        <f>PRODUCT('Rollen-Prozess-Matrix'!J25,'Kompetenz-Prozess-Matrix'!G29)</f>
        <v>0</v>
      </c>
      <c r="G129" s="183">
        <f>PRODUCT('Rollen-Prozess-Matrix'!K25,'Kompetenz-Prozess-Matrix'!G29)</f>
        <v>0</v>
      </c>
      <c r="H129" s="183">
        <f>PRODUCT('Rollen-Prozess-Matrix'!L25,'Kompetenz-Prozess-Matrix'!G29)</f>
        <v>3</v>
      </c>
      <c r="I129" s="183">
        <f>PRODUCT('Rollen-Prozess-Matrix'!M25,'Kompetenz-Prozess-Matrix'!G29)</f>
        <v>0</v>
      </c>
      <c r="J129" s="183">
        <f>PRODUCT('Rollen-Prozess-Matrix'!N25,'Kompetenz-Prozess-Matrix'!G29)</f>
        <v>0</v>
      </c>
      <c r="K129" s="183">
        <f>PRODUCT('Rollen-Prozess-Matrix'!O25,'Kompetenz-Prozess-Matrix'!G29)</f>
        <v>1</v>
      </c>
      <c r="L129" s="183">
        <f>PRODUCT('Rollen-Prozess-Matrix'!P25,'Kompetenz-Prozess-Matrix'!G29)</f>
        <v>1</v>
      </c>
      <c r="M129" s="183">
        <f>PRODUCT('Rollen-Prozess-Matrix'!Q25,'Kompetenz-Prozess-Matrix'!G29)</f>
        <v>2</v>
      </c>
      <c r="N129" s="183">
        <f>PRODUCT('Rollen-Prozess-Matrix'!R25,'Kompetenz-Prozess-Matrix'!G29)</f>
        <v>0</v>
      </c>
      <c r="O129" s="183">
        <f>PRODUCT('Rollen-Prozess-Matrix'!S25,'Kompetenz-Prozess-Matrix'!G29)</f>
        <v>0</v>
      </c>
      <c r="P129" s="183">
        <f>PRODUCT('Rollen-Prozess-Matrix'!T25,'Kompetenz-Prozess-Matrix'!G29)</f>
        <v>0</v>
      </c>
      <c r="Q129" s="185">
        <f>PRODUCT('Rollen-Prozess-Matrix'!U25,'Kompetenz-Prozess-Matrix'!G29)</f>
        <v>0</v>
      </c>
    </row>
    <row r="130" spans="1:19" ht="38.25" hidden="1" outlineLevel="2" x14ac:dyDescent="0.35">
      <c r="A130" s="333"/>
      <c r="B130" s="339"/>
      <c r="C130" s="180" t="s">
        <v>229</v>
      </c>
      <c r="D130" s="182">
        <f>PRODUCT('Rollen-Prozess-Matrix'!H26,'Kompetenz-Prozess-Matrix'!G30)</f>
        <v>0</v>
      </c>
      <c r="E130" s="183">
        <f>PRODUCT('Rollen-Prozess-Matrix'!I26,'Kompetenz-Prozess-Matrix'!G30)</f>
        <v>1</v>
      </c>
      <c r="F130" s="183">
        <f>PRODUCT('Rollen-Prozess-Matrix'!J26,'Kompetenz-Prozess-Matrix'!G30)</f>
        <v>0</v>
      </c>
      <c r="G130" s="183">
        <f>PRODUCT('Rollen-Prozess-Matrix'!K26,'Kompetenz-Prozess-Matrix'!G30)</f>
        <v>0</v>
      </c>
      <c r="H130" s="183">
        <f>PRODUCT('Rollen-Prozess-Matrix'!L26,'Kompetenz-Prozess-Matrix'!G30)</f>
        <v>3</v>
      </c>
      <c r="I130" s="183">
        <f>PRODUCT('Rollen-Prozess-Matrix'!M26,'Kompetenz-Prozess-Matrix'!G30)</f>
        <v>1</v>
      </c>
      <c r="J130" s="183">
        <f>PRODUCT('Rollen-Prozess-Matrix'!N26,'Kompetenz-Prozess-Matrix'!G30)</f>
        <v>1</v>
      </c>
      <c r="K130" s="183">
        <f>PRODUCT('Rollen-Prozess-Matrix'!O26,'Kompetenz-Prozess-Matrix'!G30)</f>
        <v>0</v>
      </c>
      <c r="L130" s="183">
        <f>PRODUCT('Rollen-Prozess-Matrix'!P26,'Kompetenz-Prozess-Matrix'!G30)</f>
        <v>2</v>
      </c>
      <c r="M130" s="183">
        <f>PRODUCT('Rollen-Prozess-Matrix'!Q26,'Kompetenz-Prozess-Matrix'!G30)</f>
        <v>0</v>
      </c>
      <c r="N130" s="183">
        <f>PRODUCT('Rollen-Prozess-Matrix'!R26,'Kompetenz-Prozess-Matrix'!G30)</f>
        <v>0</v>
      </c>
      <c r="O130" s="183">
        <f>PRODUCT('Rollen-Prozess-Matrix'!S26,'Kompetenz-Prozess-Matrix'!G30)</f>
        <v>1</v>
      </c>
      <c r="P130" s="183">
        <f>PRODUCT('Rollen-Prozess-Matrix'!T26,'Kompetenz-Prozess-Matrix'!G30)</f>
        <v>0</v>
      </c>
      <c r="Q130" s="185">
        <f>PRODUCT('Rollen-Prozess-Matrix'!U26,'Kompetenz-Prozess-Matrix'!G30)</f>
        <v>0</v>
      </c>
    </row>
    <row r="131" spans="1:19" ht="38.25" hidden="1" outlineLevel="2" x14ac:dyDescent="0.35">
      <c r="A131" s="333"/>
      <c r="B131" s="339"/>
      <c r="C131" s="180" t="s">
        <v>235</v>
      </c>
      <c r="D131" s="182">
        <f>PRODUCT('Rollen-Prozess-Matrix'!H27,'Kompetenz-Prozess-Matrix'!G31)</f>
        <v>2</v>
      </c>
      <c r="E131" s="183">
        <f>PRODUCT('Rollen-Prozess-Matrix'!I27,'Kompetenz-Prozess-Matrix'!G31)</f>
        <v>2</v>
      </c>
      <c r="F131" s="183">
        <f>PRODUCT('Rollen-Prozess-Matrix'!J27,'Kompetenz-Prozess-Matrix'!G31)</f>
        <v>0</v>
      </c>
      <c r="G131" s="183">
        <f>PRODUCT('Rollen-Prozess-Matrix'!K27,'Kompetenz-Prozess-Matrix'!G31)</f>
        <v>0</v>
      </c>
      <c r="H131" s="183">
        <f>PRODUCT('Rollen-Prozess-Matrix'!L27,'Kompetenz-Prozess-Matrix'!G31)</f>
        <v>3</v>
      </c>
      <c r="I131" s="183">
        <f>PRODUCT('Rollen-Prozess-Matrix'!M27,'Kompetenz-Prozess-Matrix'!G31)</f>
        <v>0</v>
      </c>
      <c r="J131" s="183">
        <f>PRODUCT('Rollen-Prozess-Matrix'!N27,'Kompetenz-Prozess-Matrix'!G31)</f>
        <v>0</v>
      </c>
      <c r="K131" s="183">
        <f>PRODUCT('Rollen-Prozess-Matrix'!O27,'Kompetenz-Prozess-Matrix'!G31)</f>
        <v>2</v>
      </c>
      <c r="L131" s="183">
        <f>PRODUCT('Rollen-Prozess-Matrix'!P27,'Kompetenz-Prozess-Matrix'!G31)</f>
        <v>0</v>
      </c>
      <c r="M131" s="183">
        <f>PRODUCT('Rollen-Prozess-Matrix'!Q27,'Kompetenz-Prozess-Matrix'!G31)</f>
        <v>0</v>
      </c>
      <c r="N131" s="183">
        <f>PRODUCT('Rollen-Prozess-Matrix'!R27,'Kompetenz-Prozess-Matrix'!G31)</f>
        <v>2</v>
      </c>
      <c r="O131" s="183">
        <f>PRODUCT('Rollen-Prozess-Matrix'!S27,'Kompetenz-Prozess-Matrix'!G31)</f>
        <v>0</v>
      </c>
      <c r="P131" s="183">
        <f>PRODUCT('Rollen-Prozess-Matrix'!T27,'Kompetenz-Prozess-Matrix'!G31)</f>
        <v>0</v>
      </c>
      <c r="Q131" s="185">
        <f>PRODUCT('Rollen-Prozess-Matrix'!U27,'Kompetenz-Prozess-Matrix'!G31)</f>
        <v>0</v>
      </c>
    </row>
    <row r="132" spans="1:19" ht="38.25" hidden="1" outlineLevel="2" x14ac:dyDescent="0.35">
      <c r="A132" s="333"/>
      <c r="B132" s="339"/>
      <c r="C132" s="180" t="s">
        <v>242</v>
      </c>
      <c r="D132" s="182">
        <f>PRODUCT('Rollen-Prozess-Matrix'!H28,'Kompetenz-Prozess-Matrix'!G32)</f>
        <v>1</v>
      </c>
      <c r="E132" s="183">
        <f>PRODUCT('Rollen-Prozess-Matrix'!I28,'Kompetenz-Prozess-Matrix'!G32)</f>
        <v>1</v>
      </c>
      <c r="F132" s="183">
        <f>PRODUCT('Rollen-Prozess-Matrix'!J28,'Kompetenz-Prozess-Matrix'!G32)</f>
        <v>0</v>
      </c>
      <c r="G132" s="183">
        <f>PRODUCT('Rollen-Prozess-Matrix'!K28,'Kompetenz-Prozess-Matrix'!G32)</f>
        <v>0</v>
      </c>
      <c r="H132" s="183">
        <f>PRODUCT('Rollen-Prozess-Matrix'!L28,'Kompetenz-Prozess-Matrix'!G32)</f>
        <v>3</v>
      </c>
      <c r="I132" s="183">
        <f>PRODUCT('Rollen-Prozess-Matrix'!M28,'Kompetenz-Prozess-Matrix'!G32)</f>
        <v>0</v>
      </c>
      <c r="J132" s="183">
        <f>PRODUCT('Rollen-Prozess-Matrix'!N28,'Kompetenz-Prozess-Matrix'!G32)</f>
        <v>0</v>
      </c>
      <c r="K132" s="183">
        <f>PRODUCT('Rollen-Prozess-Matrix'!O28,'Kompetenz-Prozess-Matrix'!G32)</f>
        <v>0</v>
      </c>
      <c r="L132" s="183">
        <f>PRODUCT('Rollen-Prozess-Matrix'!P28,'Kompetenz-Prozess-Matrix'!G32)</f>
        <v>2</v>
      </c>
      <c r="M132" s="183">
        <f>PRODUCT('Rollen-Prozess-Matrix'!Q28,'Kompetenz-Prozess-Matrix'!G32)</f>
        <v>0</v>
      </c>
      <c r="N132" s="183">
        <f>PRODUCT('Rollen-Prozess-Matrix'!R28,'Kompetenz-Prozess-Matrix'!G32)</f>
        <v>0</v>
      </c>
      <c r="O132" s="183">
        <f>PRODUCT('Rollen-Prozess-Matrix'!S28,'Kompetenz-Prozess-Matrix'!G32)</f>
        <v>1</v>
      </c>
      <c r="P132" s="183">
        <f>PRODUCT('Rollen-Prozess-Matrix'!T28,'Kompetenz-Prozess-Matrix'!G32)</f>
        <v>0</v>
      </c>
      <c r="Q132" s="185">
        <f>PRODUCT('Rollen-Prozess-Matrix'!U28,'Kompetenz-Prozess-Matrix'!G32)</f>
        <v>0</v>
      </c>
    </row>
    <row r="133" spans="1:19" ht="38.25" hidden="1" outlineLevel="2" x14ac:dyDescent="0.35">
      <c r="A133" s="333"/>
      <c r="B133" s="339"/>
      <c r="C133" s="180" t="s">
        <v>248</v>
      </c>
      <c r="D133" s="182">
        <f>PRODUCT('Rollen-Prozess-Matrix'!H29,'Kompetenz-Prozess-Matrix'!G33)</f>
        <v>2</v>
      </c>
      <c r="E133" s="183">
        <f>PRODUCT('Rollen-Prozess-Matrix'!I29,'Kompetenz-Prozess-Matrix'!G33)</f>
        <v>0</v>
      </c>
      <c r="F133" s="183">
        <f>PRODUCT('Rollen-Prozess-Matrix'!J29,'Kompetenz-Prozess-Matrix'!G33)</f>
        <v>0</v>
      </c>
      <c r="G133" s="183">
        <f>PRODUCT('Rollen-Prozess-Matrix'!K29,'Kompetenz-Prozess-Matrix'!G33)</f>
        <v>0</v>
      </c>
      <c r="H133" s="183">
        <f>PRODUCT('Rollen-Prozess-Matrix'!L29,'Kompetenz-Prozess-Matrix'!G33)</f>
        <v>3</v>
      </c>
      <c r="I133" s="183">
        <f>PRODUCT('Rollen-Prozess-Matrix'!M29,'Kompetenz-Prozess-Matrix'!G33)</f>
        <v>1</v>
      </c>
      <c r="J133" s="183">
        <f>PRODUCT('Rollen-Prozess-Matrix'!N29,'Kompetenz-Prozess-Matrix'!G33)</f>
        <v>0</v>
      </c>
      <c r="K133" s="183">
        <f>PRODUCT('Rollen-Prozess-Matrix'!O29,'Kompetenz-Prozess-Matrix'!G33)</f>
        <v>0</v>
      </c>
      <c r="L133" s="183">
        <f>PRODUCT('Rollen-Prozess-Matrix'!P29,'Kompetenz-Prozess-Matrix'!G33)</f>
        <v>0</v>
      </c>
      <c r="M133" s="183">
        <f>PRODUCT('Rollen-Prozess-Matrix'!Q29,'Kompetenz-Prozess-Matrix'!G33)</f>
        <v>0</v>
      </c>
      <c r="N133" s="183">
        <f>PRODUCT('Rollen-Prozess-Matrix'!R29,'Kompetenz-Prozess-Matrix'!G33)</f>
        <v>1</v>
      </c>
      <c r="O133" s="183">
        <f>PRODUCT('Rollen-Prozess-Matrix'!S29,'Kompetenz-Prozess-Matrix'!G33)</f>
        <v>0</v>
      </c>
      <c r="P133" s="183">
        <f>PRODUCT('Rollen-Prozess-Matrix'!T29,'Kompetenz-Prozess-Matrix'!G33)</f>
        <v>0</v>
      </c>
      <c r="Q133" s="185">
        <f>PRODUCT('Rollen-Prozess-Matrix'!U29,'Kompetenz-Prozess-Matrix'!G33)</f>
        <v>0</v>
      </c>
    </row>
    <row r="134" spans="1:19" ht="38.25" hidden="1" outlineLevel="2" x14ac:dyDescent="0.35">
      <c r="A134" s="333"/>
      <c r="B134" s="339"/>
      <c r="C134" s="180" t="s">
        <v>255</v>
      </c>
      <c r="D134" s="182">
        <f>PRODUCT('Rollen-Prozess-Matrix'!H30,'Kompetenz-Prozess-Matrix'!G34)</f>
        <v>2</v>
      </c>
      <c r="E134" s="183">
        <f>PRODUCT('Rollen-Prozess-Matrix'!I30,'Kompetenz-Prozess-Matrix'!G34)</f>
        <v>0</v>
      </c>
      <c r="F134" s="183">
        <f>PRODUCT('Rollen-Prozess-Matrix'!J30,'Kompetenz-Prozess-Matrix'!G34)</f>
        <v>0</v>
      </c>
      <c r="G134" s="183">
        <f>PRODUCT('Rollen-Prozess-Matrix'!K30,'Kompetenz-Prozess-Matrix'!G34)</f>
        <v>0</v>
      </c>
      <c r="H134" s="183">
        <f>PRODUCT('Rollen-Prozess-Matrix'!L30,'Kompetenz-Prozess-Matrix'!G34)</f>
        <v>3</v>
      </c>
      <c r="I134" s="183">
        <f>PRODUCT('Rollen-Prozess-Matrix'!M30,'Kompetenz-Prozess-Matrix'!G34)</f>
        <v>1</v>
      </c>
      <c r="J134" s="183">
        <f>PRODUCT('Rollen-Prozess-Matrix'!N30,'Kompetenz-Prozess-Matrix'!G34)</f>
        <v>0</v>
      </c>
      <c r="K134" s="183">
        <f>PRODUCT('Rollen-Prozess-Matrix'!O30,'Kompetenz-Prozess-Matrix'!G34)</f>
        <v>0</v>
      </c>
      <c r="L134" s="183">
        <f>PRODUCT('Rollen-Prozess-Matrix'!P30,'Kompetenz-Prozess-Matrix'!G34)</f>
        <v>0</v>
      </c>
      <c r="M134" s="183">
        <f>PRODUCT('Rollen-Prozess-Matrix'!Q30,'Kompetenz-Prozess-Matrix'!G34)</f>
        <v>0</v>
      </c>
      <c r="N134" s="183">
        <f>PRODUCT('Rollen-Prozess-Matrix'!R30,'Kompetenz-Prozess-Matrix'!G34)</f>
        <v>2</v>
      </c>
      <c r="O134" s="183">
        <f>PRODUCT('Rollen-Prozess-Matrix'!S30,'Kompetenz-Prozess-Matrix'!G34)</f>
        <v>0</v>
      </c>
      <c r="P134" s="183">
        <f>PRODUCT('Rollen-Prozess-Matrix'!T30,'Kompetenz-Prozess-Matrix'!G34)</f>
        <v>0</v>
      </c>
      <c r="Q134" s="185">
        <f>PRODUCT('Rollen-Prozess-Matrix'!U30,'Kompetenz-Prozess-Matrix'!G34)</f>
        <v>0</v>
      </c>
    </row>
    <row r="135" spans="1:19" ht="38.25" hidden="1" outlineLevel="2" x14ac:dyDescent="0.35">
      <c r="A135" s="333"/>
      <c r="B135" s="339"/>
      <c r="C135" s="180" t="s">
        <v>261</v>
      </c>
      <c r="D135" s="182">
        <f>PRODUCT('Rollen-Prozess-Matrix'!H31,'Kompetenz-Prozess-Matrix'!G35)</f>
        <v>2</v>
      </c>
      <c r="E135" s="183">
        <f>PRODUCT('Rollen-Prozess-Matrix'!I31,'Kompetenz-Prozess-Matrix'!G35)</f>
        <v>0</v>
      </c>
      <c r="F135" s="183">
        <f>PRODUCT('Rollen-Prozess-Matrix'!J31,'Kompetenz-Prozess-Matrix'!G35)</f>
        <v>0</v>
      </c>
      <c r="G135" s="183">
        <f>PRODUCT('Rollen-Prozess-Matrix'!K31,'Kompetenz-Prozess-Matrix'!G35)</f>
        <v>0</v>
      </c>
      <c r="H135" s="183">
        <f>PRODUCT('Rollen-Prozess-Matrix'!L31,'Kompetenz-Prozess-Matrix'!G35)</f>
        <v>3</v>
      </c>
      <c r="I135" s="183">
        <f>PRODUCT('Rollen-Prozess-Matrix'!M31,'Kompetenz-Prozess-Matrix'!G35)</f>
        <v>0</v>
      </c>
      <c r="J135" s="183">
        <f>PRODUCT('Rollen-Prozess-Matrix'!N31,'Kompetenz-Prozess-Matrix'!G35)</f>
        <v>0</v>
      </c>
      <c r="K135" s="183">
        <f>PRODUCT('Rollen-Prozess-Matrix'!O31,'Kompetenz-Prozess-Matrix'!G35)</f>
        <v>0</v>
      </c>
      <c r="L135" s="183">
        <f>PRODUCT('Rollen-Prozess-Matrix'!P31,'Kompetenz-Prozess-Matrix'!G35)</f>
        <v>0</v>
      </c>
      <c r="M135" s="183">
        <f>PRODUCT('Rollen-Prozess-Matrix'!Q31,'Kompetenz-Prozess-Matrix'!G35)</f>
        <v>0</v>
      </c>
      <c r="N135" s="183">
        <f>PRODUCT('Rollen-Prozess-Matrix'!R31,'Kompetenz-Prozess-Matrix'!G35)</f>
        <v>1</v>
      </c>
      <c r="O135" s="183">
        <f>PRODUCT('Rollen-Prozess-Matrix'!S31,'Kompetenz-Prozess-Matrix'!G35)</f>
        <v>0</v>
      </c>
      <c r="P135" s="183">
        <f>PRODUCT('Rollen-Prozess-Matrix'!T31,'Kompetenz-Prozess-Matrix'!G35)</f>
        <v>0</v>
      </c>
      <c r="Q135" s="185">
        <f>PRODUCT('Rollen-Prozess-Matrix'!U31,'Kompetenz-Prozess-Matrix'!G35)</f>
        <v>0</v>
      </c>
    </row>
    <row r="136" spans="1:19" hidden="1" outlineLevel="2" x14ac:dyDescent="0.35">
      <c r="A136" s="333"/>
      <c r="B136" s="339"/>
      <c r="C136" s="180" t="s">
        <v>264</v>
      </c>
      <c r="D136" s="182">
        <f>PRODUCT('Rollen-Prozess-Matrix'!H32,'Kompetenz-Prozess-Matrix'!G36)</f>
        <v>0</v>
      </c>
      <c r="E136" s="183">
        <f>PRODUCT('Rollen-Prozess-Matrix'!I32,'Kompetenz-Prozess-Matrix'!G36)</f>
        <v>0</v>
      </c>
      <c r="F136" s="183">
        <f>PRODUCT('Rollen-Prozess-Matrix'!J32,'Kompetenz-Prozess-Matrix'!G36)</f>
        <v>0</v>
      </c>
      <c r="G136" s="183">
        <f>PRODUCT('Rollen-Prozess-Matrix'!K32,'Kompetenz-Prozess-Matrix'!G36)</f>
        <v>2</v>
      </c>
      <c r="H136" s="183">
        <f>PRODUCT('Rollen-Prozess-Matrix'!L32,'Kompetenz-Prozess-Matrix'!G36)</f>
        <v>1</v>
      </c>
      <c r="I136" s="183">
        <f>PRODUCT('Rollen-Prozess-Matrix'!M32,'Kompetenz-Prozess-Matrix'!G36)</f>
        <v>0</v>
      </c>
      <c r="J136" s="183">
        <f>PRODUCT('Rollen-Prozess-Matrix'!N32,'Kompetenz-Prozess-Matrix'!G36)</f>
        <v>0</v>
      </c>
      <c r="K136" s="183">
        <f>PRODUCT('Rollen-Prozess-Matrix'!O32,'Kompetenz-Prozess-Matrix'!G36)</f>
        <v>0</v>
      </c>
      <c r="L136" s="183">
        <f>PRODUCT('Rollen-Prozess-Matrix'!P32,'Kompetenz-Prozess-Matrix'!G36)</f>
        <v>0</v>
      </c>
      <c r="M136" s="183">
        <f>PRODUCT('Rollen-Prozess-Matrix'!Q32,'Kompetenz-Prozess-Matrix'!G36)</f>
        <v>0</v>
      </c>
      <c r="N136" s="183">
        <f>PRODUCT('Rollen-Prozess-Matrix'!R32,'Kompetenz-Prozess-Matrix'!G36)</f>
        <v>0</v>
      </c>
      <c r="O136" s="183">
        <f>PRODUCT('Rollen-Prozess-Matrix'!S32,'Kompetenz-Prozess-Matrix'!G36)</f>
        <v>0</v>
      </c>
      <c r="P136" s="183">
        <f>PRODUCT('Rollen-Prozess-Matrix'!T32,'Kompetenz-Prozess-Matrix'!G36)</f>
        <v>0</v>
      </c>
      <c r="Q136" s="185">
        <f>PRODUCT('Rollen-Prozess-Matrix'!U32,'Kompetenz-Prozess-Matrix'!G36)</f>
        <v>0</v>
      </c>
    </row>
    <row r="137" spans="1:19" hidden="1" outlineLevel="2" x14ac:dyDescent="0.35">
      <c r="A137" s="333"/>
      <c r="B137" s="339"/>
      <c r="C137" s="180" t="s">
        <v>266</v>
      </c>
      <c r="D137" s="182">
        <f>PRODUCT('Rollen-Prozess-Matrix'!H33,'Kompetenz-Prozess-Matrix'!G37)</f>
        <v>0</v>
      </c>
      <c r="E137" s="183">
        <f>PRODUCT('Rollen-Prozess-Matrix'!I33,'Kompetenz-Prozess-Matrix'!G37)</f>
        <v>0</v>
      </c>
      <c r="F137" s="183">
        <f>PRODUCT('Rollen-Prozess-Matrix'!J33,'Kompetenz-Prozess-Matrix'!G37)</f>
        <v>4</v>
      </c>
      <c r="G137" s="183">
        <f>PRODUCT('Rollen-Prozess-Matrix'!K33,'Kompetenz-Prozess-Matrix'!G37)</f>
        <v>4</v>
      </c>
      <c r="H137" s="183">
        <f>PRODUCT('Rollen-Prozess-Matrix'!L33,'Kompetenz-Prozess-Matrix'!G37)</f>
        <v>0</v>
      </c>
      <c r="I137" s="183">
        <f>PRODUCT('Rollen-Prozess-Matrix'!M33,'Kompetenz-Prozess-Matrix'!G37)</f>
        <v>4</v>
      </c>
      <c r="J137" s="183">
        <f>PRODUCT('Rollen-Prozess-Matrix'!N33,'Kompetenz-Prozess-Matrix'!G37)</f>
        <v>2</v>
      </c>
      <c r="K137" s="183">
        <f>PRODUCT('Rollen-Prozess-Matrix'!O33,'Kompetenz-Prozess-Matrix'!G37)</f>
        <v>0</v>
      </c>
      <c r="L137" s="183">
        <f>PRODUCT('Rollen-Prozess-Matrix'!P33,'Kompetenz-Prozess-Matrix'!G37)</f>
        <v>2</v>
      </c>
      <c r="M137" s="183">
        <f>PRODUCT('Rollen-Prozess-Matrix'!Q33,'Kompetenz-Prozess-Matrix'!G37)</f>
        <v>0</v>
      </c>
      <c r="N137" s="183">
        <f>PRODUCT('Rollen-Prozess-Matrix'!R33,'Kompetenz-Prozess-Matrix'!G37)</f>
        <v>0</v>
      </c>
      <c r="O137" s="183">
        <f>PRODUCT('Rollen-Prozess-Matrix'!S33,'Kompetenz-Prozess-Matrix'!G37)</f>
        <v>0</v>
      </c>
      <c r="P137" s="183">
        <f>PRODUCT('Rollen-Prozess-Matrix'!T33,'Kompetenz-Prozess-Matrix'!G37)</f>
        <v>0</v>
      </c>
      <c r="Q137" s="185">
        <f>PRODUCT('Rollen-Prozess-Matrix'!U33,'Kompetenz-Prozess-Matrix'!G37)</f>
        <v>0</v>
      </c>
    </row>
    <row r="138" spans="1:19" ht="13.15" hidden="1" outlineLevel="2" thickBot="1" x14ac:dyDescent="0.4">
      <c r="A138" s="334"/>
      <c r="B138" s="340"/>
      <c r="C138" s="181" t="s">
        <v>289</v>
      </c>
      <c r="D138" s="182">
        <f>PRODUCT('Rollen-Prozess-Matrix'!H34,'Kompetenz-Prozess-Matrix'!G38)</f>
        <v>0</v>
      </c>
      <c r="E138" s="183">
        <f>PRODUCT('Rollen-Prozess-Matrix'!I34,'Kompetenz-Prozess-Matrix'!G38)</f>
        <v>0</v>
      </c>
      <c r="F138" s="183">
        <f>PRODUCT('Rollen-Prozess-Matrix'!J34,'Kompetenz-Prozess-Matrix'!G38)</f>
        <v>0</v>
      </c>
      <c r="G138" s="183">
        <f>PRODUCT('Rollen-Prozess-Matrix'!K34,'Kompetenz-Prozess-Matrix'!G38)</f>
        <v>4</v>
      </c>
      <c r="H138" s="183">
        <f>PRODUCT('Rollen-Prozess-Matrix'!L34,'Kompetenz-Prozess-Matrix'!G38)</f>
        <v>0</v>
      </c>
      <c r="I138" s="183">
        <f>PRODUCT('Rollen-Prozess-Matrix'!M34,'Kompetenz-Prozess-Matrix'!G38)</f>
        <v>0</v>
      </c>
      <c r="J138" s="183">
        <f>PRODUCT('Rollen-Prozess-Matrix'!N34,'Kompetenz-Prozess-Matrix'!G38)</f>
        <v>0</v>
      </c>
      <c r="K138" s="183">
        <f>PRODUCT('Rollen-Prozess-Matrix'!O34,'Kompetenz-Prozess-Matrix'!G38)</f>
        <v>0</v>
      </c>
      <c r="L138" s="183">
        <f>PRODUCT('Rollen-Prozess-Matrix'!P34,'Kompetenz-Prozess-Matrix'!G38)</f>
        <v>0</v>
      </c>
      <c r="M138" s="183">
        <f>PRODUCT('Rollen-Prozess-Matrix'!Q34,'Kompetenz-Prozess-Matrix'!G38)</f>
        <v>0</v>
      </c>
      <c r="N138" s="183">
        <f>PRODUCT('Rollen-Prozess-Matrix'!R34,'Kompetenz-Prozess-Matrix'!G38)</f>
        <v>0</v>
      </c>
      <c r="O138" s="183">
        <f>PRODUCT('Rollen-Prozess-Matrix'!S34,'Kompetenz-Prozess-Matrix'!G38)</f>
        <v>0</v>
      </c>
      <c r="P138" s="183">
        <f>PRODUCT('Rollen-Prozess-Matrix'!T34,'Kompetenz-Prozess-Matrix'!G38)</f>
        <v>0</v>
      </c>
      <c r="Q138" s="185">
        <f>PRODUCT('Rollen-Prozess-Matrix'!U34,'Kompetenz-Prozess-Matrix'!G38)</f>
        <v>0</v>
      </c>
    </row>
    <row r="139" spans="1:19" ht="13.15" collapsed="1" thickBot="1" x14ac:dyDescent="0.4">
      <c r="A139" s="332" t="s">
        <v>36</v>
      </c>
      <c r="B139" s="338" t="s">
        <v>37</v>
      </c>
      <c r="C139" s="178"/>
      <c r="D139" s="184">
        <f>MAX(D140:D172)</f>
        <v>2</v>
      </c>
      <c r="E139" s="184">
        <f t="shared" ref="E139" si="40">MAX(E140:E172)</f>
        <v>4</v>
      </c>
      <c r="F139" s="184">
        <f t="shared" ref="F139" si="41">MAX(F140:F172)</f>
        <v>2</v>
      </c>
      <c r="G139" s="184">
        <f t="shared" ref="G139" si="42">MAX(G140:G172)</f>
        <v>4</v>
      </c>
      <c r="H139" s="184">
        <f t="shared" ref="H139" si="43">MAX(H140:H172)</f>
        <v>6</v>
      </c>
      <c r="I139" s="184">
        <f t="shared" ref="I139" si="44">MAX(I140:I172)</f>
        <v>4</v>
      </c>
      <c r="J139" s="184">
        <f t="shared" ref="J139" si="45">MAX(J140:J172)</f>
        <v>2</v>
      </c>
      <c r="K139" s="184">
        <f t="shared" ref="K139" si="46">MAX(K140:K172)</f>
        <v>2</v>
      </c>
      <c r="L139" s="184">
        <f t="shared" ref="L139" si="47">MAX(L140:L172)</f>
        <v>4</v>
      </c>
      <c r="M139" s="184">
        <f t="shared" ref="M139" si="48">MAX(M140:M172)</f>
        <v>0</v>
      </c>
      <c r="N139" s="184">
        <f t="shared" ref="N139" si="49">MAX(N140:N172)</f>
        <v>2</v>
      </c>
      <c r="O139" s="184">
        <f t="shared" ref="O139" si="50">MAX(O140:O172)</f>
        <v>4</v>
      </c>
      <c r="P139" s="184">
        <f t="shared" ref="P139" si="51">MAX(P140:P172)</f>
        <v>4</v>
      </c>
      <c r="Q139" s="199">
        <f t="shared" ref="Q139" si="52">MAX(Q140:Q172)</f>
        <v>2</v>
      </c>
      <c r="S139">
        <v>1</v>
      </c>
    </row>
    <row r="140" spans="1:19" ht="13.15" hidden="1" outlineLevel="1" thickBot="1" x14ac:dyDescent="0.4">
      <c r="A140" s="333"/>
      <c r="B140" s="339"/>
      <c r="C140" s="179" t="s">
        <v>123</v>
      </c>
      <c r="D140" s="182">
        <f>PRODUCT('Rollen-Prozess-Matrix'!H2,'Kompetenz-Prozess-Matrix'!H6)</f>
        <v>0</v>
      </c>
      <c r="E140" s="183">
        <f>PRODUCT('Rollen-Prozess-Matrix'!I2,'Kompetenz-Prozess-Matrix'!H6)</f>
        <v>0</v>
      </c>
      <c r="F140" s="183">
        <f>PRODUCT('Rollen-Prozess-Matrix'!J2,'Kompetenz-Prozess-Matrix'!H6)</f>
        <v>0</v>
      </c>
      <c r="G140" s="183">
        <f>PRODUCT('Rollen-Prozess-Matrix'!K2,'Kompetenz-Prozess-Matrix'!H6)</f>
        <v>0</v>
      </c>
      <c r="H140" s="183">
        <f>PRODUCT('Rollen-Prozess-Matrix'!L2,'Kompetenz-Prozess-Matrix'!H6)</f>
        <v>3</v>
      </c>
      <c r="I140" s="183">
        <f>PRODUCT('Rollen-Prozess-Matrix'!M2,'Kompetenz-Prozess-Matrix'!H6)</f>
        <v>1</v>
      </c>
      <c r="J140" s="183">
        <f>PRODUCT('Rollen-Prozess-Matrix'!N2,'Kompetenz-Prozess-Matrix'!H6)</f>
        <v>1</v>
      </c>
      <c r="K140" s="183">
        <f>PRODUCT('Rollen-Prozess-Matrix'!O2,'Kompetenz-Prozess-Matrix'!H6)</f>
        <v>2</v>
      </c>
      <c r="L140" s="183">
        <f>PRODUCT('Rollen-Prozess-Matrix'!P2,'Kompetenz-Prozess-Matrix'!H6)</f>
        <v>1</v>
      </c>
      <c r="M140" s="183">
        <f>PRODUCT('Rollen-Prozess-Matrix'!Q2,'Kompetenz-Prozess-Matrix'!H6)</f>
        <v>0</v>
      </c>
      <c r="N140" s="183">
        <f>PRODUCT('Rollen-Prozess-Matrix'!R2,'Kompetenz-Prozess-Matrix'!H6)</f>
        <v>0</v>
      </c>
      <c r="O140" s="183">
        <f>PRODUCT('Rollen-Prozess-Matrix'!S2,'Kompetenz-Prozess-Matrix'!H6)</f>
        <v>0</v>
      </c>
      <c r="P140" s="183">
        <f>PRODUCT('Rollen-Prozess-Matrix'!T2,'Kompetenz-Prozess-Matrix'!H6)</f>
        <v>0</v>
      </c>
      <c r="Q140" s="185">
        <f>PRODUCT('Rollen-Prozess-Matrix'!U2,'Kompetenz-Prozess-Matrix'!H6)</f>
        <v>0</v>
      </c>
    </row>
    <row r="141" spans="1:19" ht="13.15" hidden="1" outlineLevel="1" thickBot="1" x14ac:dyDescent="0.4">
      <c r="A141" s="333"/>
      <c r="B141" s="339"/>
      <c r="C141" s="180" t="s">
        <v>127</v>
      </c>
      <c r="D141" s="182">
        <f>PRODUCT('Rollen-Prozess-Matrix'!H3,'Kompetenz-Prozess-Matrix'!H7)</f>
        <v>0</v>
      </c>
      <c r="E141" s="183">
        <f>PRODUCT('Rollen-Prozess-Matrix'!I3,'Kompetenz-Prozess-Matrix'!H7)</f>
        <v>2</v>
      </c>
      <c r="F141" s="183">
        <f>PRODUCT('Rollen-Prozess-Matrix'!J3,'Kompetenz-Prozess-Matrix'!H7)</f>
        <v>1</v>
      </c>
      <c r="G141" s="183">
        <f>PRODUCT('Rollen-Prozess-Matrix'!K3,'Kompetenz-Prozess-Matrix'!H7)</f>
        <v>0</v>
      </c>
      <c r="H141" s="183">
        <f>PRODUCT('Rollen-Prozess-Matrix'!L3,'Kompetenz-Prozess-Matrix'!H7)</f>
        <v>3</v>
      </c>
      <c r="I141" s="183">
        <f>PRODUCT('Rollen-Prozess-Matrix'!M3,'Kompetenz-Prozess-Matrix'!H7)</f>
        <v>1</v>
      </c>
      <c r="J141" s="183">
        <f>PRODUCT('Rollen-Prozess-Matrix'!N3,'Kompetenz-Prozess-Matrix'!H7)</f>
        <v>0</v>
      </c>
      <c r="K141" s="183">
        <f>PRODUCT('Rollen-Prozess-Matrix'!O3,'Kompetenz-Prozess-Matrix'!H7)</f>
        <v>1</v>
      </c>
      <c r="L141" s="183">
        <f>PRODUCT('Rollen-Prozess-Matrix'!P3,'Kompetenz-Prozess-Matrix'!H7)</f>
        <v>0</v>
      </c>
      <c r="M141" s="183">
        <f>PRODUCT('Rollen-Prozess-Matrix'!Q3,'Kompetenz-Prozess-Matrix'!H7)</f>
        <v>0</v>
      </c>
      <c r="N141" s="183">
        <f>PRODUCT('Rollen-Prozess-Matrix'!R3,'Kompetenz-Prozess-Matrix'!H7)</f>
        <v>1</v>
      </c>
      <c r="O141" s="183">
        <f>PRODUCT('Rollen-Prozess-Matrix'!S3,'Kompetenz-Prozess-Matrix'!H7)</f>
        <v>0</v>
      </c>
      <c r="P141" s="183">
        <f>PRODUCT('Rollen-Prozess-Matrix'!T3,'Kompetenz-Prozess-Matrix'!H7)</f>
        <v>0</v>
      </c>
      <c r="Q141" s="185">
        <f>PRODUCT('Rollen-Prozess-Matrix'!U3,'Kompetenz-Prozess-Matrix'!H7)</f>
        <v>0</v>
      </c>
    </row>
    <row r="142" spans="1:19" ht="51.4" hidden="1" outlineLevel="1" thickBot="1" x14ac:dyDescent="0.4">
      <c r="A142" s="333"/>
      <c r="B142" s="339"/>
      <c r="C142" s="180" t="s">
        <v>132</v>
      </c>
      <c r="D142" s="182">
        <f>PRODUCT('Rollen-Prozess-Matrix'!H4,'Kompetenz-Prozess-Matrix'!H8)</f>
        <v>0</v>
      </c>
      <c r="E142" s="183">
        <f>PRODUCT('Rollen-Prozess-Matrix'!I4,'Kompetenz-Prozess-Matrix'!H8)</f>
        <v>0</v>
      </c>
      <c r="F142" s="183">
        <f>PRODUCT('Rollen-Prozess-Matrix'!J4,'Kompetenz-Prozess-Matrix'!H8)</f>
        <v>0</v>
      </c>
      <c r="G142" s="183">
        <f>PRODUCT('Rollen-Prozess-Matrix'!K4,'Kompetenz-Prozess-Matrix'!H8)</f>
        <v>2</v>
      </c>
      <c r="H142" s="183">
        <f>PRODUCT('Rollen-Prozess-Matrix'!L4,'Kompetenz-Prozess-Matrix'!H8)</f>
        <v>6</v>
      </c>
      <c r="I142" s="183">
        <f>PRODUCT('Rollen-Prozess-Matrix'!M4,'Kompetenz-Prozess-Matrix'!H8)</f>
        <v>0</v>
      </c>
      <c r="J142" s="183">
        <f>PRODUCT('Rollen-Prozess-Matrix'!N4,'Kompetenz-Prozess-Matrix'!H8)</f>
        <v>0</v>
      </c>
      <c r="K142" s="183">
        <f>PRODUCT('Rollen-Prozess-Matrix'!O4,'Kompetenz-Prozess-Matrix'!H8)</f>
        <v>0</v>
      </c>
      <c r="L142" s="183">
        <f>PRODUCT('Rollen-Prozess-Matrix'!P4,'Kompetenz-Prozess-Matrix'!H8)</f>
        <v>0</v>
      </c>
      <c r="M142" s="183">
        <f>PRODUCT('Rollen-Prozess-Matrix'!Q4,'Kompetenz-Prozess-Matrix'!H8)</f>
        <v>0</v>
      </c>
      <c r="N142" s="183">
        <f>PRODUCT('Rollen-Prozess-Matrix'!R4,'Kompetenz-Prozess-Matrix'!H8)</f>
        <v>0</v>
      </c>
      <c r="O142" s="183">
        <f>PRODUCT('Rollen-Prozess-Matrix'!S4,'Kompetenz-Prozess-Matrix'!H8)</f>
        <v>0</v>
      </c>
      <c r="P142" s="183">
        <f>PRODUCT('Rollen-Prozess-Matrix'!T4,'Kompetenz-Prozess-Matrix'!H8)</f>
        <v>0</v>
      </c>
      <c r="Q142" s="185">
        <f>PRODUCT('Rollen-Prozess-Matrix'!U4,'Kompetenz-Prozess-Matrix'!H8)</f>
        <v>0</v>
      </c>
    </row>
    <row r="143" spans="1:19" ht="38.65" hidden="1" outlineLevel="1" thickBot="1" x14ac:dyDescent="0.4">
      <c r="A143" s="333"/>
      <c r="B143" s="339"/>
      <c r="C143" s="180" t="s">
        <v>136</v>
      </c>
      <c r="D143" s="182">
        <f>PRODUCT('Rollen-Prozess-Matrix'!H5,'Kompetenz-Prozess-Matrix'!H9)</f>
        <v>0</v>
      </c>
      <c r="E143" s="183">
        <f>PRODUCT('Rollen-Prozess-Matrix'!I5,'Kompetenz-Prozess-Matrix'!H9)</f>
        <v>0</v>
      </c>
      <c r="F143" s="183">
        <f>PRODUCT('Rollen-Prozess-Matrix'!J5,'Kompetenz-Prozess-Matrix'!H9)</f>
        <v>0</v>
      </c>
      <c r="G143" s="183">
        <f>PRODUCT('Rollen-Prozess-Matrix'!K5,'Kompetenz-Prozess-Matrix'!H9)</f>
        <v>2</v>
      </c>
      <c r="H143" s="183">
        <f>PRODUCT('Rollen-Prozess-Matrix'!L5,'Kompetenz-Prozess-Matrix'!H9)</f>
        <v>3</v>
      </c>
      <c r="I143" s="183">
        <f>PRODUCT('Rollen-Prozess-Matrix'!M5,'Kompetenz-Prozess-Matrix'!H9)</f>
        <v>0</v>
      </c>
      <c r="J143" s="183">
        <f>PRODUCT('Rollen-Prozess-Matrix'!N5,'Kompetenz-Prozess-Matrix'!H9)</f>
        <v>0</v>
      </c>
      <c r="K143" s="183">
        <f>PRODUCT('Rollen-Prozess-Matrix'!O5,'Kompetenz-Prozess-Matrix'!H9)</f>
        <v>0</v>
      </c>
      <c r="L143" s="183">
        <f>PRODUCT('Rollen-Prozess-Matrix'!P5,'Kompetenz-Prozess-Matrix'!H9)</f>
        <v>0</v>
      </c>
      <c r="M143" s="183">
        <f>PRODUCT('Rollen-Prozess-Matrix'!Q5,'Kompetenz-Prozess-Matrix'!H9)</f>
        <v>0</v>
      </c>
      <c r="N143" s="183">
        <f>PRODUCT('Rollen-Prozess-Matrix'!R5,'Kompetenz-Prozess-Matrix'!H9)</f>
        <v>0</v>
      </c>
      <c r="O143" s="183">
        <f>PRODUCT('Rollen-Prozess-Matrix'!S5,'Kompetenz-Prozess-Matrix'!H9)</f>
        <v>0</v>
      </c>
      <c r="P143" s="183">
        <f>PRODUCT('Rollen-Prozess-Matrix'!T5,'Kompetenz-Prozess-Matrix'!H9)</f>
        <v>0</v>
      </c>
      <c r="Q143" s="185">
        <f>PRODUCT('Rollen-Prozess-Matrix'!U5,'Kompetenz-Prozess-Matrix'!H9)</f>
        <v>0</v>
      </c>
    </row>
    <row r="144" spans="1:19" ht="38.65" hidden="1" outlineLevel="1" thickBot="1" x14ac:dyDescent="0.4">
      <c r="A144" s="333"/>
      <c r="B144" s="339"/>
      <c r="C144" s="180" t="s">
        <v>140</v>
      </c>
      <c r="D144" s="182">
        <f>PRODUCT('Rollen-Prozess-Matrix'!H6,'Kompetenz-Prozess-Matrix'!H10)</f>
        <v>0</v>
      </c>
      <c r="E144" s="183">
        <f>PRODUCT('Rollen-Prozess-Matrix'!I6,'Kompetenz-Prozess-Matrix'!H10)</f>
        <v>0</v>
      </c>
      <c r="F144" s="183">
        <f>PRODUCT('Rollen-Prozess-Matrix'!J6,'Kompetenz-Prozess-Matrix'!H10)</f>
        <v>0</v>
      </c>
      <c r="G144" s="183">
        <f>PRODUCT('Rollen-Prozess-Matrix'!K6,'Kompetenz-Prozess-Matrix'!H10)</f>
        <v>0</v>
      </c>
      <c r="H144" s="183">
        <f>PRODUCT('Rollen-Prozess-Matrix'!L6,'Kompetenz-Prozess-Matrix'!H10)</f>
        <v>0</v>
      </c>
      <c r="I144" s="183">
        <f>PRODUCT('Rollen-Prozess-Matrix'!M6,'Kompetenz-Prozess-Matrix'!H10)</f>
        <v>0</v>
      </c>
      <c r="J144" s="183">
        <f>PRODUCT('Rollen-Prozess-Matrix'!N6,'Kompetenz-Prozess-Matrix'!H10)</f>
        <v>0</v>
      </c>
      <c r="K144" s="183">
        <f>PRODUCT('Rollen-Prozess-Matrix'!O6,'Kompetenz-Prozess-Matrix'!H10)</f>
        <v>0</v>
      </c>
      <c r="L144" s="183">
        <f>PRODUCT('Rollen-Prozess-Matrix'!P6,'Kompetenz-Prozess-Matrix'!H10)</f>
        <v>0</v>
      </c>
      <c r="M144" s="183">
        <f>PRODUCT('Rollen-Prozess-Matrix'!Q6,'Kompetenz-Prozess-Matrix'!H10)</f>
        <v>0</v>
      </c>
      <c r="N144" s="183">
        <f>PRODUCT('Rollen-Prozess-Matrix'!R6,'Kompetenz-Prozess-Matrix'!H10)</f>
        <v>0</v>
      </c>
      <c r="O144" s="183">
        <f>PRODUCT('Rollen-Prozess-Matrix'!S6,'Kompetenz-Prozess-Matrix'!H10)</f>
        <v>0</v>
      </c>
      <c r="P144" s="183">
        <f>PRODUCT('Rollen-Prozess-Matrix'!T6,'Kompetenz-Prozess-Matrix'!H10)</f>
        <v>0</v>
      </c>
      <c r="Q144" s="185">
        <f>PRODUCT('Rollen-Prozess-Matrix'!U6,'Kompetenz-Prozess-Matrix'!H10)</f>
        <v>0</v>
      </c>
    </row>
    <row r="145" spans="1:17" ht="38.65" hidden="1" outlineLevel="1" thickBot="1" x14ac:dyDescent="0.4">
      <c r="A145" s="333"/>
      <c r="B145" s="339"/>
      <c r="C145" s="180" t="s">
        <v>144</v>
      </c>
      <c r="D145" s="182">
        <f>PRODUCT('Rollen-Prozess-Matrix'!H7,'Kompetenz-Prozess-Matrix'!H11)</f>
        <v>0</v>
      </c>
      <c r="E145" s="183">
        <f>PRODUCT('Rollen-Prozess-Matrix'!I7,'Kompetenz-Prozess-Matrix'!H11)</f>
        <v>0</v>
      </c>
      <c r="F145" s="183">
        <f>PRODUCT('Rollen-Prozess-Matrix'!J7,'Kompetenz-Prozess-Matrix'!H11)</f>
        <v>0</v>
      </c>
      <c r="G145" s="183">
        <f>PRODUCT('Rollen-Prozess-Matrix'!K7,'Kompetenz-Prozess-Matrix'!H11)</f>
        <v>0</v>
      </c>
      <c r="H145" s="183">
        <f>PRODUCT('Rollen-Prozess-Matrix'!L7,'Kompetenz-Prozess-Matrix'!H11)</f>
        <v>0</v>
      </c>
      <c r="I145" s="183">
        <f>PRODUCT('Rollen-Prozess-Matrix'!M7,'Kompetenz-Prozess-Matrix'!H11)</f>
        <v>0</v>
      </c>
      <c r="J145" s="183">
        <f>PRODUCT('Rollen-Prozess-Matrix'!N7,'Kompetenz-Prozess-Matrix'!H11)</f>
        <v>0</v>
      </c>
      <c r="K145" s="183">
        <f>PRODUCT('Rollen-Prozess-Matrix'!O7,'Kompetenz-Prozess-Matrix'!H11)</f>
        <v>0</v>
      </c>
      <c r="L145" s="183">
        <f>PRODUCT('Rollen-Prozess-Matrix'!P7,'Kompetenz-Prozess-Matrix'!H11)</f>
        <v>0</v>
      </c>
      <c r="M145" s="183">
        <f>PRODUCT('Rollen-Prozess-Matrix'!Q7,'Kompetenz-Prozess-Matrix'!H11)</f>
        <v>0</v>
      </c>
      <c r="N145" s="183">
        <f>PRODUCT('Rollen-Prozess-Matrix'!R7,'Kompetenz-Prozess-Matrix'!H11)</f>
        <v>0</v>
      </c>
      <c r="O145" s="183">
        <f>PRODUCT('Rollen-Prozess-Matrix'!S7,'Kompetenz-Prozess-Matrix'!H11)</f>
        <v>0</v>
      </c>
      <c r="P145" s="183">
        <f>PRODUCT('Rollen-Prozess-Matrix'!T7,'Kompetenz-Prozess-Matrix'!H11)</f>
        <v>0</v>
      </c>
      <c r="Q145" s="185">
        <f>PRODUCT('Rollen-Prozess-Matrix'!U7,'Kompetenz-Prozess-Matrix'!H11)</f>
        <v>0</v>
      </c>
    </row>
    <row r="146" spans="1:17" ht="38.65" hidden="1" outlineLevel="1" thickBot="1" x14ac:dyDescent="0.4">
      <c r="A146" s="333"/>
      <c r="B146" s="339"/>
      <c r="C146" s="180" t="s">
        <v>148</v>
      </c>
      <c r="D146" s="182">
        <f>PRODUCT('Rollen-Prozess-Matrix'!H8,'Kompetenz-Prozess-Matrix'!H12)</f>
        <v>0</v>
      </c>
      <c r="E146" s="183">
        <f>PRODUCT('Rollen-Prozess-Matrix'!I8,'Kompetenz-Prozess-Matrix'!H12)</f>
        <v>0</v>
      </c>
      <c r="F146" s="183">
        <f>PRODUCT('Rollen-Prozess-Matrix'!J8,'Kompetenz-Prozess-Matrix'!H12)</f>
        <v>0</v>
      </c>
      <c r="G146" s="183">
        <f>PRODUCT('Rollen-Prozess-Matrix'!K8,'Kompetenz-Prozess-Matrix'!H12)</f>
        <v>0</v>
      </c>
      <c r="H146" s="183">
        <f>PRODUCT('Rollen-Prozess-Matrix'!L8,'Kompetenz-Prozess-Matrix'!H12)</f>
        <v>6</v>
      </c>
      <c r="I146" s="183">
        <f>PRODUCT('Rollen-Prozess-Matrix'!M8,'Kompetenz-Prozess-Matrix'!H12)</f>
        <v>0</v>
      </c>
      <c r="J146" s="183">
        <f>PRODUCT('Rollen-Prozess-Matrix'!N8,'Kompetenz-Prozess-Matrix'!H12)</f>
        <v>0</v>
      </c>
      <c r="K146" s="183">
        <f>PRODUCT('Rollen-Prozess-Matrix'!O8,'Kompetenz-Prozess-Matrix'!H12)</f>
        <v>0</v>
      </c>
      <c r="L146" s="183">
        <f>PRODUCT('Rollen-Prozess-Matrix'!P8,'Kompetenz-Prozess-Matrix'!H12)</f>
        <v>2</v>
      </c>
      <c r="M146" s="183">
        <f>PRODUCT('Rollen-Prozess-Matrix'!Q8,'Kompetenz-Prozess-Matrix'!H12)</f>
        <v>0</v>
      </c>
      <c r="N146" s="183">
        <f>PRODUCT('Rollen-Prozess-Matrix'!R8,'Kompetenz-Prozess-Matrix'!H12)</f>
        <v>0</v>
      </c>
      <c r="O146" s="183">
        <f>PRODUCT('Rollen-Prozess-Matrix'!S8,'Kompetenz-Prozess-Matrix'!H12)</f>
        <v>4</v>
      </c>
      <c r="P146" s="183">
        <f>PRODUCT('Rollen-Prozess-Matrix'!T8,'Kompetenz-Prozess-Matrix'!H12)</f>
        <v>0</v>
      </c>
      <c r="Q146" s="185">
        <f>PRODUCT('Rollen-Prozess-Matrix'!U8,'Kompetenz-Prozess-Matrix'!H12)</f>
        <v>0</v>
      </c>
    </row>
    <row r="147" spans="1:17" ht="38.65" hidden="1" outlineLevel="1" thickBot="1" x14ac:dyDescent="0.4">
      <c r="A147" s="333"/>
      <c r="B147" s="339"/>
      <c r="C147" s="180" t="s">
        <v>152</v>
      </c>
      <c r="D147" s="182">
        <f>PRODUCT('Rollen-Prozess-Matrix'!H9,'Kompetenz-Prozess-Matrix'!H13)</f>
        <v>0</v>
      </c>
      <c r="E147" s="183">
        <f>PRODUCT('Rollen-Prozess-Matrix'!I9,'Kompetenz-Prozess-Matrix'!H13)</f>
        <v>0</v>
      </c>
      <c r="F147" s="183">
        <f>PRODUCT('Rollen-Prozess-Matrix'!J9,'Kompetenz-Prozess-Matrix'!H13)</f>
        <v>0</v>
      </c>
      <c r="G147" s="183">
        <f>PRODUCT('Rollen-Prozess-Matrix'!K9,'Kompetenz-Prozess-Matrix'!H13)</f>
        <v>0</v>
      </c>
      <c r="H147" s="183">
        <f>PRODUCT('Rollen-Prozess-Matrix'!L9,'Kompetenz-Prozess-Matrix'!H13)</f>
        <v>0</v>
      </c>
      <c r="I147" s="183">
        <f>PRODUCT('Rollen-Prozess-Matrix'!M9,'Kompetenz-Prozess-Matrix'!H13)</f>
        <v>0</v>
      </c>
      <c r="J147" s="183">
        <f>PRODUCT('Rollen-Prozess-Matrix'!N9,'Kompetenz-Prozess-Matrix'!H13)</f>
        <v>0</v>
      </c>
      <c r="K147" s="183">
        <f>PRODUCT('Rollen-Prozess-Matrix'!O9,'Kompetenz-Prozess-Matrix'!H13)</f>
        <v>0</v>
      </c>
      <c r="L147" s="183">
        <f>PRODUCT('Rollen-Prozess-Matrix'!P9,'Kompetenz-Prozess-Matrix'!H13)</f>
        <v>0</v>
      </c>
      <c r="M147" s="183">
        <f>PRODUCT('Rollen-Prozess-Matrix'!Q9,'Kompetenz-Prozess-Matrix'!H13)</f>
        <v>0</v>
      </c>
      <c r="N147" s="183">
        <f>PRODUCT('Rollen-Prozess-Matrix'!R9,'Kompetenz-Prozess-Matrix'!H13)</f>
        <v>0</v>
      </c>
      <c r="O147" s="183">
        <f>PRODUCT('Rollen-Prozess-Matrix'!S9,'Kompetenz-Prozess-Matrix'!H13)</f>
        <v>0</v>
      </c>
      <c r="P147" s="183">
        <f>PRODUCT('Rollen-Prozess-Matrix'!T9,'Kompetenz-Prozess-Matrix'!H13)</f>
        <v>0</v>
      </c>
      <c r="Q147" s="185">
        <f>PRODUCT('Rollen-Prozess-Matrix'!U9,'Kompetenz-Prozess-Matrix'!H13)</f>
        <v>0</v>
      </c>
    </row>
    <row r="148" spans="1:17" ht="38.65" hidden="1" outlineLevel="1" thickBot="1" x14ac:dyDescent="0.4">
      <c r="A148" s="333"/>
      <c r="B148" s="339"/>
      <c r="C148" s="180" t="s">
        <v>157</v>
      </c>
      <c r="D148" s="182">
        <f>PRODUCT('Rollen-Prozess-Matrix'!H10,'Kompetenz-Prozess-Matrix'!H14)</f>
        <v>0</v>
      </c>
      <c r="E148" s="183">
        <f>PRODUCT('Rollen-Prozess-Matrix'!I10,'Kompetenz-Prozess-Matrix'!H14)</f>
        <v>0</v>
      </c>
      <c r="F148" s="183">
        <f>PRODUCT('Rollen-Prozess-Matrix'!J10,'Kompetenz-Prozess-Matrix'!H14)</f>
        <v>2</v>
      </c>
      <c r="G148" s="183">
        <f>PRODUCT('Rollen-Prozess-Matrix'!K10,'Kompetenz-Prozess-Matrix'!H14)</f>
        <v>0</v>
      </c>
      <c r="H148" s="183">
        <f>PRODUCT('Rollen-Prozess-Matrix'!L10,'Kompetenz-Prozess-Matrix'!H14)</f>
        <v>3</v>
      </c>
      <c r="I148" s="183">
        <f>PRODUCT('Rollen-Prozess-Matrix'!M10,'Kompetenz-Prozess-Matrix'!H14)</f>
        <v>0</v>
      </c>
      <c r="J148" s="183">
        <f>PRODUCT('Rollen-Prozess-Matrix'!N10,'Kompetenz-Prozess-Matrix'!H14)</f>
        <v>0</v>
      </c>
      <c r="K148" s="183">
        <f>PRODUCT('Rollen-Prozess-Matrix'!O10,'Kompetenz-Prozess-Matrix'!H14)</f>
        <v>0</v>
      </c>
      <c r="L148" s="183">
        <f>PRODUCT('Rollen-Prozess-Matrix'!P10,'Kompetenz-Prozess-Matrix'!H14)</f>
        <v>0</v>
      </c>
      <c r="M148" s="183">
        <f>PRODUCT('Rollen-Prozess-Matrix'!Q10,'Kompetenz-Prozess-Matrix'!H14)</f>
        <v>0</v>
      </c>
      <c r="N148" s="183">
        <f>PRODUCT('Rollen-Prozess-Matrix'!R10,'Kompetenz-Prozess-Matrix'!H14)</f>
        <v>0</v>
      </c>
      <c r="O148" s="183">
        <f>PRODUCT('Rollen-Prozess-Matrix'!S10,'Kompetenz-Prozess-Matrix'!H14)</f>
        <v>0</v>
      </c>
      <c r="P148" s="183">
        <f>PRODUCT('Rollen-Prozess-Matrix'!T10,'Kompetenz-Prozess-Matrix'!H14)</f>
        <v>0</v>
      </c>
      <c r="Q148" s="185">
        <f>PRODUCT('Rollen-Prozess-Matrix'!U10,'Kompetenz-Prozess-Matrix'!H14)</f>
        <v>0</v>
      </c>
    </row>
    <row r="149" spans="1:17" ht="38.65" hidden="1" outlineLevel="1" thickBot="1" x14ac:dyDescent="0.4">
      <c r="A149" s="333"/>
      <c r="B149" s="339"/>
      <c r="C149" s="180" t="s">
        <v>161</v>
      </c>
      <c r="D149" s="182">
        <f>PRODUCT('Rollen-Prozess-Matrix'!H11,'Kompetenz-Prozess-Matrix'!H15)</f>
        <v>0</v>
      </c>
      <c r="E149" s="183">
        <f>PRODUCT('Rollen-Prozess-Matrix'!I11,'Kompetenz-Prozess-Matrix'!H15)</f>
        <v>0</v>
      </c>
      <c r="F149" s="183">
        <f>PRODUCT('Rollen-Prozess-Matrix'!J11,'Kompetenz-Prozess-Matrix'!H15)</f>
        <v>2</v>
      </c>
      <c r="G149" s="183">
        <f>PRODUCT('Rollen-Prozess-Matrix'!K11,'Kompetenz-Prozess-Matrix'!H15)</f>
        <v>0</v>
      </c>
      <c r="H149" s="183">
        <f>PRODUCT('Rollen-Prozess-Matrix'!L11,'Kompetenz-Prozess-Matrix'!H15)</f>
        <v>3</v>
      </c>
      <c r="I149" s="183">
        <f>PRODUCT('Rollen-Prozess-Matrix'!M11,'Kompetenz-Prozess-Matrix'!H15)</f>
        <v>0</v>
      </c>
      <c r="J149" s="183">
        <f>PRODUCT('Rollen-Prozess-Matrix'!N11,'Kompetenz-Prozess-Matrix'!H15)</f>
        <v>0</v>
      </c>
      <c r="K149" s="183">
        <f>PRODUCT('Rollen-Prozess-Matrix'!O11,'Kompetenz-Prozess-Matrix'!H15)</f>
        <v>0</v>
      </c>
      <c r="L149" s="183">
        <f>PRODUCT('Rollen-Prozess-Matrix'!P11,'Kompetenz-Prozess-Matrix'!H15)</f>
        <v>0</v>
      </c>
      <c r="M149" s="183">
        <f>PRODUCT('Rollen-Prozess-Matrix'!Q11,'Kompetenz-Prozess-Matrix'!H15)</f>
        <v>0</v>
      </c>
      <c r="N149" s="183">
        <f>PRODUCT('Rollen-Prozess-Matrix'!R11,'Kompetenz-Prozess-Matrix'!H15)</f>
        <v>0</v>
      </c>
      <c r="O149" s="183">
        <f>PRODUCT('Rollen-Prozess-Matrix'!S11,'Kompetenz-Prozess-Matrix'!H15)</f>
        <v>0</v>
      </c>
      <c r="P149" s="183">
        <f>PRODUCT('Rollen-Prozess-Matrix'!T11,'Kompetenz-Prozess-Matrix'!H15)</f>
        <v>0</v>
      </c>
      <c r="Q149" s="185">
        <f>PRODUCT('Rollen-Prozess-Matrix'!U11,'Kompetenz-Prozess-Matrix'!H15)</f>
        <v>1</v>
      </c>
    </row>
    <row r="150" spans="1:17" ht="38.65" hidden="1" outlineLevel="1" thickBot="1" x14ac:dyDescent="0.4">
      <c r="A150" s="333"/>
      <c r="B150" s="339"/>
      <c r="C150" s="180" t="s">
        <v>288</v>
      </c>
      <c r="D150" s="182">
        <f>PRODUCT('Rollen-Prozess-Matrix'!H12,'Kompetenz-Prozess-Matrix'!H16)</f>
        <v>0</v>
      </c>
      <c r="E150" s="183">
        <f>PRODUCT('Rollen-Prozess-Matrix'!I12,'Kompetenz-Prozess-Matrix'!H16)</f>
        <v>0</v>
      </c>
      <c r="F150" s="183">
        <f>PRODUCT('Rollen-Prozess-Matrix'!J12,'Kompetenz-Prozess-Matrix'!H16)</f>
        <v>0</v>
      </c>
      <c r="G150" s="183">
        <f>PRODUCT('Rollen-Prozess-Matrix'!K12,'Kompetenz-Prozess-Matrix'!H16)</f>
        <v>0</v>
      </c>
      <c r="H150" s="183">
        <f>PRODUCT('Rollen-Prozess-Matrix'!L12,'Kompetenz-Prozess-Matrix'!H16)</f>
        <v>0</v>
      </c>
      <c r="I150" s="183">
        <f>PRODUCT('Rollen-Prozess-Matrix'!M12,'Kompetenz-Prozess-Matrix'!H16)</f>
        <v>0</v>
      </c>
      <c r="J150" s="183">
        <f>PRODUCT('Rollen-Prozess-Matrix'!N12,'Kompetenz-Prozess-Matrix'!H16)</f>
        <v>0</v>
      </c>
      <c r="K150" s="183">
        <f>PRODUCT('Rollen-Prozess-Matrix'!O12,'Kompetenz-Prozess-Matrix'!H16)</f>
        <v>0</v>
      </c>
      <c r="L150" s="183">
        <f>PRODUCT('Rollen-Prozess-Matrix'!P12,'Kompetenz-Prozess-Matrix'!H16)</f>
        <v>0</v>
      </c>
      <c r="M150" s="183">
        <f>PRODUCT('Rollen-Prozess-Matrix'!Q12,'Kompetenz-Prozess-Matrix'!H16)</f>
        <v>0</v>
      </c>
      <c r="N150" s="183">
        <f>PRODUCT('Rollen-Prozess-Matrix'!R12,'Kompetenz-Prozess-Matrix'!H16)</f>
        <v>0</v>
      </c>
      <c r="O150" s="183">
        <f>PRODUCT('Rollen-Prozess-Matrix'!S12,'Kompetenz-Prozess-Matrix'!H16)</f>
        <v>0</v>
      </c>
      <c r="P150" s="183">
        <f>PRODUCT('Rollen-Prozess-Matrix'!T12,'Kompetenz-Prozess-Matrix'!H16)</f>
        <v>0</v>
      </c>
      <c r="Q150" s="185">
        <f>PRODUCT('Rollen-Prozess-Matrix'!U12,'Kompetenz-Prozess-Matrix'!H16)</f>
        <v>0</v>
      </c>
    </row>
    <row r="151" spans="1:17" ht="25.9" hidden="1" outlineLevel="1" thickBot="1" x14ac:dyDescent="0.4">
      <c r="A151" s="333"/>
      <c r="B151" s="339"/>
      <c r="C151" s="180" t="s">
        <v>169</v>
      </c>
      <c r="D151" s="182">
        <f>PRODUCT('Rollen-Prozess-Matrix'!H13,'Kompetenz-Prozess-Matrix'!H17)</f>
        <v>0</v>
      </c>
      <c r="E151" s="183">
        <f>PRODUCT('Rollen-Prozess-Matrix'!I13,'Kompetenz-Prozess-Matrix'!H17)</f>
        <v>1</v>
      </c>
      <c r="F151" s="183">
        <f>PRODUCT('Rollen-Prozess-Matrix'!J13,'Kompetenz-Prozess-Matrix'!H17)</f>
        <v>2</v>
      </c>
      <c r="G151" s="183">
        <f>PRODUCT('Rollen-Prozess-Matrix'!K13,'Kompetenz-Prozess-Matrix'!H17)</f>
        <v>0</v>
      </c>
      <c r="H151" s="183">
        <f>PRODUCT('Rollen-Prozess-Matrix'!L13,'Kompetenz-Prozess-Matrix'!H17)</f>
        <v>3</v>
      </c>
      <c r="I151" s="183">
        <f>PRODUCT('Rollen-Prozess-Matrix'!M13,'Kompetenz-Prozess-Matrix'!H17)</f>
        <v>2</v>
      </c>
      <c r="J151" s="183">
        <f>PRODUCT('Rollen-Prozess-Matrix'!N13,'Kompetenz-Prozess-Matrix'!H17)</f>
        <v>1</v>
      </c>
      <c r="K151" s="183">
        <f>PRODUCT('Rollen-Prozess-Matrix'!O13,'Kompetenz-Prozess-Matrix'!H17)</f>
        <v>1</v>
      </c>
      <c r="L151" s="183">
        <f>PRODUCT('Rollen-Prozess-Matrix'!P13,'Kompetenz-Prozess-Matrix'!H17)</f>
        <v>0</v>
      </c>
      <c r="M151" s="183">
        <f>PRODUCT('Rollen-Prozess-Matrix'!Q13,'Kompetenz-Prozess-Matrix'!H17)</f>
        <v>0</v>
      </c>
      <c r="N151" s="183">
        <f>PRODUCT('Rollen-Prozess-Matrix'!R13,'Kompetenz-Prozess-Matrix'!H17)</f>
        <v>0</v>
      </c>
      <c r="O151" s="183">
        <f>PRODUCT('Rollen-Prozess-Matrix'!S13,'Kompetenz-Prozess-Matrix'!H17)</f>
        <v>1</v>
      </c>
      <c r="P151" s="183">
        <f>PRODUCT('Rollen-Prozess-Matrix'!T13,'Kompetenz-Prozess-Matrix'!H17)</f>
        <v>0</v>
      </c>
      <c r="Q151" s="185">
        <f>PRODUCT('Rollen-Prozess-Matrix'!U13,'Kompetenz-Prozess-Matrix'!H17)</f>
        <v>0</v>
      </c>
    </row>
    <row r="152" spans="1:17" ht="64.150000000000006" hidden="1" outlineLevel="1" thickBot="1" x14ac:dyDescent="0.4">
      <c r="A152" s="333"/>
      <c r="B152" s="339"/>
      <c r="C152" s="180" t="s">
        <v>173</v>
      </c>
      <c r="D152" s="182">
        <f>PRODUCT('Rollen-Prozess-Matrix'!H14,'Kompetenz-Prozess-Matrix'!H18)</f>
        <v>0</v>
      </c>
      <c r="E152" s="183">
        <f>PRODUCT('Rollen-Prozess-Matrix'!I14,'Kompetenz-Prozess-Matrix'!H18)</f>
        <v>0</v>
      </c>
      <c r="F152" s="183">
        <f>PRODUCT('Rollen-Prozess-Matrix'!J14,'Kompetenz-Prozess-Matrix'!H18)</f>
        <v>0</v>
      </c>
      <c r="G152" s="183">
        <f>PRODUCT('Rollen-Prozess-Matrix'!K14,'Kompetenz-Prozess-Matrix'!H18)</f>
        <v>0</v>
      </c>
      <c r="H152" s="183">
        <f>PRODUCT('Rollen-Prozess-Matrix'!L14,'Kompetenz-Prozess-Matrix'!H18)</f>
        <v>0</v>
      </c>
      <c r="I152" s="183">
        <f>PRODUCT('Rollen-Prozess-Matrix'!M14,'Kompetenz-Prozess-Matrix'!H18)</f>
        <v>0</v>
      </c>
      <c r="J152" s="183">
        <f>PRODUCT('Rollen-Prozess-Matrix'!N14,'Kompetenz-Prozess-Matrix'!H18)</f>
        <v>0</v>
      </c>
      <c r="K152" s="183">
        <f>PRODUCT('Rollen-Prozess-Matrix'!O14,'Kompetenz-Prozess-Matrix'!H18)</f>
        <v>0</v>
      </c>
      <c r="L152" s="183">
        <f>PRODUCT('Rollen-Prozess-Matrix'!P14,'Kompetenz-Prozess-Matrix'!H18)</f>
        <v>0</v>
      </c>
      <c r="M152" s="183">
        <f>PRODUCT('Rollen-Prozess-Matrix'!Q14,'Kompetenz-Prozess-Matrix'!H18)</f>
        <v>0</v>
      </c>
      <c r="N152" s="183">
        <f>PRODUCT('Rollen-Prozess-Matrix'!R14,'Kompetenz-Prozess-Matrix'!H18)</f>
        <v>0</v>
      </c>
      <c r="O152" s="183">
        <f>PRODUCT('Rollen-Prozess-Matrix'!S14,'Kompetenz-Prozess-Matrix'!H18)</f>
        <v>0</v>
      </c>
      <c r="P152" s="183">
        <f>PRODUCT('Rollen-Prozess-Matrix'!T14,'Kompetenz-Prozess-Matrix'!H18)</f>
        <v>0</v>
      </c>
      <c r="Q152" s="185">
        <f>PRODUCT('Rollen-Prozess-Matrix'!U14,'Kompetenz-Prozess-Matrix'!H18)</f>
        <v>0</v>
      </c>
    </row>
    <row r="153" spans="1:17" ht="38.65" hidden="1" outlineLevel="1" thickBot="1" x14ac:dyDescent="0.4">
      <c r="A153" s="333"/>
      <c r="B153" s="339"/>
      <c r="C153" s="180" t="s">
        <v>177</v>
      </c>
      <c r="D153" s="182">
        <f>PRODUCT('Rollen-Prozess-Matrix'!H15,'Kompetenz-Prozess-Matrix'!H19)</f>
        <v>0</v>
      </c>
      <c r="E153" s="183">
        <f>PRODUCT('Rollen-Prozess-Matrix'!I15,'Kompetenz-Prozess-Matrix'!H19)</f>
        <v>1</v>
      </c>
      <c r="F153" s="183">
        <f>PRODUCT('Rollen-Prozess-Matrix'!J15,'Kompetenz-Prozess-Matrix'!H19)</f>
        <v>2</v>
      </c>
      <c r="G153" s="183">
        <f>PRODUCT('Rollen-Prozess-Matrix'!K15,'Kompetenz-Prozess-Matrix'!H19)</f>
        <v>0</v>
      </c>
      <c r="H153" s="183">
        <f>PRODUCT('Rollen-Prozess-Matrix'!L15,'Kompetenz-Prozess-Matrix'!H19)</f>
        <v>3</v>
      </c>
      <c r="I153" s="183">
        <f>PRODUCT('Rollen-Prozess-Matrix'!M15,'Kompetenz-Prozess-Matrix'!H19)</f>
        <v>1</v>
      </c>
      <c r="J153" s="183">
        <f>PRODUCT('Rollen-Prozess-Matrix'!N15,'Kompetenz-Prozess-Matrix'!H19)</f>
        <v>1</v>
      </c>
      <c r="K153" s="183">
        <f>PRODUCT('Rollen-Prozess-Matrix'!O15,'Kompetenz-Prozess-Matrix'!H19)</f>
        <v>0</v>
      </c>
      <c r="L153" s="183">
        <f>PRODUCT('Rollen-Prozess-Matrix'!P15,'Kompetenz-Prozess-Matrix'!H19)</f>
        <v>1</v>
      </c>
      <c r="M153" s="183">
        <f>PRODUCT('Rollen-Prozess-Matrix'!Q15,'Kompetenz-Prozess-Matrix'!H19)</f>
        <v>0</v>
      </c>
      <c r="N153" s="183">
        <f>PRODUCT('Rollen-Prozess-Matrix'!R15,'Kompetenz-Prozess-Matrix'!H19)</f>
        <v>0</v>
      </c>
      <c r="O153" s="183">
        <f>PRODUCT('Rollen-Prozess-Matrix'!S15,'Kompetenz-Prozess-Matrix'!H19)</f>
        <v>0</v>
      </c>
      <c r="P153" s="183">
        <f>PRODUCT('Rollen-Prozess-Matrix'!T15,'Kompetenz-Prozess-Matrix'!H19)</f>
        <v>0</v>
      </c>
      <c r="Q153" s="185">
        <f>PRODUCT('Rollen-Prozess-Matrix'!U15,'Kompetenz-Prozess-Matrix'!H19)</f>
        <v>0</v>
      </c>
    </row>
    <row r="154" spans="1:17" ht="13.15" hidden="1" outlineLevel="1" thickBot="1" x14ac:dyDescent="0.4">
      <c r="A154" s="333"/>
      <c r="B154" s="339"/>
      <c r="C154" s="180" t="s">
        <v>181</v>
      </c>
      <c r="D154" s="182">
        <f>PRODUCT('Rollen-Prozess-Matrix'!H16,'Kompetenz-Prozess-Matrix'!H20)</f>
        <v>0</v>
      </c>
      <c r="E154" s="183">
        <f>PRODUCT('Rollen-Prozess-Matrix'!I16,'Kompetenz-Prozess-Matrix'!H20)</f>
        <v>0</v>
      </c>
      <c r="F154" s="183">
        <f>PRODUCT('Rollen-Prozess-Matrix'!J16,'Kompetenz-Prozess-Matrix'!H20)</f>
        <v>0</v>
      </c>
      <c r="G154" s="183">
        <f>PRODUCT('Rollen-Prozess-Matrix'!K16,'Kompetenz-Prozess-Matrix'!H20)</f>
        <v>0</v>
      </c>
      <c r="H154" s="183">
        <f>PRODUCT('Rollen-Prozess-Matrix'!L16,'Kompetenz-Prozess-Matrix'!H20)</f>
        <v>0</v>
      </c>
      <c r="I154" s="183">
        <f>PRODUCT('Rollen-Prozess-Matrix'!M16,'Kompetenz-Prozess-Matrix'!H20)</f>
        <v>0</v>
      </c>
      <c r="J154" s="183">
        <f>PRODUCT('Rollen-Prozess-Matrix'!N16,'Kompetenz-Prozess-Matrix'!H20)</f>
        <v>0</v>
      </c>
      <c r="K154" s="183">
        <f>PRODUCT('Rollen-Prozess-Matrix'!O16,'Kompetenz-Prozess-Matrix'!H20)</f>
        <v>0</v>
      </c>
      <c r="L154" s="183">
        <f>PRODUCT('Rollen-Prozess-Matrix'!P16,'Kompetenz-Prozess-Matrix'!H20)</f>
        <v>0</v>
      </c>
      <c r="M154" s="183">
        <f>PRODUCT('Rollen-Prozess-Matrix'!Q16,'Kompetenz-Prozess-Matrix'!H20)</f>
        <v>0</v>
      </c>
      <c r="N154" s="183">
        <f>PRODUCT('Rollen-Prozess-Matrix'!R16,'Kompetenz-Prozess-Matrix'!H20)</f>
        <v>0</v>
      </c>
      <c r="O154" s="183">
        <f>PRODUCT('Rollen-Prozess-Matrix'!S16,'Kompetenz-Prozess-Matrix'!H20)</f>
        <v>0</v>
      </c>
      <c r="P154" s="183">
        <f>PRODUCT('Rollen-Prozess-Matrix'!T16,'Kompetenz-Prozess-Matrix'!H20)</f>
        <v>0</v>
      </c>
      <c r="Q154" s="185">
        <f>PRODUCT('Rollen-Prozess-Matrix'!U16,'Kompetenz-Prozess-Matrix'!H20)</f>
        <v>0</v>
      </c>
    </row>
    <row r="155" spans="1:17" ht="38.65" hidden="1" outlineLevel="1" thickBot="1" x14ac:dyDescent="0.4">
      <c r="A155" s="333"/>
      <c r="B155" s="339"/>
      <c r="C155" s="180" t="s">
        <v>185</v>
      </c>
      <c r="D155" s="182">
        <f>PRODUCT('Rollen-Prozess-Matrix'!H17,'Kompetenz-Prozess-Matrix'!H21)</f>
        <v>0</v>
      </c>
      <c r="E155" s="183">
        <f>PRODUCT('Rollen-Prozess-Matrix'!I17,'Kompetenz-Prozess-Matrix'!H21)</f>
        <v>2</v>
      </c>
      <c r="F155" s="183">
        <f>PRODUCT('Rollen-Prozess-Matrix'!J17,'Kompetenz-Prozess-Matrix'!H21)</f>
        <v>2</v>
      </c>
      <c r="G155" s="183">
        <f>PRODUCT('Rollen-Prozess-Matrix'!K17,'Kompetenz-Prozess-Matrix'!H21)</f>
        <v>0</v>
      </c>
      <c r="H155" s="183">
        <f>PRODUCT('Rollen-Prozess-Matrix'!L17,'Kompetenz-Prozess-Matrix'!H21)</f>
        <v>6</v>
      </c>
      <c r="I155" s="183">
        <f>PRODUCT('Rollen-Prozess-Matrix'!M17,'Kompetenz-Prozess-Matrix'!H21)</f>
        <v>0</v>
      </c>
      <c r="J155" s="183">
        <f>PRODUCT('Rollen-Prozess-Matrix'!N17,'Kompetenz-Prozess-Matrix'!H21)</f>
        <v>0</v>
      </c>
      <c r="K155" s="183">
        <f>PRODUCT('Rollen-Prozess-Matrix'!O17,'Kompetenz-Prozess-Matrix'!H21)</f>
        <v>0</v>
      </c>
      <c r="L155" s="183">
        <f>PRODUCT('Rollen-Prozess-Matrix'!P17,'Kompetenz-Prozess-Matrix'!H21)</f>
        <v>4</v>
      </c>
      <c r="M155" s="183">
        <f>PRODUCT('Rollen-Prozess-Matrix'!Q17,'Kompetenz-Prozess-Matrix'!H21)</f>
        <v>0</v>
      </c>
      <c r="N155" s="183">
        <f>PRODUCT('Rollen-Prozess-Matrix'!R17,'Kompetenz-Prozess-Matrix'!H21)</f>
        <v>0</v>
      </c>
      <c r="O155" s="183">
        <f>PRODUCT('Rollen-Prozess-Matrix'!S17,'Kompetenz-Prozess-Matrix'!H21)</f>
        <v>4</v>
      </c>
      <c r="P155" s="183">
        <f>PRODUCT('Rollen-Prozess-Matrix'!T17,'Kompetenz-Prozess-Matrix'!H21)</f>
        <v>0</v>
      </c>
      <c r="Q155" s="185">
        <f>PRODUCT('Rollen-Prozess-Matrix'!U17,'Kompetenz-Prozess-Matrix'!H21)</f>
        <v>0</v>
      </c>
    </row>
    <row r="156" spans="1:17" ht="51.4" hidden="1" outlineLevel="1" thickBot="1" x14ac:dyDescent="0.4">
      <c r="A156" s="333"/>
      <c r="B156" s="339"/>
      <c r="C156" s="180" t="s">
        <v>190</v>
      </c>
      <c r="D156" s="182">
        <f>PRODUCT('Rollen-Prozess-Matrix'!H18,'Kompetenz-Prozess-Matrix'!H22)</f>
        <v>0</v>
      </c>
      <c r="E156" s="183">
        <f>PRODUCT('Rollen-Prozess-Matrix'!I18,'Kompetenz-Prozess-Matrix'!H22)</f>
        <v>4</v>
      </c>
      <c r="F156" s="183">
        <f>PRODUCT('Rollen-Prozess-Matrix'!J18,'Kompetenz-Prozess-Matrix'!H22)</f>
        <v>0</v>
      </c>
      <c r="G156" s="183">
        <f>PRODUCT('Rollen-Prozess-Matrix'!K18,'Kompetenz-Prozess-Matrix'!H22)</f>
        <v>0</v>
      </c>
      <c r="H156" s="183">
        <f>PRODUCT('Rollen-Prozess-Matrix'!L18,'Kompetenz-Prozess-Matrix'!H22)</f>
        <v>6</v>
      </c>
      <c r="I156" s="183">
        <f>PRODUCT('Rollen-Prozess-Matrix'!M18,'Kompetenz-Prozess-Matrix'!H22)</f>
        <v>0</v>
      </c>
      <c r="J156" s="183">
        <f>PRODUCT('Rollen-Prozess-Matrix'!N18,'Kompetenz-Prozess-Matrix'!H22)</f>
        <v>0</v>
      </c>
      <c r="K156" s="183">
        <f>PRODUCT('Rollen-Prozess-Matrix'!O18,'Kompetenz-Prozess-Matrix'!H22)</f>
        <v>0</v>
      </c>
      <c r="L156" s="183">
        <f>PRODUCT('Rollen-Prozess-Matrix'!P18,'Kompetenz-Prozess-Matrix'!H22)</f>
        <v>0</v>
      </c>
      <c r="M156" s="183">
        <f>PRODUCT('Rollen-Prozess-Matrix'!Q18,'Kompetenz-Prozess-Matrix'!H22)</f>
        <v>0</v>
      </c>
      <c r="N156" s="183">
        <f>PRODUCT('Rollen-Prozess-Matrix'!R18,'Kompetenz-Prozess-Matrix'!H22)</f>
        <v>0</v>
      </c>
      <c r="O156" s="183">
        <f>PRODUCT('Rollen-Prozess-Matrix'!S18,'Kompetenz-Prozess-Matrix'!H22)</f>
        <v>0</v>
      </c>
      <c r="P156" s="183">
        <f>PRODUCT('Rollen-Prozess-Matrix'!T18,'Kompetenz-Prozess-Matrix'!H22)</f>
        <v>4</v>
      </c>
      <c r="Q156" s="185">
        <f>PRODUCT('Rollen-Prozess-Matrix'!U18,'Kompetenz-Prozess-Matrix'!H22)</f>
        <v>2</v>
      </c>
    </row>
    <row r="157" spans="1:17" ht="64.150000000000006" hidden="1" outlineLevel="1" thickBot="1" x14ac:dyDescent="0.4">
      <c r="A157" s="333"/>
      <c r="B157" s="339"/>
      <c r="C157" s="180" t="s">
        <v>194</v>
      </c>
      <c r="D157" s="182">
        <f>PRODUCT('Rollen-Prozess-Matrix'!H19,'Kompetenz-Prozess-Matrix'!H23)</f>
        <v>0</v>
      </c>
      <c r="E157" s="183">
        <f>PRODUCT('Rollen-Prozess-Matrix'!I19,'Kompetenz-Prozess-Matrix'!H23)</f>
        <v>4</v>
      </c>
      <c r="F157" s="183">
        <f>PRODUCT('Rollen-Prozess-Matrix'!J19,'Kompetenz-Prozess-Matrix'!H23)</f>
        <v>0</v>
      </c>
      <c r="G157" s="183">
        <f>PRODUCT('Rollen-Prozess-Matrix'!K19,'Kompetenz-Prozess-Matrix'!H23)</f>
        <v>0</v>
      </c>
      <c r="H157" s="183">
        <f>PRODUCT('Rollen-Prozess-Matrix'!L19,'Kompetenz-Prozess-Matrix'!H23)</f>
        <v>6</v>
      </c>
      <c r="I157" s="183">
        <f>PRODUCT('Rollen-Prozess-Matrix'!M19,'Kompetenz-Prozess-Matrix'!H23)</f>
        <v>2</v>
      </c>
      <c r="J157" s="183">
        <f>PRODUCT('Rollen-Prozess-Matrix'!N19,'Kompetenz-Prozess-Matrix'!H23)</f>
        <v>0</v>
      </c>
      <c r="K157" s="183">
        <f>PRODUCT('Rollen-Prozess-Matrix'!O19,'Kompetenz-Prozess-Matrix'!H23)</f>
        <v>0</v>
      </c>
      <c r="L157" s="183">
        <f>PRODUCT('Rollen-Prozess-Matrix'!P19,'Kompetenz-Prozess-Matrix'!H23)</f>
        <v>2</v>
      </c>
      <c r="M157" s="183">
        <f>PRODUCT('Rollen-Prozess-Matrix'!Q19,'Kompetenz-Prozess-Matrix'!H23)</f>
        <v>0</v>
      </c>
      <c r="N157" s="183">
        <f>PRODUCT('Rollen-Prozess-Matrix'!R19,'Kompetenz-Prozess-Matrix'!H23)</f>
        <v>0</v>
      </c>
      <c r="O157" s="183">
        <f>PRODUCT('Rollen-Prozess-Matrix'!S19,'Kompetenz-Prozess-Matrix'!H23)</f>
        <v>0</v>
      </c>
      <c r="P157" s="183">
        <f>PRODUCT('Rollen-Prozess-Matrix'!T19,'Kompetenz-Prozess-Matrix'!H23)</f>
        <v>0</v>
      </c>
      <c r="Q157" s="185">
        <f>PRODUCT('Rollen-Prozess-Matrix'!U19,'Kompetenz-Prozess-Matrix'!H23)</f>
        <v>0</v>
      </c>
    </row>
    <row r="158" spans="1:17" ht="64.150000000000006" hidden="1" outlineLevel="1" thickBot="1" x14ac:dyDescent="0.4">
      <c r="A158" s="333"/>
      <c r="B158" s="339"/>
      <c r="C158" s="180" t="s">
        <v>201</v>
      </c>
      <c r="D158" s="182">
        <f>PRODUCT('Rollen-Prozess-Matrix'!H20,'Kompetenz-Prozess-Matrix'!H24)</f>
        <v>0</v>
      </c>
      <c r="E158" s="183">
        <f>PRODUCT('Rollen-Prozess-Matrix'!I20,'Kompetenz-Prozess-Matrix'!H24)</f>
        <v>4</v>
      </c>
      <c r="F158" s="183">
        <f>PRODUCT('Rollen-Prozess-Matrix'!J20,'Kompetenz-Prozess-Matrix'!H24)</f>
        <v>0</v>
      </c>
      <c r="G158" s="183">
        <f>PRODUCT('Rollen-Prozess-Matrix'!K20,'Kompetenz-Prozess-Matrix'!H24)</f>
        <v>0</v>
      </c>
      <c r="H158" s="183">
        <f>PRODUCT('Rollen-Prozess-Matrix'!L20,'Kompetenz-Prozess-Matrix'!H24)</f>
        <v>6</v>
      </c>
      <c r="I158" s="183">
        <f>PRODUCT('Rollen-Prozess-Matrix'!M20,'Kompetenz-Prozess-Matrix'!H24)</f>
        <v>4</v>
      </c>
      <c r="J158" s="183">
        <f>PRODUCT('Rollen-Prozess-Matrix'!N20,'Kompetenz-Prozess-Matrix'!H24)</f>
        <v>2</v>
      </c>
      <c r="K158" s="183">
        <f>PRODUCT('Rollen-Prozess-Matrix'!O20,'Kompetenz-Prozess-Matrix'!H24)</f>
        <v>0</v>
      </c>
      <c r="L158" s="183">
        <f>PRODUCT('Rollen-Prozess-Matrix'!P20,'Kompetenz-Prozess-Matrix'!H24)</f>
        <v>2</v>
      </c>
      <c r="M158" s="183">
        <f>PRODUCT('Rollen-Prozess-Matrix'!Q20,'Kompetenz-Prozess-Matrix'!H24)</f>
        <v>0</v>
      </c>
      <c r="N158" s="183">
        <f>PRODUCT('Rollen-Prozess-Matrix'!R20,'Kompetenz-Prozess-Matrix'!H24)</f>
        <v>0</v>
      </c>
      <c r="O158" s="183">
        <f>PRODUCT('Rollen-Prozess-Matrix'!S20,'Kompetenz-Prozess-Matrix'!H24)</f>
        <v>0</v>
      </c>
      <c r="P158" s="183">
        <f>PRODUCT('Rollen-Prozess-Matrix'!T20,'Kompetenz-Prozess-Matrix'!H24)</f>
        <v>0</v>
      </c>
      <c r="Q158" s="185">
        <f>PRODUCT('Rollen-Prozess-Matrix'!U20,'Kompetenz-Prozess-Matrix'!H24)</f>
        <v>0</v>
      </c>
    </row>
    <row r="159" spans="1:17" ht="51.4" hidden="1" outlineLevel="1" thickBot="1" x14ac:dyDescent="0.4">
      <c r="A159" s="333"/>
      <c r="B159" s="339"/>
      <c r="C159" s="180" t="s">
        <v>205</v>
      </c>
      <c r="D159" s="182">
        <f>PRODUCT('Rollen-Prozess-Matrix'!H21,'Kompetenz-Prozess-Matrix'!H25)</f>
        <v>0</v>
      </c>
      <c r="E159" s="183">
        <f>PRODUCT('Rollen-Prozess-Matrix'!I21,'Kompetenz-Prozess-Matrix'!H25)</f>
        <v>1</v>
      </c>
      <c r="F159" s="183">
        <f>PRODUCT('Rollen-Prozess-Matrix'!J21,'Kompetenz-Prozess-Matrix'!H25)</f>
        <v>0</v>
      </c>
      <c r="G159" s="183">
        <f>PRODUCT('Rollen-Prozess-Matrix'!K21,'Kompetenz-Prozess-Matrix'!H25)</f>
        <v>0</v>
      </c>
      <c r="H159" s="183">
        <f>PRODUCT('Rollen-Prozess-Matrix'!L21,'Kompetenz-Prozess-Matrix'!H25)</f>
        <v>3</v>
      </c>
      <c r="I159" s="183">
        <f>PRODUCT('Rollen-Prozess-Matrix'!M21,'Kompetenz-Prozess-Matrix'!H25)</f>
        <v>2</v>
      </c>
      <c r="J159" s="183">
        <f>PRODUCT('Rollen-Prozess-Matrix'!N21,'Kompetenz-Prozess-Matrix'!H25)</f>
        <v>1</v>
      </c>
      <c r="K159" s="183">
        <f>PRODUCT('Rollen-Prozess-Matrix'!O21,'Kompetenz-Prozess-Matrix'!H25)</f>
        <v>0</v>
      </c>
      <c r="L159" s="183">
        <f>PRODUCT('Rollen-Prozess-Matrix'!P21,'Kompetenz-Prozess-Matrix'!H25)</f>
        <v>0</v>
      </c>
      <c r="M159" s="183">
        <f>PRODUCT('Rollen-Prozess-Matrix'!Q21,'Kompetenz-Prozess-Matrix'!H25)</f>
        <v>0</v>
      </c>
      <c r="N159" s="183">
        <f>PRODUCT('Rollen-Prozess-Matrix'!R21,'Kompetenz-Prozess-Matrix'!H25)</f>
        <v>0</v>
      </c>
      <c r="O159" s="183">
        <f>PRODUCT('Rollen-Prozess-Matrix'!S21,'Kompetenz-Prozess-Matrix'!H25)</f>
        <v>0</v>
      </c>
      <c r="P159" s="183">
        <f>PRODUCT('Rollen-Prozess-Matrix'!T21,'Kompetenz-Prozess-Matrix'!H25)</f>
        <v>0</v>
      </c>
      <c r="Q159" s="185">
        <f>PRODUCT('Rollen-Prozess-Matrix'!U21,'Kompetenz-Prozess-Matrix'!H25)</f>
        <v>0</v>
      </c>
    </row>
    <row r="160" spans="1:17" ht="38.65" hidden="1" outlineLevel="1" thickBot="1" x14ac:dyDescent="0.4">
      <c r="A160" s="333"/>
      <c r="B160" s="339"/>
      <c r="C160" s="180" t="s">
        <v>209</v>
      </c>
      <c r="D160" s="182">
        <f>PRODUCT('Rollen-Prozess-Matrix'!H22,'Kompetenz-Prozess-Matrix'!H26)</f>
        <v>0</v>
      </c>
      <c r="E160" s="183">
        <f>PRODUCT('Rollen-Prozess-Matrix'!I22,'Kompetenz-Prozess-Matrix'!H26)</f>
        <v>0</v>
      </c>
      <c r="F160" s="183">
        <f>PRODUCT('Rollen-Prozess-Matrix'!J22,'Kompetenz-Prozess-Matrix'!H26)</f>
        <v>0</v>
      </c>
      <c r="G160" s="183">
        <f>PRODUCT('Rollen-Prozess-Matrix'!K22,'Kompetenz-Prozess-Matrix'!H26)</f>
        <v>0</v>
      </c>
      <c r="H160" s="183">
        <f>PRODUCT('Rollen-Prozess-Matrix'!L22,'Kompetenz-Prozess-Matrix'!H26)</f>
        <v>0</v>
      </c>
      <c r="I160" s="183">
        <f>PRODUCT('Rollen-Prozess-Matrix'!M22,'Kompetenz-Prozess-Matrix'!H26)</f>
        <v>0</v>
      </c>
      <c r="J160" s="183">
        <f>PRODUCT('Rollen-Prozess-Matrix'!N22,'Kompetenz-Prozess-Matrix'!H26)</f>
        <v>0</v>
      </c>
      <c r="K160" s="183">
        <f>PRODUCT('Rollen-Prozess-Matrix'!O22,'Kompetenz-Prozess-Matrix'!H26)</f>
        <v>0</v>
      </c>
      <c r="L160" s="183">
        <f>PRODUCT('Rollen-Prozess-Matrix'!P22,'Kompetenz-Prozess-Matrix'!H26)</f>
        <v>0</v>
      </c>
      <c r="M160" s="183">
        <f>PRODUCT('Rollen-Prozess-Matrix'!Q22,'Kompetenz-Prozess-Matrix'!H26)</f>
        <v>0</v>
      </c>
      <c r="N160" s="183">
        <f>PRODUCT('Rollen-Prozess-Matrix'!R22,'Kompetenz-Prozess-Matrix'!H26)</f>
        <v>0</v>
      </c>
      <c r="O160" s="183">
        <f>PRODUCT('Rollen-Prozess-Matrix'!S22,'Kompetenz-Prozess-Matrix'!H26)</f>
        <v>0</v>
      </c>
      <c r="P160" s="183">
        <f>PRODUCT('Rollen-Prozess-Matrix'!T22,'Kompetenz-Prozess-Matrix'!H26)</f>
        <v>0</v>
      </c>
      <c r="Q160" s="185">
        <f>PRODUCT('Rollen-Prozess-Matrix'!U22,'Kompetenz-Prozess-Matrix'!H26)</f>
        <v>0</v>
      </c>
    </row>
    <row r="161" spans="1:19" ht="38.65" hidden="1" outlineLevel="1" thickBot="1" x14ac:dyDescent="0.4">
      <c r="A161" s="333"/>
      <c r="B161" s="339"/>
      <c r="C161" s="180" t="s">
        <v>213</v>
      </c>
      <c r="D161" s="182">
        <f>PRODUCT('Rollen-Prozess-Matrix'!H23,'Kompetenz-Prozess-Matrix'!H27)</f>
        <v>0</v>
      </c>
      <c r="E161" s="183">
        <f>PRODUCT('Rollen-Prozess-Matrix'!I23,'Kompetenz-Prozess-Matrix'!H27)</f>
        <v>0</v>
      </c>
      <c r="F161" s="183">
        <f>PRODUCT('Rollen-Prozess-Matrix'!J23,'Kompetenz-Prozess-Matrix'!H27)</f>
        <v>0</v>
      </c>
      <c r="G161" s="183">
        <f>PRODUCT('Rollen-Prozess-Matrix'!K23,'Kompetenz-Prozess-Matrix'!H27)</f>
        <v>0</v>
      </c>
      <c r="H161" s="183">
        <f>PRODUCT('Rollen-Prozess-Matrix'!L23,'Kompetenz-Prozess-Matrix'!H27)</f>
        <v>0</v>
      </c>
      <c r="I161" s="183">
        <f>PRODUCT('Rollen-Prozess-Matrix'!M23,'Kompetenz-Prozess-Matrix'!H27)</f>
        <v>0</v>
      </c>
      <c r="J161" s="183">
        <f>PRODUCT('Rollen-Prozess-Matrix'!N23,'Kompetenz-Prozess-Matrix'!H27)</f>
        <v>0</v>
      </c>
      <c r="K161" s="183">
        <f>PRODUCT('Rollen-Prozess-Matrix'!O23,'Kompetenz-Prozess-Matrix'!H27)</f>
        <v>0</v>
      </c>
      <c r="L161" s="183">
        <f>PRODUCT('Rollen-Prozess-Matrix'!P23,'Kompetenz-Prozess-Matrix'!H27)</f>
        <v>0</v>
      </c>
      <c r="M161" s="183">
        <f>PRODUCT('Rollen-Prozess-Matrix'!Q23,'Kompetenz-Prozess-Matrix'!H27)</f>
        <v>0</v>
      </c>
      <c r="N161" s="183">
        <f>PRODUCT('Rollen-Prozess-Matrix'!R23,'Kompetenz-Prozess-Matrix'!H27)</f>
        <v>0</v>
      </c>
      <c r="O161" s="183">
        <f>PRODUCT('Rollen-Prozess-Matrix'!S23,'Kompetenz-Prozess-Matrix'!H27)</f>
        <v>0</v>
      </c>
      <c r="P161" s="183">
        <f>PRODUCT('Rollen-Prozess-Matrix'!T23,'Kompetenz-Prozess-Matrix'!H27)</f>
        <v>0</v>
      </c>
      <c r="Q161" s="185">
        <f>PRODUCT('Rollen-Prozess-Matrix'!U23,'Kompetenz-Prozess-Matrix'!H27)</f>
        <v>0</v>
      </c>
    </row>
    <row r="162" spans="1:19" ht="38.65" hidden="1" outlineLevel="1" thickBot="1" x14ac:dyDescent="0.4">
      <c r="A162" s="333"/>
      <c r="B162" s="339"/>
      <c r="C162" s="180" t="s">
        <v>217</v>
      </c>
      <c r="D162" s="182">
        <f>PRODUCT('Rollen-Prozess-Matrix'!H24,'Kompetenz-Prozess-Matrix'!H28)</f>
        <v>0</v>
      </c>
      <c r="E162" s="183">
        <f>PRODUCT('Rollen-Prozess-Matrix'!I24,'Kompetenz-Prozess-Matrix'!H28)</f>
        <v>0</v>
      </c>
      <c r="F162" s="183">
        <f>PRODUCT('Rollen-Prozess-Matrix'!J24,'Kompetenz-Prozess-Matrix'!H28)</f>
        <v>0</v>
      </c>
      <c r="G162" s="183">
        <f>PRODUCT('Rollen-Prozess-Matrix'!K24,'Kompetenz-Prozess-Matrix'!H28)</f>
        <v>0</v>
      </c>
      <c r="H162" s="183">
        <f>PRODUCT('Rollen-Prozess-Matrix'!L24,'Kompetenz-Prozess-Matrix'!H28)</f>
        <v>0</v>
      </c>
      <c r="I162" s="183">
        <f>PRODUCT('Rollen-Prozess-Matrix'!M24,'Kompetenz-Prozess-Matrix'!H28)</f>
        <v>0</v>
      </c>
      <c r="J162" s="183">
        <f>PRODUCT('Rollen-Prozess-Matrix'!N24,'Kompetenz-Prozess-Matrix'!H28)</f>
        <v>0</v>
      </c>
      <c r="K162" s="183">
        <f>PRODUCT('Rollen-Prozess-Matrix'!O24,'Kompetenz-Prozess-Matrix'!H28)</f>
        <v>0</v>
      </c>
      <c r="L162" s="183">
        <f>PRODUCT('Rollen-Prozess-Matrix'!P24,'Kompetenz-Prozess-Matrix'!H28)</f>
        <v>0</v>
      </c>
      <c r="M162" s="183">
        <f>PRODUCT('Rollen-Prozess-Matrix'!Q24,'Kompetenz-Prozess-Matrix'!H28)</f>
        <v>0</v>
      </c>
      <c r="N162" s="183">
        <f>PRODUCT('Rollen-Prozess-Matrix'!R24,'Kompetenz-Prozess-Matrix'!H28)</f>
        <v>0</v>
      </c>
      <c r="O162" s="183">
        <f>PRODUCT('Rollen-Prozess-Matrix'!S24,'Kompetenz-Prozess-Matrix'!H28)</f>
        <v>0</v>
      </c>
      <c r="P162" s="183">
        <f>PRODUCT('Rollen-Prozess-Matrix'!T24,'Kompetenz-Prozess-Matrix'!H28)</f>
        <v>0</v>
      </c>
      <c r="Q162" s="185">
        <f>PRODUCT('Rollen-Prozess-Matrix'!U24,'Kompetenz-Prozess-Matrix'!H28)</f>
        <v>0</v>
      </c>
    </row>
    <row r="163" spans="1:19" ht="38.65" hidden="1" outlineLevel="1" thickBot="1" x14ac:dyDescent="0.4">
      <c r="A163" s="333"/>
      <c r="B163" s="339"/>
      <c r="C163" s="180" t="s">
        <v>223</v>
      </c>
      <c r="D163" s="182">
        <f>PRODUCT('Rollen-Prozess-Matrix'!H25,'Kompetenz-Prozess-Matrix'!H29)</f>
        <v>0</v>
      </c>
      <c r="E163" s="183">
        <f>PRODUCT('Rollen-Prozess-Matrix'!I25,'Kompetenz-Prozess-Matrix'!H29)</f>
        <v>0</v>
      </c>
      <c r="F163" s="183">
        <f>PRODUCT('Rollen-Prozess-Matrix'!J25,'Kompetenz-Prozess-Matrix'!H29)</f>
        <v>0</v>
      </c>
      <c r="G163" s="183">
        <f>PRODUCT('Rollen-Prozess-Matrix'!K25,'Kompetenz-Prozess-Matrix'!H29)</f>
        <v>0</v>
      </c>
      <c r="H163" s="183">
        <f>PRODUCT('Rollen-Prozess-Matrix'!L25,'Kompetenz-Prozess-Matrix'!H29)</f>
        <v>0</v>
      </c>
      <c r="I163" s="183">
        <f>PRODUCT('Rollen-Prozess-Matrix'!M25,'Kompetenz-Prozess-Matrix'!H29)</f>
        <v>0</v>
      </c>
      <c r="J163" s="183">
        <f>PRODUCT('Rollen-Prozess-Matrix'!N25,'Kompetenz-Prozess-Matrix'!H29)</f>
        <v>0</v>
      </c>
      <c r="K163" s="183">
        <f>PRODUCT('Rollen-Prozess-Matrix'!O25,'Kompetenz-Prozess-Matrix'!H29)</f>
        <v>0</v>
      </c>
      <c r="L163" s="183">
        <f>PRODUCT('Rollen-Prozess-Matrix'!P25,'Kompetenz-Prozess-Matrix'!H29)</f>
        <v>0</v>
      </c>
      <c r="M163" s="183">
        <f>PRODUCT('Rollen-Prozess-Matrix'!Q25,'Kompetenz-Prozess-Matrix'!H29)</f>
        <v>0</v>
      </c>
      <c r="N163" s="183">
        <f>PRODUCT('Rollen-Prozess-Matrix'!R25,'Kompetenz-Prozess-Matrix'!H29)</f>
        <v>0</v>
      </c>
      <c r="O163" s="183">
        <f>PRODUCT('Rollen-Prozess-Matrix'!S25,'Kompetenz-Prozess-Matrix'!H29)</f>
        <v>0</v>
      </c>
      <c r="P163" s="183">
        <f>PRODUCT('Rollen-Prozess-Matrix'!T25,'Kompetenz-Prozess-Matrix'!H29)</f>
        <v>0</v>
      </c>
      <c r="Q163" s="185">
        <f>PRODUCT('Rollen-Prozess-Matrix'!U25,'Kompetenz-Prozess-Matrix'!H29)</f>
        <v>0</v>
      </c>
    </row>
    <row r="164" spans="1:19" ht="38.65" hidden="1" outlineLevel="1" thickBot="1" x14ac:dyDescent="0.4">
      <c r="A164" s="333"/>
      <c r="B164" s="339"/>
      <c r="C164" s="180" t="s">
        <v>229</v>
      </c>
      <c r="D164" s="182">
        <f>PRODUCT('Rollen-Prozess-Matrix'!H26,'Kompetenz-Prozess-Matrix'!H30)</f>
        <v>0</v>
      </c>
      <c r="E164" s="183">
        <f>PRODUCT('Rollen-Prozess-Matrix'!I26,'Kompetenz-Prozess-Matrix'!H30)</f>
        <v>1</v>
      </c>
      <c r="F164" s="183">
        <f>PRODUCT('Rollen-Prozess-Matrix'!J26,'Kompetenz-Prozess-Matrix'!H30)</f>
        <v>0</v>
      </c>
      <c r="G164" s="183">
        <f>PRODUCT('Rollen-Prozess-Matrix'!K26,'Kompetenz-Prozess-Matrix'!H30)</f>
        <v>0</v>
      </c>
      <c r="H164" s="183">
        <f>PRODUCT('Rollen-Prozess-Matrix'!L26,'Kompetenz-Prozess-Matrix'!H30)</f>
        <v>3</v>
      </c>
      <c r="I164" s="183">
        <f>PRODUCT('Rollen-Prozess-Matrix'!M26,'Kompetenz-Prozess-Matrix'!H30)</f>
        <v>1</v>
      </c>
      <c r="J164" s="183">
        <f>PRODUCT('Rollen-Prozess-Matrix'!N26,'Kompetenz-Prozess-Matrix'!H30)</f>
        <v>1</v>
      </c>
      <c r="K164" s="183">
        <f>PRODUCT('Rollen-Prozess-Matrix'!O26,'Kompetenz-Prozess-Matrix'!H30)</f>
        <v>0</v>
      </c>
      <c r="L164" s="183">
        <f>PRODUCT('Rollen-Prozess-Matrix'!P26,'Kompetenz-Prozess-Matrix'!H30)</f>
        <v>2</v>
      </c>
      <c r="M164" s="183">
        <f>PRODUCT('Rollen-Prozess-Matrix'!Q26,'Kompetenz-Prozess-Matrix'!H30)</f>
        <v>0</v>
      </c>
      <c r="N164" s="183">
        <f>PRODUCT('Rollen-Prozess-Matrix'!R26,'Kompetenz-Prozess-Matrix'!H30)</f>
        <v>0</v>
      </c>
      <c r="O164" s="183">
        <f>PRODUCT('Rollen-Prozess-Matrix'!S26,'Kompetenz-Prozess-Matrix'!H30)</f>
        <v>1</v>
      </c>
      <c r="P164" s="183">
        <f>PRODUCT('Rollen-Prozess-Matrix'!T26,'Kompetenz-Prozess-Matrix'!H30)</f>
        <v>0</v>
      </c>
      <c r="Q164" s="185">
        <f>PRODUCT('Rollen-Prozess-Matrix'!U26,'Kompetenz-Prozess-Matrix'!H30)</f>
        <v>0</v>
      </c>
    </row>
    <row r="165" spans="1:19" ht="38.65" hidden="1" outlineLevel="1" thickBot="1" x14ac:dyDescent="0.4">
      <c r="A165" s="333"/>
      <c r="B165" s="339"/>
      <c r="C165" s="180" t="s">
        <v>235</v>
      </c>
      <c r="D165" s="182">
        <f>PRODUCT('Rollen-Prozess-Matrix'!H27,'Kompetenz-Prozess-Matrix'!H31)</f>
        <v>0</v>
      </c>
      <c r="E165" s="183">
        <f>PRODUCT('Rollen-Prozess-Matrix'!I27,'Kompetenz-Prozess-Matrix'!H31)</f>
        <v>0</v>
      </c>
      <c r="F165" s="183">
        <f>PRODUCT('Rollen-Prozess-Matrix'!J27,'Kompetenz-Prozess-Matrix'!H31)</f>
        <v>0</v>
      </c>
      <c r="G165" s="183">
        <f>PRODUCT('Rollen-Prozess-Matrix'!K27,'Kompetenz-Prozess-Matrix'!H31)</f>
        <v>0</v>
      </c>
      <c r="H165" s="183">
        <f>PRODUCT('Rollen-Prozess-Matrix'!L27,'Kompetenz-Prozess-Matrix'!H31)</f>
        <v>0</v>
      </c>
      <c r="I165" s="183">
        <f>PRODUCT('Rollen-Prozess-Matrix'!M27,'Kompetenz-Prozess-Matrix'!H31)</f>
        <v>0</v>
      </c>
      <c r="J165" s="183">
        <f>PRODUCT('Rollen-Prozess-Matrix'!N27,'Kompetenz-Prozess-Matrix'!H31)</f>
        <v>0</v>
      </c>
      <c r="K165" s="183">
        <f>PRODUCT('Rollen-Prozess-Matrix'!O27,'Kompetenz-Prozess-Matrix'!H31)</f>
        <v>0</v>
      </c>
      <c r="L165" s="183">
        <f>PRODUCT('Rollen-Prozess-Matrix'!P27,'Kompetenz-Prozess-Matrix'!H31)</f>
        <v>0</v>
      </c>
      <c r="M165" s="183">
        <f>PRODUCT('Rollen-Prozess-Matrix'!Q27,'Kompetenz-Prozess-Matrix'!H31)</f>
        <v>0</v>
      </c>
      <c r="N165" s="183">
        <f>PRODUCT('Rollen-Prozess-Matrix'!R27,'Kompetenz-Prozess-Matrix'!H31)</f>
        <v>0</v>
      </c>
      <c r="O165" s="183">
        <f>PRODUCT('Rollen-Prozess-Matrix'!S27,'Kompetenz-Prozess-Matrix'!H31)</f>
        <v>0</v>
      </c>
      <c r="P165" s="183">
        <f>PRODUCT('Rollen-Prozess-Matrix'!T27,'Kompetenz-Prozess-Matrix'!H31)</f>
        <v>0</v>
      </c>
      <c r="Q165" s="185">
        <f>PRODUCT('Rollen-Prozess-Matrix'!U27,'Kompetenz-Prozess-Matrix'!H31)</f>
        <v>0</v>
      </c>
    </row>
    <row r="166" spans="1:19" ht="38.65" hidden="1" outlineLevel="1" thickBot="1" x14ac:dyDescent="0.4">
      <c r="A166" s="333"/>
      <c r="B166" s="339"/>
      <c r="C166" s="180" t="s">
        <v>242</v>
      </c>
      <c r="D166" s="182">
        <f>PRODUCT('Rollen-Prozess-Matrix'!H28,'Kompetenz-Prozess-Matrix'!H32)</f>
        <v>1</v>
      </c>
      <c r="E166" s="183">
        <f>PRODUCT('Rollen-Prozess-Matrix'!I28,'Kompetenz-Prozess-Matrix'!H32)</f>
        <v>1</v>
      </c>
      <c r="F166" s="183">
        <f>PRODUCT('Rollen-Prozess-Matrix'!J28,'Kompetenz-Prozess-Matrix'!H32)</f>
        <v>0</v>
      </c>
      <c r="G166" s="183">
        <f>PRODUCT('Rollen-Prozess-Matrix'!K28,'Kompetenz-Prozess-Matrix'!H32)</f>
        <v>0</v>
      </c>
      <c r="H166" s="183">
        <f>PRODUCT('Rollen-Prozess-Matrix'!L28,'Kompetenz-Prozess-Matrix'!H32)</f>
        <v>3</v>
      </c>
      <c r="I166" s="183">
        <f>PRODUCT('Rollen-Prozess-Matrix'!M28,'Kompetenz-Prozess-Matrix'!H32)</f>
        <v>0</v>
      </c>
      <c r="J166" s="183">
        <f>PRODUCT('Rollen-Prozess-Matrix'!N28,'Kompetenz-Prozess-Matrix'!H32)</f>
        <v>0</v>
      </c>
      <c r="K166" s="183">
        <f>PRODUCT('Rollen-Prozess-Matrix'!O28,'Kompetenz-Prozess-Matrix'!H32)</f>
        <v>0</v>
      </c>
      <c r="L166" s="183">
        <f>PRODUCT('Rollen-Prozess-Matrix'!P28,'Kompetenz-Prozess-Matrix'!H32)</f>
        <v>2</v>
      </c>
      <c r="M166" s="183">
        <f>PRODUCT('Rollen-Prozess-Matrix'!Q28,'Kompetenz-Prozess-Matrix'!H32)</f>
        <v>0</v>
      </c>
      <c r="N166" s="183">
        <f>PRODUCT('Rollen-Prozess-Matrix'!R28,'Kompetenz-Prozess-Matrix'!H32)</f>
        <v>0</v>
      </c>
      <c r="O166" s="183">
        <f>PRODUCT('Rollen-Prozess-Matrix'!S28,'Kompetenz-Prozess-Matrix'!H32)</f>
        <v>1</v>
      </c>
      <c r="P166" s="183">
        <f>PRODUCT('Rollen-Prozess-Matrix'!T28,'Kompetenz-Prozess-Matrix'!H32)</f>
        <v>0</v>
      </c>
      <c r="Q166" s="185">
        <f>PRODUCT('Rollen-Prozess-Matrix'!U28,'Kompetenz-Prozess-Matrix'!H32)</f>
        <v>0</v>
      </c>
    </row>
    <row r="167" spans="1:19" ht="38.65" hidden="1" outlineLevel="1" thickBot="1" x14ac:dyDescent="0.4">
      <c r="A167" s="333"/>
      <c r="B167" s="339"/>
      <c r="C167" s="180" t="s">
        <v>248</v>
      </c>
      <c r="D167" s="182">
        <f>PRODUCT('Rollen-Prozess-Matrix'!H29,'Kompetenz-Prozess-Matrix'!H33)</f>
        <v>2</v>
      </c>
      <c r="E167" s="183">
        <f>PRODUCT('Rollen-Prozess-Matrix'!I29,'Kompetenz-Prozess-Matrix'!H33)</f>
        <v>0</v>
      </c>
      <c r="F167" s="183">
        <f>PRODUCT('Rollen-Prozess-Matrix'!J29,'Kompetenz-Prozess-Matrix'!H33)</f>
        <v>0</v>
      </c>
      <c r="G167" s="183">
        <f>PRODUCT('Rollen-Prozess-Matrix'!K29,'Kompetenz-Prozess-Matrix'!H33)</f>
        <v>0</v>
      </c>
      <c r="H167" s="183">
        <f>PRODUCT('Rollen-Prozess-Matrix'!L29,'Kompetenz-Prozess-Matrix'!H33)</f>
        <v>3</v>
      </c>
      <c r="I167" s="183">
        <f>PRODUCT('Rollen-Prozess-Matrix'!M29,'Kompetenz-Prozess-Matrix'!H33)</f>
        <v>1</v>
      </c>
      <c r="J167" s="183">
        <f>PRODUCT('Rollen-Prozess-Matrix'!N29,'Kompetenz-Prozess-Matrix'!H33)</f>
        <v>0</v>
      </c>
      <c r="K167" s="183">
        <f>PRODUCT('Rollen-Prozess-Matrix'!O29,'Kompetenz-Prozess-Matrix'!H33)</f>
        <v>0</v>
      </c>
      <c r="L167" s="183">
        <f>PRODUCT('Rollen-Prozess-Matrix'!P29,'Kompetenz-Prozess-Matrix'!H33)</f>
        <v>0</v>
      </c>
      <c r="M167" s="183">
        <f>PRODUCT('Rollen-Prozess-Matrix'!Q29,'Kompetenz-Prozess-Matrix'!H33)</f>
        <v>0</v>
      </c>
      <c r="N167" s="183">
        <f>PRODUCT('Rollen-Prozess-Matrix'!R29,'Kompetenz-Prozess-Matrix'!H33)</f>
        <v>1</v>
      </c>
      <c r="O167" s="183">
        <f>PRODUCT('Rollen-Prozess-Matrix'!S29,'Kompetenz-Prozess-Matrix'!H33)</f>
        <v>0</v>
      </c>
      <c r="P167" s="183">
        <f>PRODUCT('Rollen-Prozess-Matrix'!T29,'Kompetenz-Prozess-Matrix'!H33)</f>
        <v>0</v>
      </c>
      <c r="Q167" s="185">
        <f>PRODUCT('Rollen-Prozess-Matrix'!U29,'Kompetenz-Prozess-Matrix'!H33)</f>
        <v>0</v>
      </c>
    </row>
    <row r="168" spans="1:19" ht="38.65" hidden="1" outlineLevel="1" thickBot="1" x14ac:dyDescent="0.4">
      <c r="A168" s="333"/>
      <c r="B168" s="339"/>
      <c r="C168" s="180" t="s">
        <v>255</v>
      </c>
      <c r="D168" s="182">
        <f>PRODUCT('Rollen-Prozess-Matrix'!H30,'Kompetenz-Prozess-Matrix'!H34)</f>
        <v>2</v>
      </c>
      <c r="E168" s="183">
        <f>PRODUCT('Rollen-Prozess-Matrix'!I30,'Kompetenz-Prozess-Matrix'!H34)</f>
        <v>0</v>
      </c>
      <c r="F168" s="183">
        <f>PRODUCT('Rollen-Prozess-Matrix'!J30,'Kompetenz-Prozess-Matrix'!H34)</f>
        <v>0</v>
      </c>
      <c r="G168" s="183">
        <f>PRODUCT('Rollen-Prozess-Matrix'!K30,'Kompetenz-Prozess-Matrix'!H34)</f>
        <v>0</v>
      </c>
      <c r="H168" s="183">
        <f>PRODUCT('Rollen-Prozess-Matrix'!L30,'Kompetenz-Prozess-Matrix'!H34)</f>
        <v>3</v>
      </c>
      <c r="I168" s="183">
        <f>PRODUCT('Rollen-Prozess-Matrix'!M30,'Kompetenz-Prozess-Matrix'!H34)</f>
        <v>1</v>
      </c>
      <c r="J168" s="183">
        <f>PRODUCT('Rollen-Prozess-Matrix'!N30,'Kompetenz-Prozess-Matrix'!H34)</f>
        <v>0</v>
      </c>
      <c r="K168" s="183">
        <f>PRODUCT('Rollen-Prozess-Matrix'!O30,'Kompetenz-Prozess-Matrix'!H34)</f>
        <v>0</v>
      </c>
      <c r="L168" s="183">
        <f>PRODUCT('Rollen-Prozess-Matrix'!P30,'Kompetenz-Prozess-Matrix'!H34)</f>
        <v>0</v>
      </c>
      <c r="M168" s="183">
        <f>PRODUCT('Rollen-Prozess-Matrix'!Q30,'Kompetenz-Prozess-Matrix'!H34)</f>
        <v>0</v>
      </c>
      <c r="N168" s="183">
        <f>PRODUCT('Rollen-Prozess-Matrix'!R30,'Kompetenz-Prozess-Matrix'!H34)</f>
        <v>2</v>
      </c>
      <c r="O168" s="183">
        <f>PRODUCT('Rollen-Prozess-Matrix'!S30,'Kompetenz-Prozess-Matrix'!H34)</f>
        <v>0</v>
      </c>
      <c r="P168" s="183">
        <f>PRODUCT('Rollen-Prozess-Matrix'!T30,'Kompetenz-Prozess-Matrix'!H34)</f>
        <v>0</v>
      </c>
      <c r="Q168" s="185">
        <f>PRODUCT('Rollen-Prozess-Matrix'!U30,'Kompetenz-Prozess-Matrix'!H34)</f>
        <v>0</v>
      </c>
    </row>
    <row r="169" spans="1:19" ht="38.65" hidden="1" outlineLevel="1" thickBot="1" x14ac:dyDescent="0.4">
      <c r="A169" s="333"/>
      <c r="B169" s="339"/>
      <c r="C169" s="180" t="s">
        <v>261</v>
      </c>
      <c r="D169" s="182">
        <f>PRODUCT('Rollen-Prozess-Matrix'!H31,'Kompetenz-Prozess-Matrix'!H35)</f>
        <v>2</v>
      </c>
      <c r="E169" s="183">
        <f>PRODUCT('Rollen-Prozess-Matrix'!I31,'Kompetenz-Prozess-Matrix'!H35)</f>
        <v>0</v>
      </c>
      <c r="F169" s="183">
        <f>PRODUCT('Rollen-Prozess-Matrix'!J31,'Kompetenz-Prozess-Matrix'!H35)</f>
        <v>0</v>
      </c>
      <c r="G169" s="183">
        <f>PRODUCT('Rollen-Prozess-Matrix'!K31,'Kompetenz-Prozess-Matrix'!H35)</f>
        <v>0</v>
      </c>
      <c r="H169" s="183">
        <f>PRODUCT('Rollen-Prozess-Matrix'!L31,'Kompetenz-Prozess-Matrix'!H35)</f>
        <v>3</v>
      </c>
      <c r="I169" s="183">
        <f>PRODUCT('Rollen-Prozess-Matrix'!M31,'Kompetenz-Prozess-Matrix'!H35)</f>
        <v>0</v>
      </c>
      <c r="J169" s="183">
        <f>PRODUCT('Rollen-Prozess-Matrix'!N31,'Kompetenz-Prozess-Matrix'!H35)</f>
        <v>0</v>
      </c>
      <c r="K169" s="183">
        <f>PRODUCT('Rollen-Prozess-Matrix'!O31,'Kompetenz-Prozess-Matrix'!H35)</f>
        <v>0</v>
      </c>
      <c r="L169" s="183">
        <f>PRODUCT('Rollen-Prozess-Matrix'!P31,'Kompetenz-Prozess-Matrix'!H35)</f>
        <v>0</v>
      </c>
      <c r="M169" s="183">
        <f>PRODUCT('Rollen-Prozess-Matrix'!Q31,'Kompetenz-Prozess-Matrix'!H35)</f>
        <v>0</v>
      </c>
      <c r="N169" s="183">
        <f>PRODUCT('Rollen-Prozess-Matrix'!R31,'Kompetenz-Prozess-Matrix'!H35)</f>
        <v>1</v>
      </c>
      <c r="O169" s="183">
        <f>PRODUCT('Rollen-Prozess-Matrix'!S31,'Kompetenz-Prozess-Matrix'!H35)</f>
        <v>0</v>
      </c>
      <c r="P169" s="183">
        <f>PRODUCT('Rollen-Prozess-Matrix'!T31,'Kompetenz-Prozess-Matrix'!H35)</f>
        <v>0</v>
      </c>
      <c r="Q169" s="185">
        <f>PRODUCT('Rollen-Prozess-Matrix'!U31,'Kompetenz-Prozess-Matrix'!H35)</f>
        <v>0</v>
      </c>
    </row>
    <row r="170" spans="1:19" ht="13.15" hidden="1" outlineLevel="1" thickBot="1" x14ac:dyDescent="0.4">
      <c r="A170" s="333"/>
      <c r="B170" s="339"/>
      <c r="C170" s="180" t="s">
        <v>264</v>
      </c>
      <c r="D170" s="182">
        <f>PRODUCT('Rollen-Prozess-Matrix'!H32,'Kompetenz-Prozess-Matrix'!H36)</f>
        <v>0</v>
      </c>
      <c r="E170" s="183">
        <f>PRODUCT('Rollen-Prozess-Matrix'!I32,'Kompetenz-Prozess-Matrix'!H36)</f>
        <v>0</v>
      </c>
      <c r="F170" s="183">
        <f>PRODUCT('Rollen-Prozess-Matrix'!J32,'Kompetenz-Prozess-Matrix'!H36)</f>
        <v>0</v>
      </c>
      <c r="G170" s="183">
        <f>PRODUCT('Rollen-Prozess-Matrix'!K32,'Kompetenz-Prozess-Matrix'!H36)</f>
        <v>4</v>
      </c>
      <c r="H170" s="183">
        <f>PRODUCT('Rollen-Prozess-Matrix'!L32,'Kompetenz-Prozess-Matrix'!H36)</f>
        <v>2</v>
      </c>
      <c r="I170" s="183">
        <f>PRODUCT('Rollen-Prozess-Matrix'!M32,'Kompetenz-Prozess-Matrix'!H36)</f>
        <v>0</v>
      </c>
      <c r="J170" s="183">
        <f>PRODUCT('Rollen-Prozess-Matrix'!N32,'Kompetenz-Prozess-Matrix'!H36)</f>
        <v>0</v>
      </c>
      <c r="K170" s="183">
        <f>PRODUCT('Rollen-Prozess-Matrix'!O32,'Kompetenz-Prozess-Matrix'!H36)</f>
        <v>0</v>
      </c>
      <c r="L170" s="183">
        <f>PRODUCT('Rollen-Prozess-Matrix'!P32,'Kompetenz-Prozess-Matrix'!H36)</f>
        <v>0</v>
      </c>
      <c r="M170" s="183">
        <f>PRODUCT('Rollen-Prozess-Matrix'!Q32,'Kompetenz-Prozess-Matrix'!H36)</f>
        <v>0</v>
      </c>
      <c r="N170" s="183">
        <f>PRODUCT('Rollen-Prozess-Matrix'!R32,'Kompetenz-Prozess-Matrix'!H36)</f>
        <v>0</v>
      </c>
      <c r="O170" s="183">
        <f>PRODUCT('Rollen-Prozess-Matrix'!S32,'Kompetenz-Prozess-Matrix'!H36)</f>
        <v>0</v>
      </c>
      <c r="P170" s="183">
        <f>PRODUCT('Rollen-Prozess-Matrix'!T32,'Kompetenz-Prozess-Matrix'!H36)</f>
        <v>0</v>
      </c>
      <c r="Q170" s="185">
        <f>PRODUCT('Rollen-Prozess-Matrix'!U32,'Kompetenz-Prozess-Matrix'!H36)</f>
        <v>0</v>
      </c>
    </row>
    <row r="171" spans="1:19" ht="13.15" hidden="1" outlineLevel="1" thickBot="1" x14ac:dyDescent="0.4">
      <c r="A171" s="333"/>
      <c r="B171" s="339"/>
      <c r="C171" s="180" t="s">
        <v>266</v>
      </c>
      <c r="D171" s="182">
        <f>PRODUCT('Rollen-Prozess-Matrix'!H33,'Kompetenz-Prozess-Matrix'!H37)</f>
        <v>0</v>
      </c>
      <c r="E171" s="183">
        <f>PRODUCT('Rollen-Prozess-Matrix'!I33,'Kompetenz-Prozess-Matrix'!H37)</f>
        <v>0</v>
      </c>
      <c r="F171" s="183">
        <f>PRODUCT('Rollen-Prozess-Matrix'!J33,'Kompetenz-Prozess-Matrix'!H37)</f>
        <v>0</v>
      </c>
      <c r="G171" s="183">
        <f>PRODUCT('Rollen-Prozess-Matrix'!K33,'Kompetenz-Prozess-Matrix'!H37)</f>
        <v>0</v>
      </c>
      <c r="H171" s="183">
        <f>PRODUCT('Rollen-Prozess-Matrix'!L33,'Kompetenz-Prozess-Matrix'!H37)</f>
        <v>0</v>
      </c>
      <c r="I171" s="183">
        <f>PRODUCT('Rollen-Prozess-Matrix'!M33,'Kompetenz-Prozess-Matrix'!H37)</f>
        <v>0</v>
      </c>
      <c r="J171" s="183">
        <f>PRODUCT('Rollen-Prozess-Matrix'!N33,'Kompetenz-Prozess-Matrix'!H37)</f>
        <v>0</v>
      </c>
      <c r="K171" s="183">
        <f>PRODUCT('Rollen-Prozess-Matrix'!O33,'Kompetenz-Prozess-Matrix'!H37)</f>
        <v>0</v>
      </c>
      <c r="L171" s="183">
        <f>PRODUCT('Rollen-Prozess-Matrix'!P33,'Kompetenz-Prozess-Matrix'!H37)</f>
        <v>0</v>
      </c>
      <c r="M171" s="183">
        <f>PRODUCT('Rollen-Prozess-Matrix'!Q33,'Kompetenz-Prozess-Matrix'!H37)</f>
        <v>0</v>
      </c>
      <c r="N171" s="183">
        <f>PRODUCT('Rollen-Prozess-Matrix'!R33,'Kompetenz-Prozess-Matrix'!H37)</f>
        <v>0</v>
      </c>
      <c r="O171" s="183">
        <f>PRODUCT('Rollen-Prozess-Matrix'!S33,'Kompetenz-Prozess-Matrix'!H37)</f>
        <v>0</v>
      </c>
      <c r="P171" s="183">
        <f>PRODUCT('Rollen-Prozess-Matrix'!T33,'Kompetenz-Prozess-Matrix'!H37)</f>
        <v>0</v>
      </c>
      <c r="Q171" s="185">
        <f>PRODUCT('Rollen-Prozess-Matrix'!U33,'Kompetenz-Prozess-Matrix'!H37)</f>
        <v>0</v>
      </c>
    </row>
    <row r="172" spans="1:19" ht="13.15" hidden="1" outlineLevel="1" thickBot="1" x14ac:dyDescent="0.4">
      <c r="A172" s="333"/>
      <c r="B172" s="340"/>
      <c r="C172" s="181" t="s">
        <v>289</v>
      </c>
      <c r="D172" s="182">
        <f>PRODUCT('Rollen-Prozess-Matrix'!H34,'Kompetenz-Prozess-Matrix'!H38)</f>
        <v>0</v>
      </c>
      <c r="E172" s="183">
        <f>PRODUCT('Rollen-Prozess-Matrix'!I34,'Kompetenz-Prozess-Matrix'!H38)</f>
        <v>0</v>
      </c>
      <c r="F172" s="183">
        <f>PRODUCT('Rollen-Prozess-Matrix'!J34,'Kompetenz-Prozess-Matrix'!H38)</f>
        <v>0</v>
      </c>
      <c r="G172" s="183">
        <f>PRODUCT('Rollen-Prozess-Matrix'!K34,'Kompetenz-Prozess-Matrix'!H38)</f>
        <v>4</v>
      </c>
      <c r="H172" s="183">
        <f>PRODUCT('Rollen-Prozess-Matrix'!L34,'Kompetenz-Prozess-Matrix'!H38)</f>
        <v>0</v>
      </c>
      <c r="I172" s="183">
        <f>PRODUCT('Rollen-Prozess-Matrix'!M34,'Kompetenz-Prozess-Matrix'!H38)</f>
        <v>0</v>
      </c>
      <c r="J172" s="183">
        <f>PRODUCT('Rollen-Prozess-Matrix'!N34,'Kompetenz-Prozess-Matrix'!H38)</f>
        <v>0</v>
      </c>
      <c r="K172" s="183">
        <f>PRODUCT('Rollen-Prozess-Matrix'!O34,'Kompetenz-Prozess-Matrix'!H38)</f>
        <v>0</v>
      </c>
      <c r="L172" s="183">
        <f>PRODUCT('Rollen-Prozess-Matrix'!P34,'Kompetenz-Prozess-Matrix'!H38)</f>
        <v>0</v>
      </c>
      <c r="M172" s="183">
        <f>PRODUCT('Rollen-Prozess-Matrix'!Q34,'Kompetenz-Prozess-Matrix'!H38)</f>
        <v>0</v>
      </c>
      <c r="N172" s="183">
        <f>PRODUCT('Rollen-Prozess-Matrix'!R34,'Kompetenz-Prozess-Matrix'!H38)</f>
        <v>0</v>
      </c>
      <c r="O172" s="183">
        <f>PRODUCT('Rollen-Prozess-Matrix'!S34,'Kompetenz-Prozess-Matrix'!H38)</f>
        <v>0</v>
      </c>
      <c r="P172" s="183">
        <f>PRODUCT('Rollen-Prozess-Matrix'!T34,'Kompetenz-Prozess-Matrix'!H38)</f>
        <v>0</v>
      </c>
      <c r="Q172" s="185">
        <f>PRODUCT('Rollen-Prozess-Matrix'!U34,'Kompetenz-Prozess-Matrix'!H38)</f>
        <v>0</v>
      </c>
    </row>
    <row r="173" spans="1:19" ht="13.15" collapsed="1" thickBot="1" x14ac:dyDescent="0.4">
      <c r="A173" s="333"/>
      <c r="B173" s="338" t="s">
        <v>46</v>
      </c>
      <c r="C173" s="178"/>
      <c r="D173" s="184">
        <f>MAX(D174:D206)</f>
        <v>0</v>
      </c>
      <c r="E173" s="184">
        <f t="shared" ref="E173" si="53">MAX(E174:E206)</f>
        <v>2</v>
      </c>
      <c r="F173" s="184">
        <f t="shared" ref="F173" si="54">MAX(F174:F206)</f>
        <v>2</v>
      </c>
      <c r="G173" s="184">
        <f t="shared" ref="G173" si="55">MAX(G174:G206)</f>
        <v>4</v>
      </c>
      <c r="H173" s="184">
        <f t="shared" ref="H173" si="56">MAX(H174:H206)</f>
        <v>6</v>
      </c>
      <c r="I173" s="184">
        <f t="shared" ref="I173" si="57">MAX(I174:I206)</f>
        <v>4</v>
      </c>
      <c r="J173" s="184">
        <f t="shared" ref="J173" si="58">MAX(J174:J206)</f>
        <v>4</v>
      </c>
      <c r="K173" s="184">
        <f t="shared" ref="K173" si="59">MAX(K174:K206)</f>
        <v>2</v>
      </c>
      <c r="L173" s="184">
        <f t="shared" ref="L173" si="60">MAX(L174:L206)</f>
        <v>2</v>
      </c>
      <c r="M173" s="184">
        <f t="shared" ref="M173" si="61">MAX(M174:M206)</f>
        <v>2</v>
      </c>
      <c r="N173" s="184">
        <f t="shared" ref="N173" si="62">MAX(N174:N206)</f>
        <v>0</v>
      </c>
      <c r="O173" s="184">
        <f t="shared" ref="O173" si="63">MAX(O174:O206)</f>
        <v>4</v>
      </c>
      <c r="P173" s="184">
        <f t="shared" ref="P173" si="64">MAX(P174:P206)</f>
        <v>0</v>
      </c>
      <c r="Q173" s="199">
        <f t="shared" ref="Q173" si="65">MAX(Q174:Q206)</f>
        <v>1</v>
      </c>
      <c r="S173">
        <v>1</v>
      </c>
    </row>
    <row r="174" spans="1:19" hidden="1" outlineLevel="1" x14ac:dyDescent="0.35">
      <c r="A174" s="333"/>
      <c r="B174" s="339"/>
      <c r="C174" s="179" t="s">
        <v>123</v>
      </c>
      <c r="D174" s="182">
        <f>PRODUCT('Rollen-Prozess-Matrix'!H2,'Kompetenz-Prozess-Matrix'!I6)</f>
        <v>0</v>
      </c>
      <c r="E174" s="183">
        <f>PRODUCT('Rollen-Prozess-Matrix'!I2,'Kompetenz-Prozess-Matrix'!I6)</f>
        <v>0</v>
      </c>
      <c r="F174" s="183">
        <f>PRODUCT('Rollen-Prozess-Matrix'!J2,'Kompetenz-Prozess-Matrix'!I6)</f>
        <v>0</v>
      </c>
      <c r="G174" s="183">
        <f>PRODUCT('Rollen-Prozess-Matrix'!K2,'Kompetenz-Prozess-Matrix'!I6)</f>
        <v>0</v>
      </c>
      <c r="H174" s="183">
        <f>PRODUCT('Rollen-Prozess-Matrix'!L2,'Kompetenz-Prozess-Matrix'!I6)</f>
        <v>0</v>
      </c>
      <c r="I174" s="183">
        <f>PRODUCT('Rollen-Prozess-Matrix'!M2,'Kompetenz-Prozess-Matrix'!I6)</f>
        <v>0</v>
      </c>
      <c r="J174" s="183">
        <f>PRODUCT('Rollen-Prozess-Matrix'!N2,'Kompetenz-Prozess-Matrix'!I6)</f>
        <v>0</v>
      </c>
      <c r="K174" s="183">
        <f>PRODUCT('Rollen-Prozess-Matrix'!O2,'Kompetenz-Prozess-Matrix'!I6)</f>
        <v>0</v>
      </c>
      <c r="L174" s="183">
        <f>PRODUCT('Rollen-Prozess-Matrix'!P2,'Kompetenz-Prozess-Matrix'!I6)</f>
        <v>0</v>
      </c>
      <c r="M174" s="183">
        <f>PRODUCT('Rollen-Prozess-Matrix'!Q2,'Kompetenz-Prozess-Matrix'!I6)</f>
        <v>0</v>
      </c>
      <c r="N174" s="183">
        <f>PRODUCT('Rollen-Prozess-Matrix'!R2,'Kompetenz-Prozess-Matrix'!I6)</f>
        <v>0</v>
      </c>
      <c r="O174" s="183">
        <f>PRODUCT('Rollen-Prozess-Matrix'!S2,'Kompetenz-Prozess-Matrix'!I6)</f>
        <v>0</v>
      </c>
      <c r="P174" s="183">
        <f>PRODUCT('Rollen-Prozess-Matrix'!T2,'Kompetenz-Prozess-Matrix'!I6)</f>
        <v>0</v>
      </c>
      <c r="Q174" s="185">
        <f>PRODUCT('Rollen-Prozess-Matrix'!U2,'Kompetenz-Prozess-Matrix'!I6)</f>
        <v>0</v>
      </c>
    </row>
    <row r="175" spans="1:19" hidden="1" outlineLevel="1" x14ac:dyDescent="0.35">
      <c r="A175" s="333"/>
      <c r="B175" s="339"/>
      <c r="C175" s="180" t="s">
        <v>127</v>
      </c>
      <c r="D175" s="182">
        <f>PRODUCT('Rollen-Prozess-Matrix'!H3,'Kompetenz-Prozess-Matrix'!I7)</f>
        <v>0</v>
      </c>
      <c r="E175" s="183">
        <f>PRODUCT('Rollen-Prozess-Matrix'!I3,'Kompetenz-Prozess-Matrix'!I7)</f>
        <v>0</v>
      </c>
      <c r="F175" s="183">
        <f>PRODUCT('Rollen-Prozess-Matrix'!J3,'Kompetenz-Prozess-Matrix'!I7)</f>
        <v>0</v>
      </c>
      <c r="G175" s="183">
        <f>PRODUCT('Rollen-Prozess-Matrix'!K3,'Kompetenz-Prozess-Matrix'!I7)</f>
        <v>0</v>
      </c>
      <c r="H175" s="183">
        <f>PRODUCT('Rollen-Prozess-Matrix'!L3,'Kompetenz-Prozess-Matrix'!I7)</f>
        <v>0</v>
      </c>
      <c r="I175" s="183">
        <f>PRODUCT('Rollen-Prozess-Matrix'!M3,'Kompetenz-Prozess-Matrix'!I7)</f>
        <v>0</v>
      </c>
      <c r="J175" s="183">
        <f>PRODUCT('Rollen-Prozess-Matrix'!N3,'Kompetenz-Prozess-Matrix'!I7)</f>
        <v>0</v>
      </c>
      <c r="K175" s="183">
        <f>PRODUCT('Rollen-Prozess-Matrix'!O3,'Kompetenz-Prozess-Matrix'!I7)</f>
        <v>0</v>
      </c>
      <c r="L175" s="183">
        <f>PRODUCT('Rollen-Prozess-Matrix'!P3,'Kompetenz-Prozess-Matrix'!I7)</f>
        <v>0</v>
      </c>
      <c r="M175" s="183">
        <f>PRODUCT('Rollen-Prozess-Matrix'!Q3,'Kompetenz-Prozess-Matrix'!I7)</f>
        <v>0</v>
      </c>
      <c r="N175" s="183">
        <f>PRODUCT('Rollen-Prozess-Matrix'!R3,'Kompetenz-Prozess-Matrix'!I7)</f>
        <v>0</v>
      </c>
      <c r="O175" s="183">
        <f>PRODUCT('Rollen-Prozess-Matrix'!S3,'Kompetenz-Prozess-Matrix'!I7)</f>
        <v>0</v>
      </c>
      <c r="P175" s="183">
        <f>PRODUCT('Rollen-Prozess-Matrix'!T3,'Kompetenz-Prozess-Matrix'!I7)</f>
        <v>0</v>
      </c>
      <c r="Q175" s="185">
        <f>PRODUCT('Rollen-Prozess-Matrix'!U3,'Kompetenz-Prozess-Matrix'!I7)</f>
        <v>0</v>
      </c>
    </row>
    <row r="176" spans="1:19" ht="51" hidden="1" outlineLevel="1" x14ac:dyDescent="0.35">
      <c r="A176" s="333"/>
      <c r="B176" s="339"/>
      <c r="C176" s="180" t="s">
        <v>132</v>
      </c>
      <c r="D176" s="182">
        <f>PRODUCT('Rollen-Prozess-Matrix'!H4,'Kompetenz-Prozess-Matrix'!I8)</f>
        <v>0</v>
      </c>
      <c r="E176" s="183">
        <f>PRODUCT('Rollen-Prozess-Matrix'!I4,'Kompetenz-Prozess-Matrix'!I8)</f>
        <v>0</v>
      </c>
      <c r="F176" s="183">
        <f>PRODUCT('Rollen-Prozess-Matrix'!J4,'Kompetenz-Prozess-Matrix'!I8)</f>
        <v>0</v>
      </c>
      <c r="G176" s="183">
        <f>PRODUCT('Rollen-Prozess-Matrix'!K4,'Kompetenz-Prozess-Matrix'!I8)</f>
        <v>2</v>
      </c>
      <c r="H176" s="183">
        <f>PRODUCT('Rollen-Prozess-Matrix'!L4,'Kompetenz-Prozess-Matrix'!I8)</f>
        <v>6</v>
      </c>
      <c r="I176" s="183">
        <f>PRODUCT('Rollen-Prozess-Matrix'!M4,'Kompetenz-Prozess-Matrix'!I8)</f>
        <v>0</v>
      </c>
      <c r="J176" s="183">
        <f>PRODUCT('Rollen-Prozess-Matrix'!N4,'Kompetenz-Prozess-Matrix'!I8)</f>
        <v>0</v>
      </c>
      <c r="K176" s="183">
        <f>PRODUCT('Rollen-Prozess-Matrix'!O4,'Kompetenz-Prozess-Matrix'!I8)</f>
        <v>0</v>
      </c>
      <c r="L176" s="183">
        <f>PRODUCT('Rollen-Prozess-Matrix'!P4,'Kompetenz-Prozess-Matrix'!I8)</f>
        <v>0</v>
      </c>
      <c r="M176" s="183">
        <f>PRODUCT('Rollen-Prozess-Matrix'!Q4,'Kompetenz-Prozess-Matrix'!I8)</f>
        <v>0</v>
      </c>
      <c r="N176" s="183">
        <f>PRODUCT('Rollen-Prozess-Matrix'!R4,'Kompetenz-Prozess-Matrix'!I8)</f>
        <v>0</v>
      </c>
      <c r="O176" s="183">
        <f>PRODUCT('Rollen-Prozess-Matrix'!S4,'Kompetenz-Prozess-Matrix'!I8)</f>
        <v>0</v>
      </c>
      <c r="P176" s="183">
        <f>PRODUCT('Rollen-Prozess-Matrix'!T4,'Kompetenz-Prozess-Matrix'!I8)</f>
        <v>0</v>
      </c>
      <c r="Q176" s="185">
        <f>PRODUCT('Rollen-Prozess-Matrix'!U4,'Kompetenz-Prozess-Matrix'!I8)</f>
        <v>0</v>
      </c>
    </row>
    <row r="177" spans="1:17" ht="38.25" hidden="1" outlineLevel="1" x14ac:dyDescent="0.35">
      <c r="A177" s="333"/>
      <c r="B177" s="339"/>
      <c r="C177" s="180" t="s">
        <v>136</v>
      </c>
      <c r="D177" s="182">
        <f>PRODUCT('Rollen-Prozess-Matrix'!H5,'Kompetenz-Prozess-Matrix'!I9)</f>
        <v>0</v>
      </c>
      <c r="E177" s="183">
        <f>PRODUCT('Rollen-Prozess-Matrix'!I5,'Kompetenz-Prozess-Matrix'!I9)</f>
        <v>0</v>
      </c>
      <c r="F177" s="183">
        <f>PRODUCT('Rollen-Prozess-Matrix'!J5,'Kompetenz-Prozess-Matrix'!I9)</f>
        <v>0</v>
      </c>
      <c r="G177" s="183">
        <f>PRODUCT('Rollen-Prozess-Matrix'!K5,'Kompetenz-Prozess-Matrix'!I9)</f>
        <v>2</v>
      </c>
      <c r="H177" s="183">
        <f>PRODUCT('Rollen-Prozess-Matrix'!L5,'Kompetenz-Prozess-Matrix'!I9)</f>
        <v>3</v>
      </c>
      <c r="I177" s="183">
        <f>PRODUCT('Rollen-Prozess-Matrix'!M5,'Kompetenz-Prozess-Matrix'!I9)</f>
        <v>0</v>
      </c>
      <c r="J177" s="183">
        <f>PRODUCT('Rollen-Prozess-Matrix'!N5,'Kompetenz-Prozess-Matrix'!I9)</f>
        <v>0</v>
      </c>
      <c r="K177" s="183">
        <f>PRODUCT('Rollen-Prozess-Matrix'!O5,'Kompetenz-Prozess-Matrix'!I9)</f>
        <v>0</v>
      </c>
      <c r="L177" s="183">
        <f>PRODUCT('Rollen-Prozess-Matrix'!P5,'Kompetenz-Prozess-Matrix'!I9)</f>
        <v>0</v>
      </c>
      <c r="M177" s="183">
        <f>PRODUCT('Rollen-Prozess-Matrix'!Q5,'Kompetenz-Prozess-Matrix'!I9)</f>
        <v>0</v>
      </c>
      <c r="N177" s="183">
        <f>PRODUCT('Rollen-Prozess-Matrix'!R5,'Kompetenz-Prozess-Matrix'!I9)</f>
        <v>0</v>
      </c>
      <c r="O177" s="183">
        <f>PRODUCT('Rollen-Prozess-Matrix'!S5,'Kompetenz-Prozess-Matrix'!I9)</f>
        <v>0</v>
      </c>
      <c r="P177" s="183">
        <f>PRODUCT('Rollen-Prozess-Matrix'!T5,'Kompetenz-Prozess-Matrix'!I9)</f>
        <v>0</v>
      </c>
      <c r="Q177" s="185">
        <f>PRODUCT('Rollen-Prozess-Matrix'!U5,'Kompetenz-Prozess-Matrix'!I9)</f>
        <v>0</v>
      </c>
    </row>
    <row r="178" spans="1:17" ht="38.25" hidden="1" outlineLevel="1" x14ac:dyDescent="0.35">
      <c r="A178" s="333"/>
      <c r="B178" s="339"/>
      <c r="C178" s="180" t="s">
        <v>140</v>
      </c>
      <c r="D178" s="182">
        <f>PRODUCT('Rollen-Prozess-Matrix'!H6,'Kompetenz-Prozess-Matrix'!I10)</f>
        <v>0</v>
      </c>
      <c r="E178" s="183">
        <f>PRODUCT('Rollen-Prozess-Matrix'!I6,'Kompetenz-Prozess-Matrix'!I10)</f>
        <v>0</v>
      </c>
      <c r="F178" s="183">
        <f>PRODUCT('Rollen-Prozess-Matrix'!J6,'Kompetenz-Prozess-Matrix'!I10)</f>
        <v>0</v>
      </c>
      <c r="G178" s="183">
        <f>PRODUCT('Rollen-Prozess-Matrix'!K6,'Kompetenz-Prozess-Matrix'!I10)</f>
        <v>0</v>
      </c>
      <c r="H178" s="183">
        <f>PRODUCT('Rollen-Prozess-Matrix'!L6,'Kompetenz-Prozess-Matrix'!I10)</f>
        <v>0</v>
      </c>
      <c r="I178" s="183">
        <f>PRODUCT('Rollen-Prozess-Matrix'!M6,'Kompetenz-Prozess-Matrix'!I10)</f>
        <v>0</v>
      </c>
      <c r="J178" s="183">
        <f>PRODUCT('Rollen-Prozess-Matrix'!N6,'Kompetenz-Prozess-Matrix'!I10)</f>
        <v>0</v>
      </c>
      <c r="K178" s="183">
        <f>PRODUCT('Rollen-Prozess-Matrix'!O6,'Kompetenz-Prozess-Matrix'!I10)</f>
        <v>0</v>
      </c>
      <c r="L178" s="183">
        <f>PRODUCT('Rollen-Prozess-Matrix'!P6,'Kompetenz-Prozess-Matrix'!I10)</f>
        <v>0</v>
      </c>
      <c r="M178" s="183">
        <f>PRODUCT('Rollen-Prozess-Matrix'!Q6,'Kompetenz-Prozess-Matrix'!I10)</f>
        <v>0</v>
      </c>
      <c r="N178" s="183">
        <f>PRODUCT('Rollen-Prozess-Matrix'!R6,'Kompetenz-Prozess-Matrix'!I10)</f>
        <v>0</v>
      </c>
      <c r="O178" s="183">
        <f>PRODUCT('Rollen-Prozess-Matrix'!S6,'Kompetenz-Prozess-Matrix'!I10)</f>
        <v>0</v>
      </c>
      <c r="P178" s="183">
        <f>PRODUCT('Rollen-Prozess-Matrix'!T6,'Kompetenz-Prozess-Matrix'!I10)</f>
        <v>0</v>
      </c>
      <c r="Q178" s="185">
        <f>PRODUCT('Rollen-Prozess-Matrix'!U6,'Kompetenz-Prozess-Matrix'!I10)</f>
        <v>0</v>
      </c>
    </row>
    <row r="179" spans="1:17" ht="38.25" hidden="1" outlineLevel="1" x14ac:dyDescent="0.35">
      <c r="A179" s="333"/>
      <c r="B179" s="339"/>
      <c r="C179" s="180" t="s">
        <v>144</v>
      </c>
      <c r="D179" s="182">
        <f>PRODUCT('Rollen-Prozess-Matrix'!H7,'Kompetenz-Prozess-Matrix'!I11)</f>
        <v>0</v>
      </c>
      <c r="E179" s="183">
        <f>PRODUCT('Rollen-Prozess-Matrix'!I7,'Kompetenz-Prozess-Matrix'!I11)</f>
        <v>0</v>
      </c>
      <c r="F179" s="183">
        <f>PRODUCT('Rollen-Prozess-Matrix'!J7,'Kompetenz-Prozess-Matrix'!I11)</f>
        <v>0</v>
      </c>
      <c r="G179" s="183">
        <f>PRODUCT('Rollen-Prozess-Matrix'!K7,'Kompetenz-Prozess-Matrix'!I11)</f>
        <v>0</v>
      </c>
      <c r="H179" s="183">
        <f>PRODUCT('Rollen-Prozess-Matrix'!L7,'Kompetenz-Prozess-Matrix'!I11)</f>
        <v>0</v>
      </c>
      <c r="I179" s="183">
        <f>PRODUCT('Rollen-Prozess-Matrix'!M7,'Kompetenz-Prozess-Matrix'!I11)</f>
        <v>0</v>
      </c>
      <c r="J179" s="183">
        <f>PRODUCT('Rollen-Prozess-Matrix'!N7,'Kompetenz-Prozess-Matrix'!I11)</f>
        <v>0</v>
      </c>
      <c r="K179" s="183">
        <f>PRODUCT('Rollen-Prozess-Matrix'!O7,'Kompetenz-Prozess-Matrix'!I11)</f>
        <v>0</v>
      </c>
      <c r="L179" s="183">
        <f>PRODUCT('Rollen-Prozess-Matrix'!P7,'Kompetenz-Prozess-Matrix'!I11)</f>
        <v>0</v>
      </c>
      <c r="M179" s="183">
        <f>PRODUCT('Rollen-Prozess-Matrix'!Q7,'Kompetenz-Prozess-Matrix'!I11)</f>
        <v>0</v>
      </c>
      <c r="N179" s="183">
        <f>PRODUCT('Rollen-Prozess-Matrix'!R7,'Kompetenz-Prozess-Matrix'!I11)</f>
        <v>0</v>
      </c>
      <c r="O179" s="183">
        <f>PRODUCT('Rollen-Prozess-Matrix'!S7,'Kompetenz-Prozess-Matrix'!I11)</f>
        <v>0</v>
      </c>
      <c r="P179" s="183">
        <f>PRODUCT('Rollen-Prozess-Matrix'!T7,'Kompetenz-Prozess-Matrix'!I11)</f>
        <v>0</v>
      </c>
      <c r="Q179" s="185">
        <f>PRODUCT('Rollen-Prozess-Matrix'!U7,'Kompetenz-Prozess-Matrix'!I11)</f>
        <v>0</v>
      </c>
    </row>
    <row r="180" spans="1:17" ht="38.25" hidden="1" outlineLevel="1" x14ac:dyDescent="0.35">
      <c r="A180" s="333"/>
      <c r="B180" s="339"/>
      <c r="C180" s="180" t="s">
        <v>148</v>
      </c>
      <c r="D180" s="182">
        <f>PRODUCT('Rollen-Prozess-Matrix'!H8,'Kompetenz-Prozess-Matrix'!I12)</f>
        <v>0</v>
      </c>
      <c r="E180" s="183">
        <f>PRODUCT('Rollen-Prozess-Matrix'!I8,'Kompetenz-Prozess-Matrix'!I12)</f>
        <v>0</v>
      </c>
      <c r="F180" s="183">
        <f>PRODUCT('Rollen-Prozess-Matrix'!J8,'Kompetenz-Prozess-Matrix'!I12)</f>
        <v>0</v>
      </c>
      <c r="G180" s="183">
        <f>PRODUCT('Rollen-Prozess-Matrix'!K8,'Kompetenz-Prozess-Matrix'!I12)</f>
        <v>0</v>
      </c>
      <c r="H180" s="183">
        <f>PRODUCT('Rollen-Prozess-Matrix'!L8,'Kompetenz-Prozess-Matrix'!I12)</f>
        <v>6</v>
      </c>
      <c r="I180" s="183">
        <f>PRODUCT('Rollen-Prozess-Matrix'!M8,'Kompetenz-Prozess-Matrix'!I12)</f>
        <v>0</v>
      </c>
      <c r="J180" s="183">
        <f>PRODUCT('Rollen-Prozess-Matrix'!N8,'Kompetenz-Prozess-Matrix'!I12)</f>
        <v>0</v>
      </c>
      <c r="K180" s="183">
        <f>PRODUCT('Rollen-Prozess-Matrix'!O8,'Kompetenz-Prozess-Matrix'!I12)</f>
        <v>0</v>
      </c>
      <c r="L180" s="183">
        <f>PRODUCT('Rollen-Prozess-Matrix'!P8,'Kompetenz-Prozess-Matrix'!I12)</f>
        <v>2</v>
      </c>
      <c r="M180" s="183">
        <f>PRODUCT('Rollen-Prozess-Matrix'!Q8,'Kompetenz-Prozess-Matrix'!I12)</f>
        <v>0</v>
      </c>
      <c r="N180" s="183">
        <f>PRODUCT('Rollen-Prozess-Matrix'!R8,'Kompetenz-Prozess-Matrix'!I12)</f>
        <v>0</v>
      </c>
      <c r="O180" s="183">
        <f>PRODUCT('Rollen-Prozess-Matrix'!S8,'Kompetenz-Prozess-Matrix'!I12)</f>
        <v>4</v>
      </c>
      <c r="P180" s="183">
        <f>PRODUCT('Rollen-Prozess-Matrix'!T8,'Kompetenz-Prozess-Matrix'!I12)</f>
        <v>0</v>
      </c>
      <c r="Q180" s="185">
        <f>PRODUCT('Rollen-Prozess-Matrix'!U8,'Kompetenz-Prozess-Matrix'!I12)</f>
        <v>0</v>
      </c>
    </row>
    <row r="181" spans="1:17" ht="38.25" hidden="1" outlineLevel="1" x14ac:dyDescent="0.35">
      <c r="A181" s="333"/>
      <c r="B181" s="339"/>
      <c r="C181" s="180" t="s">
        <v>152</v>
      </c>
      <c r="D181" s="182">
        <f>PRODUCT('Rollen-Prozess-Matrix'!H9,'Kompetenz-Prozess-Matrix'!I13)</f>
        <v>0</v>
      </c>
      <c r="E181" s="183">
        <f>PRODUCT('Rollen-Prozess-Matrix'!I9,'Kompetenz-Prozess-Matrix'!I13)</f>
        <v>0</v>
      </c>
      <c r="F181" s="183">
        <f>PRODUCT('Rollen-Prozess-Matrix'!J9,'Kompetenz-Prozess-Matrix'!I13)</f>
        <v>0</v>
      </c>
      <c r="G181" s="183">
        <f>PRODUCT('Rollen-Prozess-Matrix'!K9,'Kompetenz-Prozess-Matrix'!I13)</f>
        <v>2</v>
      </c>
      <c r="H181" s="183">
        <f>PRODUCT('Rollen-Prozess-Matrix'!L9,'Kompetenz-Prozess-Matrix'!I13)</f>
        <v>3</v>
      </c>
      <c r="I181" s="183">
        <f>PRODUCT('Rollen-Prozess-Matrix'!M9,'Kompetenz-Prozess-Matrix'!I13)</f>
        <v>0</v>
      </c>
      <c r="J181" s="183">
        <f>PRODUCT('Rollen-Prozess-Matrix'!N9,'Kompetenz-Prozess-Matrix'!I13)</f>
        <v>0</v>
      </c>
      <c r="K181" s="183">
        <f>PRODUCT('Rollen-Prozess-Matrix'!O9,'Kompetenz-Prozess-Matrix'!I13)</f>
        <v>0</v>
      </c>
      <c r="L181" s="183">
        <f>PRODUCT('Rollen-Prozess-Matrix'!P9,'Kompetenz-Prozess-Matrix'!I13)</f>
        <v>0</v>
      </c>
      <c r="M181" s="183">
        <f>PRODUCT('Rollen-Prozess-Matrix'!Q9,'Kompetenz-Prozess-Matrix'!I13)</f>
        <v>0</v>
      </c>
      <c r="N181" s="183">
        <f>PRODUCT('Rollen-Prozess-Matrix'!R9,'Kompetenz-Prozess-Matrix'!I13)</f>
        <v>0</v>
      </c>
      <c r="O181" s="183">
        <f>PRODUCT('Rollen-Prozess-Matrix'!S9,'Kompetenz-Prozess-Matrix'!I13)</f>
        <v>0</v>
      </c>
      <c r="P181" s="183">
        <f>PRODUCT('Rollen-Prozess-Matrix'!T9,'Kompetenz-Prozess-Matrix'!I13)</f>
        <v>0</v>
      </c>
      <c r="Q181" s="185">
        <f>PRODUCT('Rollen-Prozess-Matrix'!U9,'Kompetenz-Prozess-Matrix'!I13)</f>
        <v>0</v>
      </c>
    </row>
    <row r="182" spans="1:17" ht="38.25" hidden="1" outlineLevel="1" x14ac:dyDescent="0.35">
      <c r="A182" s="333"/>
      <c r="B182" s="339"/>
      <c r="C182" s="180" t="s">
        <v>157</v>
      </c>
      <c r="D182" s="182">
        <f>PRODUCT('Rollen-Prozess-Matrix'!H10,'Kompetenz-Prozess-Matrix'!I14)</f>
        <v>0</v>
      </c>
      <c r="E182" s="183">
        <f>PRODUCT('Rollen-Prozess-Matrix'!I10,'Kompetenz-Prozess-Matrix'!I14)</f>
        <v>0</v>
      </c>
      <c r="F182" s="183">
        <f>PRODUCT('Rollen-Prozess-Matrix'!J10,'Kompetenz-Prozess-Matrix'!I14)</f>
        <v>2</v>
      </c>
      <c r="G182" s="183">
        <f>PRODUCT('Rollen-Prozess-Matrix'!K10,'Kompetenz-Prozess-Matrix'!I14)</f>
        <v>0</v>
      </c>
      <c r="H182" s="183">
        <f>PRODUCT('Rollen-Prozess-Matrix'!L10,'Kompetenz-Prozess-Matrix'!I14)</f>
        <v>3</v>
      </c>
      <c r="I182" s="183">
        <f>PRODUCT('Rollen-Prozess-Matrix'!M10,'Kompetenz-Prozess-Matrix'!I14)</f>
        <v>0</v>
      </c>
      <c r="J182" s="183">
        <f>PRODUCT('Rollen-Prozess-Matrix'!N10,'Kompetenz-Prozess-Matrix'!I14)</f>
        <v>0</v>
      </c>
      <c r="K182" s="183">
        <f>PRODUCT('Rollen-Prozess-Matrix'!O10,'Kompetenz-Prozess-Matrix'!I14)</f>
        <v>0</v>
      </c>
      <c r="L182" s="183">
        <f>PRODUCT('Rollen-Prozess-Matrix'!P10,'Kompetenz-Prozess-Matrix'!I14)</f>
        <v>0</v>
      </c>
      <c r="M182" s="183">
        <f>PRODUCT('Rollen-Prozess-Matrix'!Q10,'Kompetenz-Prozess-Matrix'!I14)</f>
        <v>0</v>
      </c>
      <c r="N182" s="183">
        <f>PRODUCT('Rollen-Prozess-Matrix'!R10,'Kompetenz-Prozess-Matrix'!I14)</f>
        <v>0</v>
      </c>
      <c r="O182" s="183">
        <f>PRODUCT('Rollen-Prozess-Matrix'!S10,'Kompetenz-Prozess-Matrix'!I14)</f>
        <v>0</v>
      </c>
      <c r="P182" s="183">
        <f>PRODUCT('Rollen-Prozess-Matrix'!T10,'Kompetenz-Prozess-Matrix'!I14)</f>
        <v>0</v>
      </c>
      <c r="Q182" s="185">
        <f>PRODUCT('Rollen-Prozess-Matrix'!U10,'Kompetenz-Prozess-Matrix'!I14)</f>
        <v>0</v>
      </c>
    </row>
    <row r="183" spans="1:17" ht="38.25" hidden="1" outlineLevel="1" x14ac:dyDescent="0.35">
      <c r="A183" s="333"/>
      <c r="B183" s="339"/>
      <c r="C183" s="180" t="s">
        <v>161</v>
      </c>
      <c r="D183" s="182">
        <f>PRODUCT('Rollen-Prozess-Matrix'!H11,'Kompetenz-Prozess-Matrix'!I15)</f>
        <v>0</v>
      </c>
      <c r="E183" s="183">
        <f>PRODUCT('Rollen-Prozess-Matrix'!I11,'Kompetenz-Prozess-Matrix'!I15)</f>
        <v>0</v>
      </c>
      <c r="F183" s="183">
        <f>PRODUCT('Rollen-Prozess-Matrix'!J11,'Kompetenz-Prozess-Matrix'!I15)</f>
        <v>2</v>
      </c>
      <c r="G183" s="183">
        <f>PRODUCT('Rollen-Prozess-Matrix'!K11,'Kompetenz-Prozess-Matrix'!I15)</f>
        <v>0</v>
      </c>
      <c r="H183" s="183">
        <f>PRODUCT('Rollen-Prozess-Matrix'!L11,'Kompetenz-Prozess-Matrix'!I15)</f>
        <v>3</v>
      </c>
      <c r="I183" s="183">
        <f>PRODUCT('Rollen-Prozess-Matrix'!M11,'Kompetenz-Prozess-Matrix'!I15)</f>
        <v>0</v>
      </c>
      <c r="J183" s="183">
        <f>PRODUCT('Rollen-Prozess-Matrix'!N11,'Kompetenz-Prozess-Matrix'!I15)</f>
        <v>0</v>
      </c>
      <c r="K183" s="183">
        <f>PRODUCT('Rollen-Prozess-Matrix'!O11,'Kompetenz-Prozess-Matrix'!I15)</f>
        <v>0</v>
      </c>
      <c r="L183" s="183">
        <f>PRODUCT('Rollen-Prozess-Matrix'!P11,'Kompetenz-Prozess-Matrix'!I15)</f>
        <v>0</v>
      </c>
      <c r="M183" s="183">
        <f>PRODUCT('Rollen-Prozess-Matrix'!Q11,'Kompetenz-Prozess-Matrix'!I15)</f>
        <v>0</v>
      </c>
      <c r="N183" s="183">
        <f>PRODUCT('Rollen-Prozess-Matrix'!R11,'Kompetenz-Prozess-Matrix'!I15)</f>
        <v>0</v>
      </c>
      <c r="O183" s="183">
        <f>PRODUCT('Rollen-Prozess-Matrix'!S11,'Kompetenz-Prozess-Matrix'!I15)</f>
        <v>0</v>
      </c>
      <c r="P183" s="183">
        <f>PRODUCT('Rollen-Prozess-Matrix'!T11,'Kompetenz-Prozess-Matrix'!I15)</f>
        <v>0</v>
      </c>
      <c r="Q183" s="185">
        <f>PRODUCT('Rollen-Prozess-Matrix'!U11,'Kompetenz-Prozess-Matrix'!I15)</f>
        <v>1</v>
      </c>
    </row>
    <row r="184" spans="1:17" ht="38.25" hidden="1" outlineLevel="1" x14ac:dyDescent="0.35">
      <c r="A184" s="333"/>
      <c r="B184" s="339"/>
      <c r="C184" s="180" t="s">
        <v>288</v>
      </c>
      <c r="D184" s="182">
        <f>PRODUCT('Rollen-Prozess-Matrix'!H12,'Kompetenz-Prozess-Matrix'!I16)</f>
        <v>0</v>
      </c>
      <c r="E184" s="183">
        <f>PRODUCT('Rollen-Prozess-Matrix'!I12,'Kompetenz-Prozess-Matrix'!I16)</f>
        <v>0</v>
      </c>
      <c r="F184" s="183">
        <f>PRODUCT('Rollen-Prozess-Matrix'!J12,'Kompetenz-Prozess-Matrix'!I16)</f>
        <v>0</v>
      </c>
      <c r="G184" s="183">
        <f>PRODUCT('Rollen-Prozess-Matrix'!K12,'Kompetenz-Prozess-Matrix'!I16)</f>
        <v>0</v>
      </c>
      <c r="H184" s="183">
        <f>PRODUCT('Rollen-Prozess-Matrix'!L12,'Kompetenz-Prozess-Matrix'!I16)</f>
        <v>0</v>
      </c>
      <c r="I184" s="183">
        <f>PRODUCT('Rollen-Prozess-Matrix'!M12,'Kompetenz-Prozess-Matrix'!I16)</f>
        <v>0</v>
      </c>
      <c r="J184" s="183">
        <f>PRODUCT('Rollen-Prozess-Matrix'!N12,'Kompetenz-Prozess-Matrix'!I16)</f>
        <v>0</v>
      </c>
      <c r="K184" s="183">
        <f>PRODUCT('Rollen-Prozess-Matrix'!O12,'Kompetenz-Prozess-Matrix'!I16)</f>
        <v>0</v>
      </c>
      <c r="L184" s="183">
        <f>PRODUCT('Rollen-Prozess-Matrix'!P12,'Kompetenz-Prozess-Matrix'!I16)</f>
        <v>0</v>
      </c>
      <c r="M184" s="183">
        <f>PRODUCT('Rollen-Prozess-Matrix'!Q12,'Kompetenz-Prozess-Matrix'!I16)</f>
        <v>0</v>
      </c>
      <c r="N184" s="183">
        <f>PRODUCT('Rollen-Prozess-Matrix'!R12,'Kompetenz-Prozess-Matrix'!I16)</f>
        <v>0</v>
      </c>
      <c r="O184" s="183">
        <f>PRODUCT('Rollen-Prozess-Matrix'!S12,'Kompetenz-Prozess-Matrix'!I16)</f>
        <v>0</v>
      </c>
      <c r="P184" s="183">
        <f>PRODUCT('Rollen-Prozess-Matrix'!T12,'Kompetenz-Prozess-Matrix'!I16)</f>
        <v>0</v>
      </c>
      <c r="Q184" s="185">
        <f>PRODUCT('Rollen-Prozess-Matrix'!U12,'Kompetenz-Prozess-Matrix'!I16)</f>
        <v>0</v>
      </c>
    </row>
    <row r="185" spans="1:17" ht="25.5" hidden="1" outlineLevel="1" x14ac:dyDescent="0.35">
      <c r="A185" s="333"/>
      <c r="B185" s="339"/>
      <c r="C185" s="180" t="s">
        <v>169</v>
      </c>
      <c r="D185" s="182">
        <f>PRODUCT('Rollen-Prozess-Matrix'!H13,'Kompetenz-Prozess-Matrix'!I17)</f>
        <v>0</v>
      </c>
      <c r="E185" s="183">
        <f>PRODUCT('Rollen-Prozess-Matrix'!I13,'Kompetenz-Prozess-Matrix'!I17)</f>
        <v>0</v>
      </c>
      <c r="F185" s="183">
        <f>PRODUCT('Rollen-Prozess-Matrix'!J13,'Kompetenz-Prozess-Matrix'!I17)</f>
        <v>0</v>
      </c>
      <c r="G185" s="183">
        <f>PRODUCT('Rollen-Prozess-Matrix'!K13,'Kompetenz-Prozess-Matrix'!I17)</f>
        <v>0</v>
      </c>
      <c r="H185" s="183">
        <f>PRODUCT('Rollen-Prozess-Matrix'!L13,'Kompetenz-Prozess-Matrix'!I17)</f>
        <v>0</v>
      </c>
      <c r="I185" s="183">
        <f>PRODUCT('Rollen-Prozess-Matrix'!M13,'Kompetenz-Prozess-Matrix'!I17)</f>
        <v>0</v>
      </c>
      <c r="J185" s="183">
        <f>PRODUCT('Rollen-Prozess-Matrix'!N13,'Kompetenz-Prozess-Matrix'!I17)</f>
        <v>0</v>
      </c>
      <c r="K185" s="183">
        <f>PRODUCT('Rollen-Prozess-Matrix'!O13,'Kompetenz-Prozess-Matrix'!I17)</f>
        <v>0</v>
      </c>
      <c r="L185" s="183">
        <f>PRODUCT('Rollen-Prozess-Matrix'!P13,'Kompetenz-Prozess-Matrix'!I17)</f>
        <v>0</v>
      </c>
      <c r="M185" s="183">
        <f>PRODUCT('Rollen-Prozess-Matrix'!Q13,'Kompetenz-Prozess-Matrix'!I17)</f>
        <v>0</v>
      </c>
      <c r="N185" s="183">
        <f>PRODUCT('Rollen-Prozess-Matrix'!R13,'Kompetenz-Prozess-Matrix'!I17)</f>
        <v>0</v>
      </c>
      <c r="O185" s="183">
        <f>PRODUCT('Rollen-Prozess-Matrix'!S13,'Kompetenz-Prozess-Matrix'!I17)</f>
        <v>0</v>
      </c>
      <c r="P185" s="183">
        <f>PRODUCT('Rollen-Prozess-Matrix'!T13,'Kompetenz-Prozess-Matrix'!I17)</f>
        <v>0</v>
      </c>
      <c r="Q185" s="185">
        <f>PRODUCT('Rollen-Prozess-Matrix'!U13,'Kompetenz-Prozess-Matrix'!I17)</f>
        <v>0</v>
      </c>
    </row>
    <row r="186" spans="1:17" ht="63.75" hidden="1" outlineLevel="1" x14ac:dyDescent="0.35">
      <c r="A186" s="333"/>
      <c r="B186" s="339"/>
      <c r="C186" s="180" t="s">
        <v>173</v>
      </c>
      <c r="D186" s="182">
        <f>PRODUCT('Rollen-Prozess-Matrix'!H14,'Kompetenz-Prozess-Matrix'!I18)</f>
        <v>0</v>
      </c>
      <c r="E186" s="183">
        <f>PRODUCT('Rollen-Prozess-Matrix'!I14,'Kompetenz-Prozess-Matrix'!I18)</f>
        <v>0</v>
      </c>
      <c r="F186" s="183">
        <f>PRODUCT('Rollen-Prozess-Matrix'!J14,'Kompetenz-Prozess-Matrix'!I18)</f>
        <v>0</v>
      </c>
      <c r="G186" s="183">
        <f>PRODUCT('Rollen-Prozess-Matrix'!K14,'Kompetenz-Prozess-Matrix'!I18)</f>
        <v>0</v>
      </c>
      <c r="H186" s="183">
        <f>PRODUCT('Rollen-Prozess-Matrix'!L14,'Kompetenz-Prozess-Matrix'!I18)</f>
        <v>0</v>
      </c>
      <c r="I186" s="183">
        <f>PRODUCT('Rollen-Prozess-Matrix'!M14,'Kompetenz-Prozess-Matrix'!I18)</f>
        <v>0</v>
      </c>
      <c r="J186" s="183">
        <f>PRODUCT('Rollen-Prozess-Matrix'!N14,'Kompetenz-Prozess-Matrix'!I18)</f>
        <v>0</v>
      </c>
      <c r="K186" s="183">
        <f>PRODUCT('Rollen-Prozess-Matrix'!O14,'Kompetenz-Prozess-Matrix'!I18)</f>
        <v>0</v>
      </c>
      <c r="L186" s="183">
        <f>PRODUCT('Rollen-Prozess-Matrix'!P14,'Kompetenz-Prozess-Matrix'!I18)</f>
        <v>0</v>
      </c>
      <c r="M186" s="183">
        <f>PRODUCT('Rollen-Prozess-Matrix'!Q14,'Kompetenz-Prozess-Matrix'!I18)</f>
        <v>0</v>
      </c>
      <c r="N186" s="183">
        <f>PRODUCT('Rollen-Prozess-Matrix'!R14,'Kompetenz-Prozess-Matrix'!I18)</f>
        <v>0</v>
      </c>
      <c r="O186" s="183">
        <f>PRODUCT('Rollen-Prozess-Matrix'!S14,'Kompetenz-Prozess-Matrix'!I18)</f>
        <v>0</v>
      </c>
      <c r="P186" s="183">
        <f>PRODUCT('Rollen-Prozess-Matrix'!T14,'Kompetenz-Prozess-Matrix'!I18)</f>
        <v>0</v>
      </c>
      <c r="Q186" s="185">
        <f>PRODUCT('Rollen-Prozess-Matrix'!U14,'Kompetenz-Prozess-Matrix'!I18)</f>
        <v>0</v>
      </c>
    </row>
    <row r="187" spans="1:17" ht="38.25" hidden="1" outlineLevel="1" x14ac:dyDescent="0.35">
      <c r="A187" s="333"/>
      <c r="B187" s="339"/>
      <c r="C187" s="180" t="s">
        <v>177</v>
      </c>
      <c r="D187" s="182">
        <f>PRODUCT('Rollen-Prozess-Matrix'!H15,'Kompetenz-Prozess-Matrix'!I19)</f>
        <v>0</v>
      </c>
      <c r="E187" s="183">
        <f>PRODUCT('Rollen-Prozess-Matrix'!I15,'Kompetenz-Prozess-Matrix'!I19)</f>
        <v>0</v>
      </c>
      <c r="F187" s="183">
        <f>PRODUCT('Rollen-Prozess-Matrix'!J15,'Kompetenz-Prozess-Matrix'!I19)</f>
        <v>0</v>
      </c>
      <c r="G187" s="183">
        <f>PRODUCT('Rollen-Prozess-Matrix'!K15,'Kompetenz-Prozess-Matrix'!I19)</f>
        <v>0</v>
      </c>
      <c r="H187" s="183">
        <f>PRODUCT('Rollen-Prozess-Matrix'!L15,'Kompetenz-Prozess-Matrix'!I19)</f>
        <v>0</v>
      </c>
      <c r="I187" s="183">
        <f>PRODUCT('Rollen-Prozess-Matrix'!M15,'Kompetenz-Prozess-Matrix'!I19)</f>
        <v>0</v>
      </c>
      <c r="J187" s="183">
        <f>PRODUCT('Rollen-Prozess-Matrix'!N15,'Kompetenz-Prozess-Matrix'!I19)</f>
        <v>0</v>
      </c>
      <c r="K187" s="183">
        <f>PRODUCT('Rollen-Prozess-Matrix'!O15,'Kompetenz-Prozess-Matrix'!I19)</f>
        <v>0</v>
      </c>
      <c r="L187" s="183">
        <f>PRODUCT('Rollen-Prozess-Matrix'!P15,'Kompetenz-Prozess-Matrix'!I19)</f>
        <v>0</v>
      </c>
      <c r="M187" s="183">
        <f>PRODUCT('Rollen-Prozess-Matrix'!Q15,'Kompetenz-Prozess-Matrix'!I19)</f>
        <v>0</v>
      </c>
      <c r="N187" s="183">
        <f>PRODUCT('Rollen-Prozess-Matrix'!R15,'Kompetenz-Prozess-Matrix'!I19)</f>
        <v>0</v>
      </c>
      <c r="O187" s="183">
        <f>PRODUCT('Rollen-Prozess-Matrix'!S15,'Kompetenz-Prozess-Matrix'!I19)</f>
        <v>0</v>
      </c>
      <c r="P187" s="183">
        <f>PRODUCT('Rollen-Prozess-Matrix'!T15,'Kompetenz-Prozess-Matrix'!I19)</f>
        <v>0</v>
      </c>
      <c r="Q187" s="185">
        <f>PRODUCT('Rollen-Prozess-Matrix'!U15,'Kompetenz-Prozess-Matrix'!I19)</f>
        <v>0</v>
      </c>
    </row>
    <row r="188" spans="1:17" hidden="1" outlineLevel="1" x14ac:dyDescent="0.35">
      <c r="A188" s="333"/>
      <c r="B188" s="339"/>
      <c r="C188" s="180" t="s">
        <v>181</v>
      </c>
      <c r="D188" s="182">
        <f>PRODUCT('Rollen-Prozess-Matrix'!H16,'Kompetenz-Prozess-Matrix'!I20)</f>
        <v>0</v>
      </c>
      <c r="E188" s="183">
        <f>PRODUCT('Rollen-Prozess-Matrix'!I16,'Kompetenz-Prozess-Matrix'!I20)</f>
        <v>0</v>
      </c>
      <c r="F188" s="183">
        <f>PRODUCT('Rollen-Prozess-Matrix'!J16,'Kompetenz-Prozess-Matrix'!I20)</f>
        <v>0</v>
      </c>
      <c r="G188" s="183">
        <f>PRODUCT('Rollen-Prozess-Matrix'!K16,'Kompetenz-Prozess-Matrix'!I20)</f>
        <v>0</v>
      </c>
      <c r="H188" s="183">
        <f>PRODUCT('Rollen-Prozess-Matrix'!L16,'Kompetenz-Prozess-Matrix'!I20)</f>
        <v>0</v>
      </c>
      <c r="I188" s="183">
        <f>PRODUCT('Rollen-Prozess-Matrix'!M16,'Kompetenz-Prozess-Matrix'!I20)</f>
        <v>0</v>
      </c>
      <c r="J188" s="183">
        <f>PRODUCT('Rollen-Prozess-Matrix'!N16,'Kompetenz-Prozess-Matrix'!I20)</f>
        <v>0</v>
      </c>
      <c r="K188" s="183">
        <f>PRODUCT('Rollen-Prozess-Matrix'!O16,'Kompetenz-Prozess-Matrix'!I20)</f>
        <v>0</v>
      </c>
      <c r="L188" s="183">
        <f>PRODUCT('Rollen-Prozess-Matrix'!P16,'Kompetenz-Prozess-Matrix'!I20)</f>
        <v>0</v>
      </c>
      <c r="M188" s="183">
        <f>PRODUCT('Rollen-Prozess-Matrix'!Q16,'Kompetenz-Prozess-Matrix'!I20)</f>
        <v>0</v>
      </c>
      <c r="N188" s="183">
        <f>PRODUCT('Rollen-Prozess-Matrix'!R16,'Kompetenz-Prozess-Matrix'!I20)</f>
        <v>0</v>
      </c>
      <c r="O188" s="183">
        <f>PRODUCT('Rollen-Prozess-Matrix'!S16,'Kompetenz-Prozess-Matrix'!I20)</f>
        <v>0</v>
      </c>
      <c r="P188" s="183">
        <f>PRODUCT('Rollen-Prozess-Matrix'!T16,'Kompetenz-Prozess-Matrix'!I20)</f>
        <v>0</v>
      </c>
      <c r="Q188" s="185">
        <f>PRODUCT('Rollen-Prozess-Matrix'!U16,'Kompetenz-Prozess-Matrix'!I20)</f>
        <v>0</v>
      </c>
    </row>
    <row r="189" spans="1:17" ht="38.25" hidden="1" outlineLevel="1" x14ac:dyDescent="0.35">
      <c r="A189" s="333"/>
      <c r="B189" s="339"/>
      <c r="C189" s="180" t="s">
        <v>185</v>
      </c>
      <c r="D189" s="182">
        <f>PRODUCT('Rollen-Prozess-Matrix'!H17,'Kompetenz-Prozess-Matrix'!I21)</f>
        <v>0</v>
      </c>
      <c r="E189" s="183">
        <f>PRODUCT('Rollen-Prozess-Matrix'!I17,'Kompetenz-Prozess-Matrix'!I21)</f>
        <v>0</v>
      </c>
      <c r="F189" s="183">
        <f>PRODUCT('Rollen-Prozess-Matrix'!J17,'Kompetenz-Prozess-Matrix'!I21)</f>
        <v>0</v>
      </c>
      <c r="G189" s="183">
        <f>PRODUCT('Rollen-Prozess-Matrix'!K17,'Kompetenz-Prozess-Matrix'!I21)</f>
        <v>0</v>
      </c>
      <c r="H189" s="183">
        <f>PRODUCT('Rollen-Prozess-Matrix'!L17,'Kompetenz-Prozess-Matrix'!I21)</f>
        <v>0</v>
      </c>
      <c r="I189" s="183">
        <f>PRODUCT('Rollen-Prozess-Matrix'!M17,'Kompetenz-Prozess-Matrix'!I21)</f>
        <v>0</v>
      </c>
      <c r="J189" s="183">
        <f>PRODUCT('Rollen-Prozess-Matrix'!N17,'Kompetenz-Prozess-Matrix'!I21)</f>
        <v>0</v>
      </c>
      <c r="K189" s="183">
        <f>PRODUCT('Rollen-Prozess-Matrix'!O17,'Kompetenz-Prozess-Matrix'!I21)</f>
        <v>0</v>
      </c>
      <c r="L189" s="183">
        <f>PRODUCT('Rollen-Prozess-Matrix'!P17,'Kompetenz-Prozess-Matrix'!I21)</f>
        <v>0</v>
      </c>
      <c r="M189" s="183">
        <f>PRODUCT('Rollen-Prozess-Matrix'!Q17,'Kompetenz-Prozess-Matrix'!I21)</f>
        <v>0</v>
      </c>
      <c r="N189" s="183">
        <f>PRODUCT('Rollen-Prozess-Matrix'!R17,'Kompetenz-Prozess-Matrix'!I21)</f>
        <v>0</v>
      </c>
      <c r="O189" s="183">
        <f>PRODUCT('Rollen-Prozess-Matrix'!S17,'Kompetenz-Prozess-Matrix'!I21)</f>
        <v>0</v>
      </c>
      <c r="P189" s="183">
        <f>PRODUCT('Rollen-Prozess-Matrix'!T17,'Kompetenz-Prozess-Matrix'!I21)</f>
        <v>0</v>
      </c>
      <c r="Q189" s="185">
        <f>PRODUCT('Rollen-Prozess-Matrix'!U17,'Kompetenz-Prozess-Matrix'!I21)</f>
        <v>0</v>
      </c>
    </row>
    <row r="190" spans="1:17" ht="51" hidden="1" outlineLevel="1" x14ac:dyDescent="0.35">
      <c r="A190" s="333"/>
      <c r="B190" s="339"/>
      <c r="C190" s="180" t="s">
        <v>190</v>
      </c>
      <c r="D190" s="182">
        <f>PRODUCT('Rollen-Prozess-Matrix'!H18,'Kompetenz-Prozess-Matrix'!I22)</f>
        <v>0</v>
      </c>
      <c r="E190" s="183">
        <f>PRODUCT('Rollen-Prozess-Matrix'!I18,'Kompetenz-Prozess-Matrix'!I22)</f>
        <v>0</v>
      </c>
      <c r="F190" s="183">
        <f>PRODUCT('Rollen-Prozess-Matrix'!J18,'Kompetenz-Prozess-Matrix'!I22)</f>
        <v>0</v>
      </c>
      <c r="G190" s="183">
        <f>PRODUCT('Rollen-Prozess-Matrix'!K18,'Kompetenz-Prozess-Matrix'!I22)</f>
        <v>0</v>
      </c>
      <c r="H190" s="183">
        <f>PRODUCT('Rollen-Prozess-Matrix'!L18,'Kompetenz-Prozess-Matrix'!I22)</f>
        <v>0</v>
      </c>
      <c r="I190" s="183">
        <f>PRODUCT('Rollen-Prozess-Matrix'!M18,'Kompetenz-Prozess-Matrix'!I22)</f>
        <v>0</v>
      </c>
      <c r="J190" s="183">
        <f>PRODUCT('Rollen-Prozess-Matrix'!N18,'Kompetenz-Prozess-Matrix'!I22)</f>
        <v>0</v>
      </c>
      <c r="K190" s="183">
        <f>PRODUCT('Rollen-Prozess-Matrix'!O18,'Kompetenz-Prozess-Matrix'!I22)</f>
        <v>0</v>
      </c>
      <c r="L190" s="183">
        <f>PRODUCT('Rollen-Prozess-Matrix'!P18,'Kompetenz-Prozess-Matrix'!I22)</f>
        <v>0</v>
      </c>
      <c r="M190" s="183">
        <f>PRODUCT('Rollen-Prozess-Matrix'!Q18,'Kompetenz-Prozess-Matrix'!I22)</f>
        <v>0</v>
      </c>
      <c r="N190" s="183">
        <f>PRODUCT('Rollen-Prozess-Matrix'!R18,'Kompetenz-Prozess-Matrix'!I22)</f>
        <v>0</v>
      </c>
      <c r="O190" s="183">
        <f>PRODUCT('Rollen-Prozess-Matrix'!S18,'Kompetenz-Prozess-Matrix'!I22)</f>
        <v>0</v>
      </c>
      <c r="P190" s="183">
        <f>PRODUCT('Rollen-Prozess-Matrix'!T18,'Kompetenz-Prozess-Matrix'!I22)</f>
        <v>0</v>
      </c>
      <c r="Q190" s="185">
        <f>PRODUCT('Rollen-Prozess-Matrix'!U18,'Kompetenz-Prozess-Matrix'!I22)</f>
        <v>0</v>
      </c>
    </row>
    <row r="191" spans="1:17" ht="63.75" hidden="1" outlineLevel="1" x14ac:dyDescent="0.35">
      <c r="A191" s="333"/>
      <c r="B191" s="339"/>
      <c r="C191" s="180" t="s">
        <v>194</v>
      </c>
      <c r="D191" s="182">
        <f>PRODUCT('Rollen-Prozess-Matrix'!H19,'Kompetenz-Prozess-Matrix'!I23)</f>
        <v>0</v>
      </c>
      <c r="E191" s="183">
        <f>PRODUCT('Rollen-Prozess-Matrix'!I19,'Kompetenz-Prozess-Matrix'!I23)</f>
        <v>2</v>
      </c>
      <c r="F191" s="183">
        <f>PRODUCT('Rollen-Prozess-Matrix'!J19,'Kompetenz-Prozess-Matrix'!I23)</f>
        <v>0</v>
      </c>
      <c r="G191" s="183">
        <f>PRODUCT('Rollen-Prozess-Matrix'!K19,'Kompetenz-Prozess-Matrix'!I23)</f>
        <v>0</v>
      </c>
      <c r="H191" s="183">
        <f>PRODUCT('Rollen-Prozess-Matrix'!L19,'Kompetenz-Prozess-Matrix'!I23)</f>
        <v>3</v>
      </c>
      <c r="I191" s="183">
        <f>PRODUCT('Rollen-Prozess-Matrix'!M19,'Kompetenz-Prozess-Matrix'!I23)</f>
        <v>1</v>
      </c>
      <c r="J191" s="183">
        <f>PRODUCT('Rollen-Prozess-Matrix'!N19,'Kompetenz-Prozess-Matrix'!I23)</f>
        <v>0</v>
      </c>
      <c r="K191" s="183">
        <f>PRODUCT('Rollen-Prozess-Matrix'!O19,'Kompetenz-Prozess-Matrix'!I23)</f>
        <v>0</v>
      </c>
      <c r="L191" s="183">
        <f>PRODUCT('Rollen-Prozess-Matrix'!P19,'Kompetenz-Prozess-Matrix'!I23)</f>
        <v>1</v>
      </c>
      <c r="M191" s="183">
        <f>PRODUCT('Rollen-Prozess-Matrix'!Q19,'Kompetenz-Prozess-Matrix'!I23)</f>
        <v>0</v>
      </c>
      <c r="N191" s="183">
        <f>PRODUCT('Rollen-Prozess-Matrix'!R19,'Kompetenz-Prozess-Matrix'!I23)</f>
        <v>0</v>
      </c>
      <c r="O191" s="183">
        <f>PRODUCT('Rollen-Prozess-Matrix'!S19,'Kompetenz-Prozess-Matrix'!I23)</f>
        <v>0</v>
      </c>
      <c r="P191" s="183">
        <f>PRODUCT('Rollen-Prozess-Matrix'!T19,'Kompetenz-Prozess-Matrix'!I23)</f>
        <v>0</v>
      </c>
      <c r="Q191" s="185">
        <f>PRODUCT('Rollen-Prozess-Matrix'!U19,'Kompetenz-Prozess-Matrix'!I23)</f>
        <v>0</v>
      </c>
    </row>
    <row r="192" spans="1:17" ht="63.75" hidden="1" outlineLevel="1" x14ac:dyDescent="0.35">
      <c r="A192" s="333"/>
      <c r="B192" s="339"/>
      <c r="C192" s="180" t="s">
        <v>201</v>
      </c>
      <c r="D192" s="182">
        <f>PRODUCT('Rollen-Prozess-Matrix'!H20,'Kompetenz-Prozess-Matrix'!I24)</f>
        <v>0</v>
      </c>
      <c r="E192" s="183">
        <f>PRODUCT('Rollen-Prozess-Matrix'!I20,'Kompetenz-Prozess-Matrix'!I24)</f>
        <v>2</v>
      </c>
      <c r="F192" s="183">
        <f>PRODUCT('Rollen-Prozess-Matrix'!J20,'Kompetenz-Prozess-Matrix'!I24)</f>
        <v>0</v>
      </c>
      <c r="G192" s="183">
        <f>PRODUCT('Rollen-Prozess-Matrix'!K20,'Kompetenz-Prozess-Matrix'!I24)</f>
        <v>0</v>
      </c>
      <c r="H192" s="183">
        <f>PRODUCT('Rollen-Prozess-Matrix'!L20,'Kompetenz-Prozess-Matrix'!I24)</f>
        <v>3</v>
      </c>
      <c r="I192" s="183">
        <f>PRODUCT('Rollen-Prozess-Matrix'!M20,'Kompetenz-Prozess-Matrix'!I24)</f>
        <v>2</v>
      </c>
      <c r="J192" s="183">
        <f>PRODUCT('Rollen-Prozess-Matrix'!N20,'Kompetenz-Prozess-Matrix'!I24)</f>
        <v>1</v>
      </c>
      <c r="K192" s="183">
        <f>PRODUCT('Rollen-Prozess-Matrix'!O20,'Kompetenz-Prozess-Matrix'!I24)</f>
        <v>0</v>
      </c>
      <c r="L192" s="183">
        <f>PRODUCT('Rollen-Prozess-Matrix'!P20,'Kompetenz-Prozess-Matrix'!I24)</f>
        <v>1</v>
      </c>
      <c r="M192" s="183">
        <f>PRODUCT('Rollen-Prozess-Matrix'!Q20,'Kompetenz-Prozess-Matrix'!I24)</f>
        <v>0</v>
      </c>
      <c r="N192" s="183">
        <f>PRODUCT('Rollen-Prozess-Matrix'!R20,'Kompetenz-Prozess-Matrix'!I24)</f>
        <v>0</v>
      </c>
      <c r="O192" s="183">
        <f>PRODUCT('Rollen-Prozess-Matrix'!S20,'Kompetenz-Prozess-Matrix'!I24)</f>
        <v>0</v>
      </c>
      <c r="P192" s="183">
        <f>PRODUCT('Rollen-Prozess-Matrix'!T20,'Kompetenz-Prozess-Matrix'!I24)</f>
        <v>0</v>
      </c>
      <c r="Q192" s="185">
        <f>PRODUCT('Rollen-Prozess-Matrix'!U20,'Kompetenz-Prozess-Matrix'!I24)</f>
        <v>0</v>
      </c>
    </row>
    <row r="193" spans="1:19" ht="51" hidden="1" outlineLevel="1" x14ac:dyDescent="0.35">
      <c r="A193" s="333"/>
      <c r="B193" s="339"/>
      <c r="C193" s="180" t="s">
        <v>205</v>
      </c>
      <c r="D193" s="182">
        <f>PRODUCT('Rollen-Prozess-Matrix'!H21,'Kompetenz-Prozess-Matrix'!I25)</f>
        <v>0</v>
      </c>
      <c r="E193" s="183">
        <f>PRODUCT('Rollen-Prozess-Matrix'!I21,'Kompetenz-Prozess-Matrix'!I25)</f>
        <v>2</v>
      </c>
      <c r="F193" s="183">
        <f>PRODUCT('Rollen-Prozess-Matrix'!J21,'Kompetenz-Prozess-Matrix'!I25)</f>
        <v>0</v>
      </c>
      <c r="G193" s="183">
        <f>PRODUCT('Rollen-Prozess-Matrix'!K21,'Kompetenz-Prozess-Matrix'!I25)</f>
        <v>0</v>
      </c>
      <c r="H193" s="183">
        <f>PRODUCT('Rollen-Prozess-Matrix'!L21,'Kompetenz-Prozess-Matrix'!I25)</f>
        <v>6</v>
      </c>
      <c r="I193" s="183">
        <f>PRODUCT('Rollen-Prozess-Matrix'!M21,'Kompetenz-Prozess-Matrix'!I25)</f>
        <v>4</v>
      </c>
      <c r="J193" s="183">
        <f>PRODUCT('Rollen-Prozess-Matrix'!N21,'Kompetenz-Prozess-Matrix'!I25)</f>
        <v>2</v>
      </c>
      <c r="K193" s="183">
        <f>PRODUCT('Rollen-Prozess-Matrix'!O21,'Kompetenz-Prozess-Matrix'!I25)</f>
        <v>0</v>
      </c>
      <c r="L193" s="183">
        <f>PRODUCT('Rollen-Prozess-Matrix'!P21,'Kompetenz-Prozess-Matrix'!I25)</f>
        <v>0</v>
      </c>
      <c r="M193" s="183">
        <f>PRODUCT('Rollen-Prozess-Matrix'!Q21,'Kompetenz-Prozess-Matrix'!I25)</f>
        <v>0</v>
      </c>
      <c r="N193" s="183">
        <f>PRODUCT('Rollen-Prozess-Matrix'!R21,'Kompetenz-Prozess-Matrix'!I25)</f>
        <v>0</v>
      </c>
      <c r="O193" s="183">
        <f>PRODUCT('Rollen-Prozess-Matrix'!S21,'Kompetenz-Prozess-Matrix'!I25)</f>
        <v>0</v>
      </c>
      <c r="P193" s="183">
        <f>PRODUCT('Rollen-Prozess-Matrix'!T21,'Kompetenz-Prozess-Matrix'!I25)</f>
        <v>0</v>
      </c>
      <c r="Q193" s="185">
        <f>PRODUCT('Rollen-Prozess-Matrix'!U21,'Kompetenz-Prozess-Matrix'!I25)</f>
        <v>0</v>
      </c>
    </row>
    <row r="194" spans="1:19" ht="38.25" hidden="1" outlineLevel="1" x14ac:dyDescent="0.35">
      <c r="A194" s="333"/>
      <c r="B194" s="339"/>
      <c r="C194" s="180" t="s">
        <v>209</v>
      </c>
      <c r="D194" s="182">
        <f>PRODUCT('Rollen-Prozess-Matrix'!H22,'Kompetenz-Prozess-Matrix'!I26)</f>
        <v>0</v>
      </c>
      <c r="E194" s="183">
        <f>PRODUCT('Rollen-Prozess-Matrix'!I22,'Kompetenz-Prozess-Matrix'!I26)</f>
        <v>2</v>
      </c>
      <c r="F194" s="183">
        <f>PRODUCT('Rollen-Prozess-Matrix'!J22,'Kompetenz-Prozess-Matrix'!I26)</f>
        <v>0</v>
      </c>
      <c r="G194" s="183">
        <f>PRODUCT('Rollen-Prozess-Matrix'!K22,'Kompetenz-Prozess-Matrix'!I26)</f>
        <v>0</v>
      </c>
      <c r="H194" s="183">
        <f>PRODUCT('Rollen-Prozess-Matrix'!L22,'Kompetenz-Prozess-Matrix'!I26)</f>
        <v>6</v>
      </c>
      <c r="I194" s="183">
        <f>PRODUCT('Rollen-Prozess-Matrix'!M22,'Kompetenz-Prozess-Matrix'!I26)</f>
        <v>4</v>
      </c>
      <c r="J194" s="183">
        <f>PRODUCT('Rollen-Prozess-Matrix'!N22,'Kompetenz-Prozess-Matrix'!I26)</f>
        <v>4</v>
      </c>
      <c r="K194" s="183">
        <f>PRODUCT('Rollen-Prozess-Matrix'!O22,'Kompetenz-Prozess-Matrix'!I26)</f>
        <v>0</v>
      </c>
      <c r="L194" s="183">
        <f>PRODUCT('Rollen-Prozess-Matrix'!P22,'Kompetenz-Prozess-Matrix'!I26)</f>
        <v>0</v>
      </c>
      <c r="M194" s="183">
        <f>PRODUCT('Rollen-Prozess-Matrix'!Q22,'Kompetenz-Prozess-Matrix'!I26)</f>
        <v>0</v>
      </c>
      <c r="N194" s="183">
        <f>PRODUCT('Rollen-Prozess-Matrix'!R22,'Kompetenz-Prozess-Matrix'!I26)</f>
        <v>0</v>
      </c>
      <c r="O194" s="183">
        <f>PRODUCT('Rollen-Prozess-Matrix'!S22,'Kompetenz-Prozess-Matrix'!I26)</f>
        <v>0</v>
      </c>
      <c r="P194" s="183">
        <f>PRODUCT('Rollen-Prozess-Matrix'!T22,'Kompetenz-Prozess-Matrix'!I26)</f>
        <v>0</v>
      </c>
      <c r="Q194" s="185">
        <f>PRODUCT('Rollen-Prozess-Matrix'!U22,'Kompetenz-Prozess-Matrix'!I26)</f>
        <v>0</v>
      </c>
    </row>
    <row r="195" spans="1:19" ht="38.25" hidden="1" outlineLevel="1" x14ac:dyDescent="0.35">
      <c r="A195" s="333"/>
      <c r="B195" s="339"/>
      <c r="C195" s="180" t="s">
        <v>213</v>
      </c>
      <c r="D195" s="182">
        <f>PRODUCT('Rollen-Prozess-Matrix'!H23,'Kompetenz-Prozess-Matrix'!I27)</f>
        <v>0</v>
      </c>
      <c r="E195" s="183">
        <f>PRODUCT('Rollen-Prozess-Matrix'!I23,'Kompetenz-Prozess-Matrix'!I27)</f>
        <v>0</v>
      </c>
      <c r="F195" s="183">
        <f>PRODUCT('Rollen-Prozess-Matrix'!J23,'Kompetenz-Prozess-Matrix'!I27)</f>
        <v>0</v>
      </c>
      <c r="G195" s="183">
        <f>PRODUCT('Rollen-Prozess-Matrix'!K23,'Kompetenz-Prozess-Matrix'!I27)</f>
        <v>0</v>
      </c>
      <c r="H195" s="183">
        <f>PRODUCT('Rollen-Prozess-Matrix'!L23,'Kompetenz-Prozess-Matrix'!I27)</f>
        <v>3</v>
      </c>
      <c r="I195" s="183">
        <f>PRODUCT('Rollen-Prozess-Matrix'!M23,'Kompetenz-Prozess-Matrix'!I27)</f>
        <v>1</v>
      </c>
      <c r="J195" s="183">
        <f>PRODUCT('Rollen-Prozess-Matrix'!N23,'Kompetenz-Prozess-Matrix'!I27)</f>
        <v>0</v>
      </c>
      <c r="K195" s="183">
        <f>PRODUCT('Rollen-Prozess-Matrix'!O23,'Kompetenz-Prozess-Matrix'!I27)</f>
        <v>0</v>
      </c>
      <c r="L195" s="183">
        <f>PRODUCT('Rollen-Prozess-Matrix'!P23,'Kompetenz-Prozess-Matrix'!I27)</f>
        <v>2</v>
      </c>
      <c r="M195" s="183">
        <f>PRODUCT('Rollen-Prozess-Matrix'!Q23,'Kompetenz-Prozess-Matrix'!I27)</f>
        <v>0</v>
      </c>
      <c r="N195" s="183">
        <f>PRODUCT('Rollen-Prozess-Matrix'!R23,'Kompetenz-Prozess-Matrix'!I27)</f>
        <v>0</v>
      </c>
      <c r="O195" s="183">
        <f>PRODUCT('Rollen-Prozess-Matrix'!S23,'Kompetenz-Prozess-Matrix'!I27)</f>
        <v>0</v>
      </c>
      <c r="P195" s="183">
        <f>PRODUCT('Rollen-Prozess-Matrix'!T23,'Kompetenz-Prozess-Matrix'!I27)</f>
        <v>0</v>
      </c>
      <c r="Q195" s="185">
        <f>PRODUCT('Rollen-Prozess-Matrix'!U23,'Kompetenz-Prozess-Matrix'!I27)</f>
        <v>0</v>
      </c>
    </row>
    <row r="196" spans="1:19" ht="38.25" hidden="1" outlineLevel="1" x14ac:dyDescent="0.35">
      <c r="A196" s="333"/>
      <c r="B196" s="339"/>
      <c r="C196" s="180" t="s">
        <v>217</v>
      </c>
      <c r="D196" s="182">
        <f>PRODUCT('Rollen-Prozess-Matrix'!H24,'Kompetenz-Prozess-Matrix'!I28)</f>
        <v>0</v>
      </c>
      <c r="E196" s="183">
        <f>PRODUCT('Rollen-Prozess-Matrix'!I24,'Kompetenz-Prozess-Matrix'!I28)</f>
        <v>0</v>
      </c>
      <c r="F196" s="183">
        <f>PRODUCT('Rollen-Prozess-Matrix'!J24,'Kompetenz-Prozess-Matrix'!I28)</f>
        <v>0</v>
      </c>
      <c r="G196" s="183">
        <f>PRODUCT('Rollen-Prozess-Matrix'!K24,'Kompetenz-Prozess-Matrix'!I28)</f>
        <v>0</v>
      </c>
      <c r="H196" s="183">
        <f>PRODUCT('Rollen-Prozess-Matrix'!L24,'Kompetenz-Prozess-Matrix'!I28)</f>
        <v>3</v>
      </c>
      <c r="I196" s="183">
        <f>PRODUCT('Rollen-Prozess-Matrix'!M24,'Kompetenz-Prozess-Matrix'!I28)</f>
        <v>0</v>
      </c>
      <c r="J196" s="183">
        <f>PRODUCT('Rollen-Prozess-Matrix'!N24,'Kompetenz-Prozess-Matrix'!I28)</f>
        <v>2</v>
      </c>
      <c r="K196" s="183">
        <f>PRODUCT('Rollen-Prozess-Matrix'!O24,'Kompetenz-Prozess-Matrix'!I28)</f>
        <v>2</v>
      </c>
      <c r="L196" s="183">
        <f>PRODUCT('Rollen-Prozess-Matrix'!P24,'Kompetenz-Prozess-Matrix'!I28)</f>
        <v>0</v>
      </c>
      <c r="M196" s="183">
        <f>PRODUCT('Rollen-Prozess-Matrix'!Q24,'Kompetenz-Prozess-Matrix'!I28)</f>
        <v>2</v>
      </c>
      <c r="N196" s="183">
        <f>PRODUCT('Rollen-Prozess-Matrix'!R24,'Kompetenz-Prozess-Matrix'!I28)</f>
        <v>0</v>
      </c>
      <c r="O196" s="183">
        <f>PRODUCT('Rollen-Prozess-Matrix'!S24,'Kompetenz-Prozess-Matrix'!I28)</f>
        <v>0</v>
      </c>
      <c r="P196" s="183">
        <f>PRODUCT('Rollen-Prozess-Matrix'!T24,'Kompetenz-Prozess-Matrix'!I28)</f>
        <v>0</v>
      </c>
      <c r="Q196" s="185">
        <f>PRODUCT('Rollen-Prozess-Matrix'!U24,'Kompetenz-Prozess-Matrix'!I28)</f>
        <v>0</v>
      </c>
    </row>
    <row r="197" spans="1:19" ht="38.25" hidden="1" outlineLevel="1" x14ac:dyDescent="0.35">
      <c r="A197" s="333"/>
      <c r="B197" s="339"/>
      <c r="C197" s="180" t="s">
        <v>223</v>
      </c>
      <c r="D197" s="182">
        <f>PRODUCT('Rollen-Prozess-Matrix'!H25,'Kompetenz-Prozess-Matrix'!I29)</f>
        <v>0</v>
      </c>
      <c r="E197" s="183">
        <f>PRODUCT('Rollen-Prozess-Matrix'!I25,'Kompetenz-Prozess-Matrix'!I29)</f>
        <v>1</v>
      </c>
      <c r="F197" s="183">
        <f>PRODUCT('Rollen-Prozess-Matrix'!J25,'Kompetenz-Prozess-Matrix'!I29)</f>
        <v>0</v>
      </c>
      <c r="G197" s="183">
        <f>PRODUCT('Rollen-Prozess-Matrix'!K25,'Kompetenz-Prozess-Matrix'!I29)</f>
        <v>0</v>
      </c>
      <c r="H197" s="183">
        <f>PRODUCT('Rollen-Prozess-Matrix'!L25,'Kompetenz-Prozess-Matrix'!I29)</f>
        <v>3</v>
      </c>
      <c r="I197" s="183">
        <f>PRODUCT('Rollen-Prozess-Matrix'!M25,'Kompetenz-Prozess-Matrix'!I29)</f>
        <v>0</v>
      </c>
      <c r="J197" s="183">
        <f>PRODUCT('Rollen-Prozess-Matrix'!N25,'Kompetenz-Prozess-Matrix'!I29)</f>
        <v>0</v>
      </c>
      <c r="K197" s="183">
        <f>PRODUCT('Rollen-Prozess-Matrix'!O25,'Kompetenz-Prozess-Matrix'!I29)</f>
        <v>1</v>
      </c>
      <c r="L197" s="183">
        <f>PRODUCT('Rollen-Prozess-Matrix'!P25,'Kompetenz-Prozess-Matrix'!I29)</f>
        <v>1</v>
      </c>
      <c r="M197" s="183">
        <f>PRODUCT('Rollen-Prozess-Matrix'!Q25,'Kompetenz-Prozess-Matrix'!I29)</f>
        <v>2</v>
      </c>
      <c r="N197" s="183">
        <f>PRODUCT('Rollen-Prozess-Matrix'!R25,'Kompetenz-Prozess-Matrix'!I29)</f>
        <v>0</v>
      </c>
      <c r="O197" s="183">
        <f>PRODUCT('Rollen-Prozess-Matrix'!S25,'Kompetenz-Prozess-Matrix'!I29)</f>
        <v>0</v>
      </c>
      <c r="P197" s="183">
        <f>PRODUCT('Rollen-Prozess-Matrix'!T25,'Kompetenz-Prozess-Matrix'!I29)</f>
        <v>0</v>
      </c>
      <c r="Q197" s="185">
        <f>PRODUCT('Rollen-Prozess-Matrix'!U25,'Kompetenz-Prozess-Matrix'!I29)</f>
        <v>0</v>
      </c>
    </row>
    <row r="198" spans="1:19" ht="38.25" hidden="1" outlineLevel="1" x14ac:dyDescent="0.35">
      <c r="A198" s="333"/>
      <c r="B198" s="339"/>
      <c r="C198" s="180" t="s">
        <v>229</v>
      </c>
      <c r="D198" s="182">
        <f>PRODUCT('Rollen-Prozess-Matrix'!H26,'Kompetenz-Prozess-Matrix'!I30)</f>
        <v>0</v>
      </c>
      <c r="E198" s="183">
        <f>PRODUCT('Rollen-Prozess-Matrix'!I26,'Kompetenz-Prozess-Matrix'!I30)</f>
        <v>0</v>
      </c>
      <c r="F198" s="183">
        <f>PRODUCT('Rollen-Prozess-Matrix'!J26,'Kompetenz-Prozess-Matrix'!I30)</f>
        <v>0</v>
      </c>
      <c r="G198" s="183">
        <f>PRODUCT('Rollen-Prozess-Matrix'!K26,'Kompetenz-Prozess-Matrix'!I30)</f>
        <v>0</v>
      </c>
      <c r="H198" s="183">
        <f>PRODUCT('Rollen-Prozess-Matrix'!L26,'Kompetenz-Prozess-Matrix'!I30)</f>
        <v>0</v>
      </c>
      <c r="I198" s="183">
        <f>PRODUCT('Rollen-Prozess-Matrix'!M26,'Kompetenz-Prozess-Matrix'!I30)</f>
        <v>0</v>
      </c>
      <c r="J198" s="183">
        <f>PRODUCT('Rollen-Prozess-Matrix'!N26,'Kompetenz-Prozess-Matrix'!I30)</f>
        <v>0</v>
      </c>
      <c r="K198" s="183">
        <f>PRODUCT('Rollen-Prozess-Matrix'!O26,'Kompetenz-Prozess-Matrix'!I30)</f>
        <v>0</v>
      </c>
      <c r="L198" s="183">
        <f>PRODUCT('Rollen-Prozess-Matrix'!P26,'Kompetenz-Prozess-Matrix'!I30)</f>
        <v>0</v>
      </c>
      <c r="M198" s="183">
        <f>PRODUCT('Rollen-Prozess-Matrix'!Q26,'Kompetenz-Prozess-Matrix'!I30)</f>
        <v>0</v>
      </c>
      <c r="N198" s="183">
        <f>PRODUCT('Rollen-Prozess-Matrix'!R26,'Kompetenz-Prozess-Matrix'!I30)</f>
        <v>0</v>
      </c>
      <c r="O198" s="183">
        <f>PRODUCT('Rollen-Prozess-Matrix'!S26,'Kompetenz-Prozess-Matrix'!I30)</f>
        <v>0</v>
      </c>
      <c r="P198" s="183">
        <f>PRODUCT('Rollen-Prozess-Matrix'!T26,'Kompetenz-Prozess-Matrix'!I30)</f>
        <v>0</v>
      </c>
      <c r="Q198" s="185">
        <f>PRODUCT('Rollen-Prozess-Matrix'!U26,'Kompetenz-Prozess-Matrix'!I30)</f>
        <v>0</v>
      </c>
    </row>
    <row r="199" spans="1:19" ht="38.25" hidden="1" outlineLevel="1" x14ac:dyDescent="0.35">
      <c r="A199" s="333"/>
      <c r="B199" s="339"/>
      <c r="C199" s="180" t="s">
        <v>235</v>
      </c>
      <c r="D199" s="182">
        <f>PRODUCT('Rollen-Prozess-Matrix'!H27,'Kompetenz-Prozess-Matrix'!I31)</f>
        <v>0</v>
      </c>
      <c r="E199" s="183">
        <f>PRODUCT('Rollen-Prozess-Matrix'!I27,'Kompetenz-Prozess-Matrix'!I31)</f>
        <v>0</v>
      </c>
      <c r="F199" s="183">
        <f>PRODUCT('Rollen-Prozess-Matrix'!J27,'Kompetenz-Prozess-Matrix'!I31)</f>
        <v>0</v>
      </c>
      <c r="G199" s="183">
        <f>PRODUCT('Rollen-Prozess-Matrix'!K27,'Kompetenz-Prozess-Matrix'!I31)</f>
        <v>0</v>
      </c>
      <c r="H199" s="183">
        <f>PRODUCT('Rollen-Prozess-Matrix'!L27,'Kompetenz-Prozess-Matrix'!I31)</f>
        <v>0</v>
      </c>
      <c r="I199" s="183">
        <f>PRODUCT('Rollen-Prozess-Matrix'!M27,'Kompetenz-Prozess-Matrix'!I31)</f>
        <v>0</v>
      </c>
      <c r="J199" s="183">
        <f>PRODUCT('Rollen-Prozess-Matrix'!N27,'Kompetenz-Prozess-Matrix'!I31)</f>
        <v>0</v>
      </c>
      <c r="K199" s="183">
        <f>PRODUCT('Rollen-Prozess-Matrix'!O27,'Kompetenz-Prozess-Matrix'!I31)</f>
        <v>0</v>
      </c>
      <c r="L199" s="183">
        <f>PRODUCT('Rollen-Prozess-Matrix'!P27,'Kompetenz-Prozess-Matrix'!I31)</f>
        <v>0</v>
      </c>
      <c r="M199" s="183">
        <f>PRODUCT('Rollen-Prozess-Matrix'!Q27,'Kompetenz-Prozess-Matrix'!I31)</f>
        <v>0</v>
      </c>
      <c r="N199" s="183">
        <f>PRODUCT('Rollen-Prozess-Matrix'!R27,'Kompetenz-Prozess-Matrix'!I31)</f>
        <v>0</v>
      </c>
      <c r="O199" s="183">
        <f>PRODUCT('Rollen-Prozess-Matrix'!S27,'Kompetenz-Prozess-Matrix'!I31)</f>
        <v>0</v>
      </c>
      <c r="P199" s="183">
        <f>PRODUCT('Rollen-Prozess-Matrix'!T27,'Kompetenz-Prozess-Matrix'!I31)</f>
        <v>0</v>
      </c>
      <c r="Q199" s="185">
        <f>PRODUCT('Rollen-Prozess-Matrix'!U27,'Kompetenz-Prozess-Matrix'!I31)</f>
        <v>0</v>
      </c>
    </row>
    <row r="200" spans="1:19" ht="38.25" hidden="1" outlineLevel="1" x14ac:dyDescent="0.35">
      <c r="A200" s="333"/>
      <c r="B200" s="339"/>
      <c r="C200" s="180" t="s">
        <v>242</v>
      </c>
      <c r="D200" s="182">
        <f>PRODUCT('Rollen-Prozess-Matrix'!H28,'Kompetenz-Prozess-Matrix'!I32)</f>
        <v>0</v>
      </c>
      <c r="E200" s="183">
        <f>PRODUCT('Rollen-Prozess-Matrix'!I28,'Kompetenz-Prozess-Matrix'!I32)</f>
        <v>0</v>
      </c>
      <c r="F200" s="183">
        <f>PRODUCT('Rollen-Prozess-Matrix'!J28,'Kompetenz-Prozess-Matrix'!I32)</f>
        <v>0</v>
      </c>
      <c r="G200" s="183">
        <f>PRODUCT('Rollen-Prozess-Matrix'!K28,'Kompetenz-Prozess-Matrix'!I32)</f>
        <v>0</v>
      </c>
      <c r="H200" s="183">
        <f>PRODUCT('Rollen-Prozess-Matrix'!L28,'Kompetenz-Prozess-Matrix'!I32)</f>
        <v>0</v>
      </c>
      <c r="I200" s="183">
        <f>PRODUCT('Rollen-Prozess-Matrix'!M28,'Kompetenz-Prozess-Matrix'!I32)</f>
        <v>0</v>
      </c>
      <c r="J200" s="183">
        <f>PRODUCT('Rollen-Prozess-Matrix'!N28,'Kompetenz-Prozess-Matrix'!I32)</f>
        <v>0</v>
      </c>
      <c r="K200" s="183">
        <f>PRODUCT('Rollen-Prozess-Matrix'!O28,'Kompetenz-Prozess-Matrix'!I32)</f>
        <v>0</v>
      </c>
      <c r="L200" s="183">
        <f>PRODUCT('Rollen-Prozess-Matrix'!P28,'Kompetenz-Prozess-Matrix'!I32)</f>
        <v>0</v>
      </c>
      <c r="M200" s="183">
        <f>PRODUCT('Rollen-Prozess-Matrix'!Q28,'Kompetenz-Prozess-Matrix'!I32)</f>
        <v>0</v>
      </c>
      <c r="N200" s="183">
        <f>PRODUCT('Rollen-Prozess-Matrix'!R28,'Kompetenz-Prozess-Matrix'!I32)</f>
        <v>0</v>
      </c>
      <c r="O200" s="183">
        <f>PRODUCT('Rollen-Prozess-Matrix'!S28,'Kompetenz-Prozess-Matrix'!I32)</f>
        <v>0</v>
      </c>
      <c r="P200" s="183">
        <f>PRODUCT('Rollen-Prozess-Matrix'!T28,'Kompetenz-Prozess-Matrix'!I32)</f>
        <v>0</v>
      </c>
      <c r="Q200" s="185">
        <f>PRODUCT('Rollen-Prozess-Matrix'!U28,'Kompetenz-Prozess-Matrix'!I32)</f>
        <v>0</v>
      </c>
    </row>
    <row r="201" spans="1:19" ht="38.25" hidden="1" outlineLevel="1" x14ac:dyDescent="0.35">
      <c r="A201" s="333"/>
      <c r="B201" s="339"/>
      <c r="C201" s="180" t="s">
        <v>248</v>
      </c>
      <c r="D201" s="182">
        <f>PRODUCT('Rollen-Prozess-Matrix'!H29,'Kompetenz-Prozess-Matrix'!I33)</f>
        <v>0</v>
      </c>
      <c r="E201" s="183">
        <f>PRODUCT('Rollen-Prozess-Matrix'!I29,'Kompetenz-Prozess-Matrix'!I33)</f>
        <v>0</v>
      </c>
      <c r="F201" s="183">
        <f>PRODUCT('Rollen-Prozess-Matrix'!J29,'Kompetenz-Prozess-Matrix'!I33)</f>
        <v>0</v>
      </c>
      <c r="G201" s="183">
        <f>PRODUCT('Rollen-Prozess-Matrix'!K29,'Kompetenz-Prozess-Matrix'!I33)</f>
        <v>0</v>
      </c>
      <c r="H201" s="183">
        <f>PRODUCT('Rollen-Prozess-Matrix'!L29,'Kompetenz-Prozess-Matrix'!I33)</f>
        <v>0</v>
      </c>
      <c r="I201" s="183">
        <f>PRODUCT('Rollen-Prozess-Matrix'!M29,'Kompetenz-Prozess-Matrix'!I33)</f>
        <v>0</v>
      </c>
      <c r="J201" s="183">
        <f>PRODUCT('Rollen-Prozess-Matrix'!N29,'Kompetenz-Prozess-Matrix'!I33)</f>
        <v>0</v>
      </c>
      <c r="K201" s="183">
        <f>PRODUCT('Rollen-Prozess-Matrix'!O29,'Kompetenz-Prozess-Matrix'!I33)</f>
        <v>0</v>
      </c>
      <c r="L201" s="183">
        <f>PRODUCT('Rollen-Prozess-Matrix'!P29,'Kompetenz-Prozess-Matrix'!I33)</f>
        <v>0</v>
      </c>
      <c r="M201" s="183">
        <f>PRODUCT('Rollen-Prozess-Matrix'!Q29,'Kompetenz-Prozess-Matrix'!I33)</f>
        <v>0</v>
      </c>
      <c r="N201" s="183">
        <f>PRODUCT('Rollen-Prozess-Matrix'!R29,'Kompetenz-Prozess-Matrix'!I33)</f>
        <v>0</v>
      </c>
      <c r="O201" s="183">
        <f>PRODUCT('Rollen-Prozess-Matrix'!S29,'Kompetenz-Prozess-Matrix'!I33)</f>
        <v>0</v>
      </c>
      <c r="P201" s="183">
        <f>PRODUCT('Rollen-Prozess-Matrix'!T29,'Kompetenz-Prozess-Matrix'!I33)</f>
        <v>0</v>
      </c>
      <c r="Q201" s="185">
        <f>PRODUCT('Rollen-Prozess-Matrix'!U29,'Kompetenz-Prozess-Matrix'!I33)</f>
        <v>0</v>
      </c>
    </row>
    <row r="202" spans="1:19" ht="38.25" hidden="1" outlineLevel="1" x14ac:dyDescent="0.35">
      <c r="A202" s="333"/>
      <c r="B202" s="339"/>
      <c r="C202" s="180" t="s">
        <v>255</v>
      </c>
      <c r="D202" s="182">
        <f>PRODUCT('Rollen-Prozess-Matrix'!H30,'Kompetenz-Prozess-Matrix'!I34)</f>
        <v>0</v>
      </c>
      <c r="E202" s="183">
        <f>PRODUCT('Rollen-Prozess-Matrix'!I30,'Kompetenz-Prozess-Matrix'!I34)</f>
        <v>0</v>
      </c>
      <c r="F202" s="183">
        <f>PRODUCT('Rollen-Prozess-Matrix'!J30,'Kompetenz-Prozess-Matrix'!I34)</f>
        <v>0</v>
      </c>
      <c r="G202" s="183">
        <f>PRODUCT('Rollen-Prozess-Matrix'!K30,'Kompetenz-Prozess-Matrix'!I34)</f>
        <v>0</v>
      </c>
      <c r="H202" s="183">
        <f>PRODUCT('Rollen-Prozess-Matrix'!L30,'Kompetenz-Prozess-Matrix'!I34)</f>
        <v>0</v>
      </c>
      <c r="I202" s="183">
        <f>PRODUCT('Rollen-Prozess-Matrix'!M30,'Kompetenz-Prozess-Matrix'!I34)</f>
        <v>0</v>
      </c>
      <c r="J202" s="183">
        <f>PRODUCT('Rollen-Prozess-Matrix'!N30,'Kompetenz-Prozess-Matrix'!I34)</f>
        <v>0</v>
      </c>
      <c r="K202" s="183">
        <f>PRODUCT('Rollen-Prozess-Matrix'!O30,'Kompetenz-Prozess-Matrix'!I34)</f>
        <v>0</v>
      </c>
      <c r="L202" s="183">
        <f>PRODUCT('Rollen-Prozess-Matrix'!P30,'Kompetenz-Prozess-Matrix'!I34)</f>
        <v>0</v>
      </c>
      <c r="M202" s="183">
        <f>PRODUCT('Rollen-Prozess-Matrix'!Q30,'Kompetenz-Prozess-Matrix'!I34)</f>
        <v>0</v>
      </c>
      <c r="N202" s="183">
        <f>PRODUCT('Rollen-Prozess-Matrix'!R30,'Kompetenz-Prozess-Matrix'!I34)</f>
        <v>0</v>
      </c>
      <c r="O202" s="183">
        <f>PRODUCT('Rollen-Prozess-Matrix'!S30,'Kompetenz-Prozess-Matrix'!I34)</f>
        <v>0</v>
      </c>
      <c r="P202" s="183">
        <f>PRODUCT('Rollen-Prozess-Matrix'!T30,'Kompetenz-Prozess-Matrix'!I34)</f>
        <v>0</v>
      </c>
      <c r="Q202" s="185">
        <f>PRODUCT('Rollen-Prozess-Matrix'!U30,'Kompetenz-Prozess-Matrix'!I34)</f>
        <v>0</v>
      </c>
    </row>
    <row r="203" spans="1:19" ht="38.25" hidden="1" outlineLevel="1" x14ac:dyDescent="0.35">
      <c r="A203" s="333"/>
      <c r="B203" s="339"/>
      <c r="C203" s="180" t="s">
        <v>261</v>
      </c>
      <c r="D203" s="182">
        <f>PRODUCT('Rollen-Prozess-Matrix'!H31,'Kompetenz-Prozess-Matrix'!I35)</f>
        <v>0</v>
      </c>
      <c r="E203" s="183">
        <f>PRODUCT('Rollen-Prozess-Matrix'!I31,'Kompetenz-Prozess-Matrix'!I35)</f>
        <v>0</v>
      </c>
      <c r="F203" s="183">
        <f>PRODUCT('Rollen-Prozess-Matrix'!J31,'Kompetenz-Prozess-Matrix'!I35)</f>
        <v>0</v>
      </c>
      <c r="G203" s="183">
        <f>PRODUCT('Rollen-Prozess-Matrix'!K31,'Kompetenz-Prozess-Matrix'!I35)</f>
        <v>0</v>
      </c>
      <c r="H203" s="183">
        <f>PRODUCT('Rollen-Prozess-Matrix'!L31,'Kompetenz-Prozess-Matrix'!I35)</f>
        <v>0</v>
      </c>
      <c r="I203" s="183">
        <f>PRODUCT('Rollen-Prozess-Matrix'!M31,'Kompetenz-Prozess-Matrix'!I35)</f>
        <v>0</v>
      </c>
      <c r="J203" s="183">
        <f>PRODUCT('Rollen-Prozess-Matrix'!N31,'Kompetenz-Prozess-Matrix'!I35)</f>
        <v>0</v>
      </c>
      <c r="K203" s="183">
        <f>PRODUCT('Rollen-Prozess-Matrix'!O31,'Kompetenz-Prozess-Matrix'!I35)</f>
        <v>0</v>
      </c>
      <c r="L203" s="183">
        <f>PRODUCT('Rollen-Prozess-Matrix'!P31,'Kompetenz-Prozess-Matrix'!I35)</f>
        <v>0</v>
      </c>
      <c r="M203" s="183">
        <f>PRODUCT('Rollen-Prozess-Matrix'!Q31,'Kompetenz-Prozess-Matrix'!I35)</f>
        <v>0</v>
      </c>
      <c r="N203" s="183">
        <f>PRODUCT('Rollen-Prozess-Matrix'!R31,'Kompetenz-Prozess-Matrix'!I35)</f>
        <v>0</v>
      </c>
      <c r="O203" s="183">
        <f>PRODUCT('Rollen-Prozess-Matrix'!S31,'Kompetenz-Prozess-Matrix'!I35)</f>
        <v>0</v>
      </c>
      <c r="P203" s="183">
        <f>PRODUCT('Rollen-Prozess-Matrix'!T31,'Kompetenz-Prozess-Matrix'!I35)</f>
        <v>0</v>
      </c>
      <c r="Q203" s="185">
        <f>PRODUCT('Rollen-Prozess-Matrix'!U31,'Kompetenz-Prozess-Matrix'!I35)</f>
        <v>0</v>
      </c>
    </row>
    <row r="204" spans="1:19" hidden="1" outlineLevel="1" x14ac:dyDescent="0.35">
      <c r="A204" s="333"/>
      <c r="B204" s="339"/>
      <c r="C204" s="180" t="s">
        <v>264</v>
      </c>
      <c r="D204" s="182">
        <f>PRODUCT('Rollen-Prozess-Matrix'!H32,'Kompetenz-Prozess-Matrix'!I36)</f>
        <v>0</v>
      </c>
      <c r="E204" s="183">
        <f>PRODUCT('Rollen-Prozess-Matrix'!I32,'Kompetenz-Prozess-Matrix'!I36)</f>
        <v>0</v>
      </c>
      <c r="F204" s="183">
        <f>PRODUCT('Rollen-Prozess-Matrix'!J32,'Kompetenz-Prozess-Matrix'!I36)</f>
        <v>0</v>
      </c>
      <c r="G204" s="183">
        <f>PRODUCT('Rollen-Prozess-Matrix'!K32,'Kompetenz-Prozess-Matrix'!I36)</f>
        <v>4</v>
      </c>
      <c r="H204" s="183">
        <f>PRODUCT('Rollen-Prozess-Matrix'!L32,'Kompetenz-Prozess-Matrix'!I36)</f>
        <v>2</v>
      </c>
      <c r="I204" s="183">
        <f>PRODUCT('Rollen-Prozess-Matrix'!M32,'Kompetenz-Prozess-Matrix'!I36)</f>
        <v>0</v>
      </c>
      <c r="J204" s="183">
        <f>PRODUCT('Rollen-Prozess-Matrix'!N32,'Kompetenz-Prozess-Matrix'!I36)</f>
        <v>0</v>
      </c>
      <c r="K204" s="183">
        <f>PRODUCT('Rollen-Prozess-Matrix'!O32,'Kompetenz-Prozess-Matrix'!I36)</f>
        <v>0</v>
      </c>
      <c r="L204" s="183">
        <f>PRODUCT('Rollen-Prozess-Matrix'!P32,'Kompetenz-Prozess-Matrix'!I36)</f>
        <v>0</v>
      </c>
      <c r="M204" s="183">
        <f>PRODUCT('Rollen-Prozess-Matrix'!Q32,'Kompetenz-Prozess-Matrix'!I36)</f>
        <v>0</v>
      </c>
      <c r="N204" s="183">
        <f>PRODUCT('Rollen-Prozess-Matrix'!R32,'Kompetenz-Prozess-Matrix'!I36)</f>
        <v>0</v>
      </c>
      <c r="O204" s="183">
        <f>PRODUCT('Rollen-Prozess-Matrix'!S32,'Kompetenz-Prozess-Matrix'!I36)</f>
        <v>0</v>
      </c>
      <c r="P204" s="183">
        <f>PRODUCT('Rollen-Prozess-Matrix'!T32,'Kompetenz-Prozess-Matrix'!I36)</f>
        <v>0</v>
      </c>
      <c r="Q204" s="185">
        <f>PRODUCT('Rollen-Prozess-Matrix'!U32,'Kompetenz-Prozess-Matrix'!I36)</f>
        <v>0</v>
      </c>
    </row>
    <row r="205" spans="1:19" hidden="1" outlineLevel="1" x14ac:dyDescent="0.35">
      <c r="A205" s="333"/>
      <c r="B205" s="339"/>
      <c r="C205" s="180" t="s">
        <v>266</v>
      </c>
      <c r="D205" s="182">
        <f>PRODUCT('Rollen-Prozess-Matrix'!H33,'Kompetenz-Prozess-Matrix'!I37)</f>
        <v>0</v>
      </c>
      <c r="E205" s="183">
        <f>PRODUCT('Rollen-Prozess-Matrix'!I33,'Kompetenz-Prozess-Matrix'!I37)</f>
        <v>0</v>
      </c>
      <c r="F205" s="183">
        <f>PRODUCT('Rollen-Prozess-Matrix'!J33,'Kompetenz-Prozess-Matrix'!I37)</f>
        <v>0</v>
      </c>
      <c r="G205" s="183">
        <f>PRODUCT('Rollen-Prozess-Matrix'!K33,'Kompetenz-Prozess-Matrix'!I37)</f>
        <v>0</v>
      </c>
      <c r="H205" s="183">
        <f>PRODUCT('Rollen-Prozess-Matrix'!L33,'Kompetenz-Prozess-Matrix'!I37)</f>
        <v>0</v>
      </c>
      <c r="I205" s="183">
        <f>PRODUCT('Rollen-Prozess-Matrix'!M33,'Kompetenz-Prozess-Matrix'!I37)</f>
        <v>0</v>
      </c>
      <c r="J205" s="183">
        <f>PRODUCT('Rollen-Prozess-Matrix'!N33,'Kompetenz-Prozess-Matrix'!I37)</f>
        <v>0</v>
      </c>
      <c r="K205" s="183">
        <f>PRODUCT('Rollen-Prozess-Matrix'!O33,'Kompetenz-Prozess-Matrix'!I37)</f>
        <v>0</v>
      </c>
      <c r="L205" s="183">
        <f>PRODUCT('Rollen-Prozess-Matrix'!P33,'Kompetenz-Prozess-Matrix'!I37)</f>
        <v>0</v>
      </c>
      <c r="M205" s="183">
        <f>PRODUCT('Rollen-Prozess-Matrix'!Q33,'Kompetenz-Prozess-Matrix'!I37)</f>
        <v>0</v>
      </c>
      <c r="N205" s="183">
        <f>PRODUCT('Rollen-Prozess-Matrix'!R33,'Kompetenz-Prozess-Matrix'!I37)</f>
        <v>0</v>
      </c>
      <c r="O205" s="183">
        <f>PRODUCT('Rollen-Prozess-Matrix'!S33,'Kompetenz-Prozess-Matrix'!I37)</f>
        <v>0</v>
      </c>
      <c r="P205" s="183">
        <f>PRODUCT('Rollen-Prozess-Matrix'!T33,'Kompetenz-Prozess-Matrix'!I37)</f>
        <v>0</v>
      </c>
      <c r="Q205" s="185">
        <f>PRODUCT('Rollen-Prozess-Matrix'!U33,'Kompetenz-Prozess-Matrix'!I37)</f>
        <v>0</v>
      </c>
    </row>
    <row r="206" spans="1:19" ht="13.15" hidden="1" outlineLevel="1" thickBot="1" x14ac:dyDescent="0.4">
      <c r="A206" s="333"/>
      <c r="B206" s="340"/>
      <c r="C206" s="181" t="s">
        <v>289</v>
      </c>
      <c r="D206" s="182">
        <f>PRODUCT('Rollen-Prozess-Matrix'!H34,'Kompetenz-Prozess-Matrix'!I38)</f>
        <v>0</v>
      </c>
      <c r="E206" s="183">
        <f>PRODUCT('Rollen-Prozess-Matrix'!I34,'Kompetenz-Prozess-Matrix'!I38)</f>
        <v>0</v>
      </c>
      <c r="F206" s="183">
        <f>PRODUCT('Rollen-Prozess-Matrix'!J34,'Kompetenz-Prozess-Matrix'!I38)</f>
        <v>0</v>
      </c>
      <c r="G206" s="183">
        <f>PRODUCT('Rollen-Prozess-Matrix'!K34,'Kompetenz-Prozess-Matrix'!I38)</f>
        <v>4</v>
      </c>
      <c r="H206" s="183">
        <f>PRODUCT('Rollen-Prozess-Matrix'!L34,'Kompetenz-Prozess-Matrix'!I38)</f>
        <v>0</v>
      </c>
      <c r="I206" s="183">
        <f>PRODUCT('Rollen-Prozess-Matrix'!M34,'Kompetenz-Prozess-Matrix'!I38)</f>
        <v>0</v>
      </c>
      <c r="J206" s="183">
        <f>PRODUCT('Rollen-Prozess-Matrix'!N34,'Kompetenz-Prozess-Matrix'!I38)</f>
        <v>0</v>
      </c>
      <c r="K206" s="183">
        <f>PRODUCT('Rollen-Prozess-Matrix'!O34,'Kompetenz-Prozess-Matrix'!I38)</f>
        <v>0</v>
      </c>
      <c r="L206" s="183">
        <f>PRODUCT('Rollen-Prozess-Matrix'!P34,'Kompetenz-Prozess-Matrix'!I38)</f>
        <v>0</v>
      </c>
      <c r="M206" s="183">
        <f>PRODUCT('Rollen-Prozess-Matrix'!Q34,'Kompetenz-Prozess-Matrix'!I38)</f>
        <v>0</v>
      </c>
      <c r="N206" s="183">
        <f>PRODUCT('Rollen-Prozess-Matrix'!R34,'Kompetenz-Prozess-Matrix'!I38)</f>
        <v>0</v>
      </c>
      <c r="O206" s="183">
        <f>PRODUCT('Rollen-Prozess-Matrix'!S34,'Kompetenz-Prozess-Matrix'!I38)</f>
        <v>0</v>
      </c>
      <c r="P206" s="183">
        <f>PRODUCT('Rollen-Prozess-Matrix'!T34,'Kompetenz-Prozess-Matrix'!I38)</f>
        <v>0</v>
      </c>
      <c r="Q206" s="185">
        <f>PRODUCT('Rollen-Prozess-Matrix'!U34,'Kompetenz-Prozess-Matrix'!I38)</f>
        <v>0</v>
      </c>
    </row>
    <row r="207" spans="1:19" ht="12.6" customHeight="1" collapsed="1" thickBot="1" x14ac:dyDescent="0.4">
      <c r="A207" s="333"/>
      <c r="B207" s="338" t="s">
        <v>55</v>
      </c>
      <c r="C207" s="178"/>
      <c r="D207" s="184">
        <f>MAX(D208:D240)</f>
        <v>2</v>
      </c>
      <c r="E207" s="184">
        <f t="shared" ref="E207" si="66">MAX(E208:E240)</f>
        <v>2</v>
      </c>
      <c r="F207" s="184">
        <f t="shared" ref="F207" si="67">MAX(F208:F240)</f>
        <v>2</v>
      </c>
      <c r="G207" s="184">
        <f t="shared" ref="G207" si="68">MAX(G208:G240)</f>
        <v>4</v>
      </c>
      <c r="H207" s="184">
        <f t="shared" ref="H207" si="69">MAX(H208:H240)</f>
        <v>6</v>
      </c>
      <c r="I207" s="184">
        <f t="shared" ref="I207" si="70">MAX(I208:I240)</f>
        <v>2</v>
      </c>
      <c r="J207" s="184">
        <f t="shared" ref="J207" si="71">MAX(J208:J240)</f>
        <v>2</v>
      </c>
      <c r="K207" s="184">
        <f t="shared" ref="K207" si="72">MAX(K208:K240)</f>
        <v>2</v>
      </c>
      <c r="L207" s="184">
        <f t="shared" ref="L207" si="73">MAX(L208:L240)</f>
        <v>4</v>
      </c>
      <c r="M207" s="184">
        <f t="shared" ref="M207" si="74">MAX(M208:M240)</f>
        <v>4</v>
      </c>
      <c r="N207" s="184">
        <f t="shared" ref="N207" si="75">MAX(N208:N240)</f>
        <v>0</v>
      </c>
      <c r="O207" s="184">
        <f t="shared" ref="O207" si="76">MAX(O208:O240)</f>
        <v>2</v>
      </c>
      <c r="P207" s="184">
        <f t="shared" ref="P207" si="77">MAX(P208:P240)</f>
        <v>2</v>
      </c>
      <c r="Q207" s="199">
        <f t="shared" ref="Q207" si="78">MAX(Q208:Q240)</f>
        <v>1</v>
      </c>
      <c r="S207">
        <v>1</v>
      </c>
    </row>
    <row r="208" spans="1:19" hidden="1" outlineLevel="1" x14ac:dyDescent="0.35">
      <c r="A208" s="333"/>
      <c r="B208" s="339"/>
      <c r="C208" s="179" t="s">
        <v>123</v>
      </c>
      <c r="D208" s="182">
        <f>PRODUCT('Rollen-Prozess-Matrix'!H2,'Kompetenz-Prozess-Matrix'!J6)</f>
        <v>0</v>
      </c>
      <c r="E208" s="183">
        <f>PRODUCT('Rollen-Prozess-Matrix'!I2,'Kompetenz-Prozess-Matrix'!J6)</f>
        <v>0</v>
      </c>
      <c r="F208" s="183">
        <f>PRODUCT('Rollen-Prozess-Matrix'!J2,'Kompetenz-Prozess-Matrix'!J6)</f>
        <v>0</v>
      </c>
      <c r="G208" s="183">
        <f>PRODUCT('Rollen-Prozess-Matrix'!K2,'Kompetenz-Prozess-Matrix'!J6)</f>
        <v>0</v>
      </c>
      <c r="H208" s="183">
        <f>PRODUCT('Rollen-Prozess-Matrix'!L2,'Kompetenz-Prozess-Matrix'!J6)</f>
        <v>0</v>
      </c>
      <c r="I208" s="183">
        <f>PRODUCT('Rollen-Prozess-Matrix'!M2,'Kompetenz-Prozess-Matrix'!J6)</f>
        <v>0</v>
      </c>
      <c r="J208" s="183">
        <f>PRODUCT('Rollen-Prozess-Matrix'!N2,'Kompetenz-Prozess-Matrix'!J6)</f>
        <v>0</v>
      </c>
      <c r="K208" s="183">
        <f>PRODUCT('Rollen-Prozess-Matrix'!O2,'Kompetenz-Prozess-Matrix'!J6)</f>
        <v>0</v>
      </c>
      <c r="L208" s="183">
        <f>PRODUCT('Rollen-Prozess-Matrix'!P2,'Kompetenz-Prozess-Matrix'!J6)</f>
        <v>0</v>
      </c>
      <c r="M208" s="183">
        <f>PRODUCT('Rollen-Prozess-Matrix'!Q2,'Kompetenz-Prozess-Matrix'!J6)</f>
        <v>0</v>
      </c>
      <c r="N208" s="183">
        <f>PRODUCT('Rollen-Prozess-Matrix'!R2,'Kompetenz-Prozess-Matrix'!J6)</f>
        <v>0</v>
      </c>
      <c r="O208" s="183">
        <f>PRODUCT('Rollen-Prozess-Matrix'!S2,'Kompetenz-Prozess-Matrix'!J6)</f>
        <v>0</v>
      </c>
      <c r="P208" s="183">
        <f>PRODUCT('Rollen-Prozess-Matrix'!T2,'Kompetenz-Prozess-Matrix'!J6)</f>
        <v>0</v>
      </c>
      <c r="Q208" s="185">
        <f>PRODUCT('Rollen-Prozess-Matrix'!U2,'Kompetenz-Prozess-Matrix'!J6)</f>
        <v>0</v>
      </c>
    </row>
    <row r="209" spans="1:17" hidden="1" outlineLevel="1" x14ac:dyDescent="0.35">
      <c r="A209" s="333"/>
      <c r="B209" s="339"/>
      <c r="C209" s="180" t="s">
        <v>127</v>
      </c>
      <c r="D209" s="182">
        <f>PRODUCT('Rollen-Prozess-Matrix'!H3,'Kompetenz-Prozess-Matrix'!J7)</f>
        <v>0</v>
      </c>
      <c r="E209" s="183">
        <f>PRODUCT('Rollen-Prozess-Matrix'!I3,'Kompetenz-Prozess-Matrix'!J7)</f>
        <v>0</v>
      </c>
      <c r="F209" s="183">
        <f>PRODUCT('Rollen-Prozess-Matrix'!J3,'Kompetenz-Prozess-Matrix'!J7)</f>
        <v>0</v>
      </c>
      <c r="G209" s="183">
        <f>PRODUCT('Rollen-Prozess-Matrix'!K3,'Kompetenz-Prozess-Matrix'!J7)</f>
        <v>0</v>
      </c>
      <c r="H209" s="183">
        <f>PRODUCT('Rollen-Prozess-Matrix'!L3,'Kompetenz-Prozess-Matrix'!J7)</f>
        <v>0</v>
      </c>
      <c r="I209" s="183">
        <f>PRODUCT('Rollen-Prozess-Matrix'!M3,'Kompetenz-Prozess-Matrix'!J7)</f>
        <v>0</v>
      </c>
      <c r="J209" s="183">
        <f>PRODUCT('Rollen-Prozess-Matrix'!N3,'Kompetenz-Prozess-Matrix'!J7)</f>
        <v>0</v>
      </c>
      <c r="K209" s="183">
        <f>PRODUCT('Rollen-Prozess-Matrix'!O3,'Kompetenz-Prozess-Matrix'!J7)</f>
        <v>0</v>
      </c>
      <c r="L209" s="183">
        <f>PRODUCT('Rollen-Prozess-Matrix'!P3,'Kompetenz-Prozess-Matrix'!J7)</f>
        <v>0</v>
      </c>
      <c r="M209" s="183">
        <f>PRODUCT('Rollen-Prozess-Matrix'!Q3,'Kompetenz-Prozess-Matrix'!J7)</f>
        <v>0</v>
      </c>
      <c r="N209" s="183">
        <f>PRODUCT('Rollen-Prozess-Matrix'!R3,'Kompetenz-Prozess-Matrix'!J7)</f>
        <v>0</v>
      </c>
      <c r="O209" s="183">
        <f>PRODUCT('Rollen-Prozess-Matrix'!S3,'Kompetenz-Prozess-Matrix'!J7)</f>
        <v>0</v>
      </c>
      <c r="P209" s="183">
        <f>PRODUCT('Rollen-Prozess-Matrix'!T3,'Kompetenz-Prozess-Matrix'!J7)</f>
        <v>0</v>
      </c>
      <c r="Q209" s="185">
        <f>PRODUCT('Rollen-Prozess-Matrix'!U3,'Kompetenz-Prozess-Matrix'!J7)</f>
        <v>0</v>
      </c>
    </row>
    <row r="210" spans="1:17" ht="51" hidden="1" outlineLevel="1" x14ac:dyDescent="0.35">
      <c r="A210" s="333"/>
      <c r="B210" s="339"/>
      <c r="C210" s="180" t="s">
        <v>132</v>
      </c>
      <c r="D210" s="182">
        <f>PRODUCT('Rollen-Prozess-Matrix'!H4,'Kompetenz-Prozess-Matrix'!J8)</f>
        <v>0</v>
      </c>
      <c r="E210" s="183">
        <f>PRODUCT('Rollen-Prozess-Matrix'!I4,'Kompetenz-Prozess-Matrix'!J8)</f>
        <v>0</v>
      </c>
      <c r="F210" s="183">
        <f>PRODUCT('Rollen-Prozess-Matrix'!J4,'Kompetenz-Prozess-Matrix'!J8)</f>
        <v>0</v>
      </c>
      <c r="G210" s="183">
        <f>PRODUCT('Rollen-Prozess-Matrix'!K4,'Kompetenz-Prozess-Matrix'!J8)</f>
        <v>2</v>
      </c>
      <c r="H210" s="183">
        <f>PRODUCT('Rollen-Prozess-Matrix'!L4,'Kompetenz-Prozess-Matrix'!J8)</f>
        <v>6</v>
      </c>
      <c r="I210" s="183">
        <f>PRODUCT('Rollen-Prozess-Matrix'!M4,'Kompetenz-Prozess-Matrix'!J8)</f>
        <v>0</v>
      </c>
      <c r="J210" s="183">
        <f>PRODUCT('Rollen-Prozess-Matrix'!N4,'Kompetenz-Prozess-Matrix'!J8)</f>
        <v>0</v>
      </c>
      <c r="K210" s="183">
        <f>PRODUCT('Rollen-Prozess-Matrix'!O4,'Kompetenz-Prozess-Matrix'!J8)</f>
        <v>0</v>
      </c>
      <c r="L210" s="183">
        <f>PRODUCT('Rollen-Prozess-Matrix'!P4,'Kompetenz-Prozess-Matrix'!J8)</f>
        <v>0</v>
      </c>
      <c r="M210" s="183">
        <f>PRODUCT('Rollen-Prozess-Matrix'!Q4,'Kompetenz-Prozess-Matrix'!J8)</f>
        <v>0</v>
      </c>
      <c r="N210" s="183">
        <f>PRODUCT('Rollen-Prozess-Matrix'!R4,'Kompetenz-Prozess-Matrix'!J8)</f>
        <v>0</v>
      </c>
      <c r="O210" s="183">
        <f>PRODUCT('Rollen-Prozess-Matrix'!S4,'Kompetenz-Prozess-Matrix'!J8)</f>
        <v>0</v>
      </c>
      <c r="P210" s="183">
        <f>PRODUCT('Rollen-Prozess-Matrix'!T4,'Kompetenz-Prozess-Matrix'!J8)</f>
        <v>0</v>
      </c>
      <c r="Q210" s="185">
        <f>PRODUCT('Rollen-Prozess-Matrix'!U4,'Kompetenz-Prozess-Matrix'!J8)</f>
        <v>0</v>
      </c>
    </row>
    <row r="211" spans="1:17" ht="38.25" hidden="1" outlineLevel="1" x14ac:dyDescent="0.35">
      <c r="A211" s="333"/>
      <c r="B211" s="339"/>
      <c r="C211" s="180" t="s">
        <v>136</v>
      </c>
      <c r="D211" s="182">
        <f>PRODUCT('Rollen-Prozess-Matrix'!H5,'Kompetenz-Prozess-Matrix'!J9)</f>
        <v>0</v>
      </c>
      <c r="E211" s="183">
        <f>PRODUCT('Rollen-Prozess-Matrix'!I5,'Kompetenz-Prozess-Matrix'!J9)</f>
        <v>0</v>
      </c>
      <c r="F211" s="183">
        <f>PRODUCT('Rollen-Prozess-Matrix'!J5,'Kompetenz-Prozess-Matrix'!J9)</f>
        <v>0</v>
      </c>
      <c r="G211" s="183">
        <f>PRODUCT('Rollen-Prozess-Matrix'!K5,'Kompetenz-Prozess-Matrix'!J9)</f>
        <v>0</v>
      </c>
      <c r="H211" s="183">
        <f>PRODUCT('Rollen-Prozess-Matrix'!L5,'Kompetenz-Prozess-Matrix'!J9)</f>
        <v>0</v>
      </c>
      <c r="I211" s="183">
        <f>PRODUCT('Rollen-Prozess-Matrix'!M5,'Kompetenz-Prozess-Matrix'!J9)</f>
        <v>0</v>
      </c>
      <c r="J211" s="183">
        <f>PRODUCT('Rollen-Prozess-Matrix'!N5,'Kompetenz-Prozess-Matrix'!J9)</f>
        <v>0</v>
      </c>
      <c r="K211" s="183">
        <f>PRODUCT('Rollen-Prozess-Matrix'!O5,'Kompetenz-Prozess-Matrix'!J9)</f>
        <v>0</v>
      </c>
      <c r="L211" s="183">
        <f>PRODUCT('Rollen-Prozess-Matrix'!P5,'Kompetenz-Prozess-Matrix'!J9)</f>
        <v>0</v>
      </c>
      <c r="M211" s="183">
        <f>PRODUCT('Rollen-Prozess-Matrix'!Q5,'Kompetenz-Prozess-Matrix'!J9)</f>
        <v>0</v>
      </c>
      <c r="N211" s="183">
        <f>PRODUCT('Rollen-Prozess-Matrix'!R5,'Kompetenz-Prozess-Matrix'!J9)</f>
        <v>0</v>
      </c>
      <c r="O211" s="183">
        <f>PRODUCT('Rollen-Prozess-Matrix'!S5,'Kompetenz-Prozess-Matrix'!J9)</f>
        <v>0</v>
      </c>
      <c r="P211" s="183">
        <f>PRODUCT('Rollen-Prozess-Matrix'!T5,'Kompetenz-Prozess-Matrix'!J9)</f>
        <v>0</v>
      </c>
      <c r="Q211" s="185">
        <f>PRODUCT('Rollen-Prozess-Matrix'!U5,'Kompetenz-Prozess-Matrix'!J9)</f>
        <v>0</v>
      </c>
    </row>
    <row r="212" spans="1:17" ht="38.25" hidden="1" outlineLevel="1" x14ac:dyDescent="0.35">
      <c r="A212" s="333"/>
      <c r="B212" s="339"/>
      <c r="C212" s="180" t="s">
        <v>140</v>
      </c>
      <c r="D212" s="182">
        <f>PRODUCT('Rollen-Prozess-Matrix'!H6,'Kompetenz-Prozess-Matrix'!J10)</f>
        <v>0</v>
      </c>
      <c r="E212" s="183">
        <f>PRODUCT('Rollen-Prozess-Matrix'!I6,'Kompetenz-Prozess-Matrix'!J10)</f>
        <v>0</v>
      </c>
      <c r="F212" s="183">
        <f>PRODUCT('Rollen-Prozess-Matrix'!J6,'Kompetenz-Prozess-Matrix'!J10)</f>
        <v>0</v>
      </c>
      <c r="G212" s="183">
        <f>PRODUCT('Rollen-Prozess-Matrix'!K6,'Kompetenz-Prozess-Matrix'!J10)</f>
        <v>0</v>
      </c>
      <c r="H212" s="183">
        <f>PRODUCT('Rollen-Prozess-Matrix'!L6,'Kompetenz-Prozess-Matrix'!J10)</f>
        <v>0</v>
      </c>
      <c r="I212" s="183">
        <f>PRODUCT('Rollen-Prozess-Matrix'!M6,'Kompetenz-Prozess-Matrix'!J10)</f>
        <v>0</v>
      </c>
      <c r="J212" s="183">
        <f>PRODUCT('Rollen-Prozess-Matrix'!N6,'Kompetenz-Prozess-Matrix'!J10)</f>
        <v>0</v>
      </c>
      <c r="K212" s="183">
        <f>PRODUCT('Rollen-Prozess-Matrix'!O6,'Kompetenz-Prozess-Matrix'!J10)</f>
        <v>0</v>
      </c>
      <c r="L212" s="183">
        <f>PRODUCT('Rollen-Prozess-Matrix'!P6,'Kompetenz-Prozess-Matrix'!J10)</f>
        <v>0</v>
      </c>
      <c r="M212" s="183">
        <f>PRODUCT('Rollen-Prozess-Matrix'!Q6,'Kompetenz-Prozess-Matrix'!J10)</f>
        <v>0</v>
      </c>
      <c r="N212" s="183">
        <f>PRODUCT('Rollen-Prozess-Matrix'!R6,'Kompetenz-Prozess-Matrix'!J10)</f>
        <v>0</v>
      </c>
      <c r="O212" s="183">
        <f>PRODUCT('Rollen-Prozess-Matrix'!S6,'Kompetenz-Prozess-Matrix'!J10)</f>
        <v>0</v>
      </c>
      <c r="P212" s="183">
        <f>PRODUCT('Rollen-Prozess-Matrix'!T6,'Kompetenz-Prozess-Matrix'!J10)</f>
        <v>0</v>
      </c>
      <c r="Q212" s="185">
        <f>PRODUCT('Rollen-Prozess-Matrix'!U6,'Kompetenz-Prozess-Matrix'!J10)</f>
        <v>0</v>
      </c>
    </row>
    <row r="213" spans="1:17" ht="38.25" hidden="1" outlineLevel="1" x14ac:dyDescent="0.35">
      <c r="A213" s="333"/>
      <c r="B213" s="339"/>
      <c r="C213" s="180" t="s">
        <v>144</v>
      </c>
      <c r="D213" s="182">
        <f>PRODUCT('Rollen-Prozess-Matrix'!H7,'Kompetenz-Prozess-Matrix'!J11)</f>
        <v>0</v>
      </c>
      <c r="E213" s="183">
        <f>PRODUCT('Rollen-Prozess-Matrix'!I7,'Kompetenz-Prozess-Matrix'!J11)</f>
        <v>0</v>
      </c>
      <c r="F213" s="183">
        <f>PRODUCT('Rollen-Prozess-Matrix'!J7,'Kompetenz-Prozess-Matrix'!J11)</f>
        <v>0</v>
      </c>
      <c r="G213" s="183">
        <f>PRODUCT('Rollen-Prozess-Matrix'!K7,'Kompetenz-Prozess-Matrix'!J11)</f>
        <v>0</v>
      </c>
      <c r="H213" s="183">
        <f>PRODUCT('Rollen-Prozess-Matrix'!L7,'Kompetenz-Prozess-Matrix'!J11)</f>
        <v>0</v>
      </c>
      <c r="I213" s="183">
        <f>PRODUCT('Rollen-Prozess-Matrix'!M7,'Kompetenz-Prozess-Matrix'!J11)</f>
        <v>0</v>
      </c>
      <c r="J213" s="183">
        <f>PRODUCT('Rollen-Prozess-Matrix'!N7,'Kompetenz-Prozess-Matrix'!J11)</f>
        <v>0</v>
      </c>
      <c r="K213" s="183">
        <f>PRODUCT('Rollen-Prozess-Matrix'!O7,'Kompetenz-Prozess-Matrix'!J11)</f>
        <v>0</v>
      </c>
      <c r="L213" s="183">
        <f>PRODUCT('Rollen-Prozess-Matrix'!P7,'Kompetenz-Prozess-Matrix'!J11)</f>
        <v>0</v>
      </c>
      <c r="M213" s="183">
        <f>PRODUCT('Rollen-Prozess-Matrix'!Q7,'Kompetenz-Prozess-Matrix'!J11)</f>
        <v>0</v>
      </c>
      <c r="N213" s="183">
        <f>PRODUCT('Rollen-Prozess-Matrix'!R7,'Kompetenz-Prozess-Matrix'!J11)</f>
        <v>0</v>
      </c>
      <c r="O213" s="183">
        <f>PRODUCT('Rollen-Prozess-Matrix'!S7,'Kompetenz-Prozess-Matrix'!J11)</f>
        <v>0</v>
      </c>
      <c r="P213" s="183">
        <f>PRODUCT('Rollen-Prozess-Matrix'!T7,'Kompetenz-Prozess-Matrix'!J11)</f>
        <v>0</v>
      </c>
      <c r="Q213" s="185">
        <f>PRODUCT('Rollen-Prozess-Matrix'!U7,'Kompetenz-Prozess-Matrix'!J11)</f>
        <v>0</v>
      </c>
    </row>
    <row r="214" spans="1:17" ht="38.25" hidden="1" outlineLevel="1" x14ac:dyDescent="0.35">
      <c r="A214" s="333"/>
      <c r="B214" s="339"/>
      <c r="C214" s="180" t="s">
        <v>148</v>
      </c>
      <c r="D214" s="182">
        <f>PRODUCT('Rollen-Prozess-Matrix'!H8,'Kompetenz-Prozess-Matrix'!J12)</f>
        <v>0</v>
      </c>
      <c r="E214" s="183">
        <f>PRODUCT('Rollen-Prozess-Matrix'!I8,'Kompetenz-Prozess-Matrix'!J12)</f>
        <v>0</v>
      </c>
      <c r="F214" s="183">
        <f>PRODUCT('Rollen-Prozess-Matrix'!J8,'Kompetenz-Prozess-Matrix'!J12)</f>
        <v>0</v>
      </c>
      <c r="G214" s="183">
        <f>PRODUCT('Rollen-Prozess-Matrix'!K8,'Kompetenz-Prozess-Matrix'!J12)</f>
        <v>0</v>
      </c>
      <c r="H214" s="183">
        <f>PRODUCT('Rollen-Prozess-Matrix'!L8,'Kompetenz-Prozess-Matrix'!J12)</f>
        <v>0</v>
      </c>
      <c r="I214" s="183">
        <f>PRODUCT('Rollen-Prozess-Matrix'!M8,'Kompetenz-Prozess-Matrix'!J12)</f>
        <v>0</v>
      </c>
      <c r="J214" s="183">
        <f>PRODUCT('Rollen-Prozess-Matrix'!N8,'Kompetenz-Prozess-Matrix'!J12)</f>
        <v>0</v>
      </c>
      <c r="K214" s="183">
        <f>PRODUCT('Rollen-Prozess-Matrix'!O8,'Kompetenz-Prozess-Matrix'!J12)</f>
        <v>0</v>
      </c>
      <c r="L214" s="183">
        <f>PRODUCT('Rollen-Prozess-Matrix'!P8,'Kompetenz-Prozess-Matrix'!J12)</f>
        <v>0</v>
      </c>
      <c r="M214" s="183">
        <f>PRODUCT('Rollen-Prozess-Matrix'!Q8,'Kompetenz-Prozess-Matrix'!J12)</f>
        <v>0</v>
      </c>
      <c r="N214" s="183">
        <f>PRODUCT('Rollen-Prozess-Matrix'!R8,'Kompetenz-Prozess-Matrix'!J12)</f>
        <v>0</v>
      </c>
      <c r="O214" s="183">
        <f>PRODUCT('Rollen-Prozess-Matrix'!S8,'Kompetenz-Prozess-Matrix'!J12)</f>
        <v>0</v>
      </c>
      <c r="P214" s="183">
        <f>PRODUCT('Rollen-Prozess-Matrix'!T8,'Kompetenz-Prozess-Matrix'!J12)</f>
        <v>0</v>
      </c>
      <c r="Q214" s="185">
        <f>PRODUCT('Rollen-Prozess-Matrix'!U8,'Kompetenz-Prozess-Matrix'!J12)</f>
        <v>0</v>
      </c>
    </row>
    <row r="215" spans="1:17" ht="38.25" hidden="1" outlineLevel="1" x14ac:dyDescent="0.35">
      <c r="A215" s="333"/>
      <c r="B215" s="339"/>
      <c r="C215" s="180" t="s">
        <v>152</v>
      </c>
      <c r="D215" s="182">
        <f>PRODUCT('Rollen-Prozess-Matrix'!H9,'Kompetenz-Prozess-Matrix'!J13)</f>
        <v>0</v>
      </c>
      <c r="E215" s="183">
        <f>PRODUCT('Rollen-Prozess-Matrix'!I9,'Kompetenz-Prozess-Matrix'!J13)</f>
        <v>0</v>
      </c>
      <c r="F215" s="183">
        <f>PRODUCT('Rollen-Prozess-Matrix'!J9,'Kompetenz-Prozess-Matrix'!J13)</f>
        <v>0</v>
      </c>
      <c r="G215" s="183">
        <f>PRODUCT('Rollen-Prozess-Matrix'!K9,'Kompetenz-Prozess-Matrix'!J13)</f>
        <v>0</v>
      </c>
      <c r="H215" s="183">
        <f>PRODUCT('Rollen-Prozess-Matrix'!L9,'Kompetenz-Prozess-Matrix'!J13)</f>
        <v>0</v>
      </c>
      <c r="I215" s="183">
        <f>PRODUCT('Rollen-Prozess-Matrix'!M9,'Kompetenz-Prozess-Matrix'!J13)</f>
        <v>0</v>
      </c>
      <c r="J215" s="183">
        <f>PRODUCT('Rollen-Prozess-Matrix'!N9,'Kompetenz-Prozess-Matrix'!J13)</f>
        <v>0</v>
      </c>
      <c r="K215" s="183">
        <f>PRODUCT('Rollen-Prozess-Matrix'!O9,'Kompetenz-Prozess-Matrix'!J13)</f>
        <v>0</v>
      </c>
      <c r="L215" s="183">
        <f>PRODUCT('Rollen-Prozess-Matrix'!P9,'Kompetenz-Prozess-Matrix'!J13)</f>
        <v>0</v>
      </c>
      <c r="M215" s="183">
        <f>PRODUCT('Rollen-Prozess-Matrix'!Q9,'Kompetenz-Prozess-Matrix'!J13)</f>
        <v>0</v>
      </c>
      <c r="N215" s="183">
        <f>PRODUCT('Rollen-Prozess-Matrix'!R9,'Kompetenz-Prozess-Matrix'!J13)</f>
        <v>0</v>
      </c>
      <c r="O215" s="183">
        <f>PRODUCT('Rollen-Prozess-Matrix'!S9,'Kompetenz-Prozess-Matrix'!J13)</f>
        <v>0</v>
      </c>
      <c r="P215" s="183">
        <f>PRODUCT('Rollen-Prozess-Matrix'!T9,'Kompetenz-Prozess-Matrix'!J13)</f>
        <v>0</v>
      </c>
      <c r="Q215" s="185">
        <f>PRODUCT('Rollen-Prozess-Matrix'!U9,'Kompetenz-Prozess-Matrix'!J13)</f>
        <v>0</v>
      </c>
    </row>
    <row r="216" spans="1:17" ht="38.25" hidden="1" outlineLevel="1" x14ac:dyDescent="0.35">
      <c r="A216" s="333"/>
      <c r="B216" s="339"/>
      <c r="C216" s="180" t="s">
        <v>157</v>
      </c>
      <c r="D216" s="182">
        <f>PRODUCT('Rollen-Prozess-Matrix'!H10,'Kompetenz-Prozess-Matrix'!J14)</f>
        <v>0</v>
      </c>
      <c r="E216" s="183">
        <f>PRODUCT('Rollen-Prozess-Matrix'!I10,'Kompetenz-Prozess-Matrix'!J14)</f>
        <v>0</v>
      </c>
      <c r="F216" s="183">
        <f>PRODUCT('Rollen-Prozess-Matrix'!J10,'Kompetenz-Prozess-Matrix'!J14)</f>
        <v>2</v>
      </c>
      <c r="G216" s="183">
        <f>PRODUCT('Rollen-Prozess-Matrix'!K10,'Kompetenz-Prozess-Matrix'!J14)</f>
        <v>0</v>
      </c>
      <c r="H216" s="183">
        <f>PRODUCT('Rollen-Prozess-Matrix'!L10,'Kompetenz-Prozess-Matrix'!J14)</f>
        <v>3</v>
      </c>
      <c r="I216" s="183">
        <f>PRODUCT('Rollen-Prozess-Matrix'!M10,'Kompetenz-Prozess-Matrix'!J14)</f>
        <v>0</v>
      </c>
      <c r="J216" s="183">
        <f>PRODUCT('Rollen-Prozess-Matrix'!N10,'Kompetenz-Prozess-Matrix'!J14)</f>
        <v>0</v>
      </c>
      <c r="K216" s="183">
        <f>PRODUCT('Rollen-Prozess-Matrix'!O10,'Kompetenz-Prozess-Matrix'!J14)</f>
        <v>0</v>
      </c>
      <c r="L216" s="183">
        <f>PRODUCT('Rollen-Prozess-Matrix'!P10,'Kompetenz-Prozess-Matrix'!J14)</f>
        <v>0</v>
      </c>
      <c r="M216" s="183">
        <f>PRODUCT('Rollen-Prozess-Matrix'!Q10,'Kompetenz-Prozess-Matrix'!J14)</f>
        <v>0</v>
      </c>
      <c r="N216" s="183">
        <f>PRODUCT('Rollen-Prozess-Matrix'!R10,'Kompetenz-Prozess-Matrix'!J14)</f>
        <v>0</v>
      </c>
      <c r="O216" s="183">
        <f>PRODUCT('Rollen-Prozess-Matrix'!S10,'Kompetenz-Prozess-Matrix'!J14)</f>
        <v>0</v>
      </c>
      <c r="P216" s="183">
        <f>PRODUCT('Rollen-Prozess-Matrix'!T10,'Kompetenz-Prozess-Matrix'!J14)</f>
        <v>0</v>
      </c>
      <c r="Q216" s="185">
        <f>PRODUCT('Rollen-Prozess-Matrix'!U10,'Kompetenz-Prozess-Matrix'!J14)</f>
        <v>0</v>
      </c>
    </row>
    <row r="217" spans="1:17" ht="38.25" hidden="1" outlineLevel="1" x14ac:dyDescent="0.35">
      <c r="A217" s="333"/>
      <c r="B217" s="339"/>
      <c r="C217" s="180" t="s">
        <v>161</v>
      </c>
      <c r="D217" s="182">
        <f>PRODUCT('Rollen-Prozess-Matrix'!H11,'Kompetenz-Prozess-Matrix'!J15)</f>
        <v>0</v>
      </c>
      <c r="E217" s="183">
        <f>PRODUCT('Rollen-Prozess-Matrix'!I11,'Kompetenz-Prozess-Matrix'!J15)</f>
        <v>0</v>
      </c>
      <c r="F217" s="183">
        <f>PRODUCT('Rollen-Prozess-Matrix'!J11,'Kompetenz-Prozess-Matrix'!J15)</f>
        <v>2</v>
      </c>
      <c r="G217" s="183">
        <f>PRODUCT('Rollen-Prozess-Matrix'!K11,'Kompetenz-Prozess-Matrix'!J15)</f>
        <v>0</v>
      </c>
      <c r="H217" s="183">
        <f>PRODUCT('Rollen-Prozess-Matrix'!L11,'Kompetenz-Prozess-Matrix'!J15)</f>
        <v>3</v>
      </c>
      <c r="I217" s="183">
        <f>PRODUCT('Rollen-Prozess-Matrix'!M11,'Kompetenz-Prozess-Matrix'!J15)</f>
        <v>0</v>
      </c>
      <c r="J217" s="183">
        <f>PRODUCT('Rollen-Prozess-Matrix'!N11,'Kompetenz-Prozess-Matrix'!J15)</f>
        <v>0</v>
      </c>
      <c r="K217" s="183">
        <f>PRODUCT('Rollen-Prozess-Matrix'!O11,'Kompetenz-Prozess-Matrix'!J15)</f>
        <v>0</v>
      </c>
      <c r="L217" s="183">
        <f>PRODUCT('Rollen-Prozess-Matrix'!P11,'Kompetenz-Prozess-Matrix'!J15)</f>
        <v>0</v>
      </c>
      <c r="M217" s="183">
        <f>PRODUCT('Rollen-Prozess-Matrix'!Q11,'Kompetenz-Prozess-Matrix'!J15)</f>
        <v>0</v>
      </c>
      <c r="N217" s="183">
        <f>PRODUCT('Rollen-Prozess-Matrix'!R11,'Kompetenz-Prozess-Matrix'!J15)</f>
        <v>0</v>
      </c>
      <c r="O217" s="183">
        <f>PRODUCT('Rollen-Prozess-Matrix'!S11,'Kompetenz-Prozess-Matrix'!J15)</f>
        <v>0</v>
      </c>
      <c r="P217" s="183">
        <f>PRODUCT('Rollen-Prozess-Matrix'!T11,'Kompetenz-Prozess-Matrix'!J15)</f>
        <v>0</v>
      </c>
      <c r="Q217" s="185">
        <f>PRODUCT('Rollen-Prozess-Matrix'!U11,'Kompetenz-Prozess-Matrix'!J15)</f>
        <v>1</v>
      </c>
    </row>
    <row r="218" spans="1:17" ht="38.25" hidden="1" outlineLevel="1" x14ac:dyDescent="0.35">
      <c r="A218" s="333"/>
      <c r="B218" s="339"/>
      <c r="C218" s="180" t="s">
        <v>288</v>
      </c>
      <c r="D218" s="182">
        <f>PRODUCT('Rollen-Prozess-Matrix'!H12,'Kompetenz-Prozess-Matrix'!J16)</f>
        <v>0</v>
      </c>
      <c r="E218" s="183">
        <f>PRODUCT('Rollen-Prozess-Matrix'!I12,'Kompetenz-Prozess-Matrix'!J16)</f>
        <v>0</v>
      </c>
      <c r="F218" s="183">
        <f>PRODUCT('Rollen-Prozess-Matrix'!J12,'Kompetenz-Prozess-Matrix'!J16)</f>
        <v>0</v>
      </c>
      <c r="G218" s="183">
        <f>PRODUCT('Rollen-Prozess-Matrix'!K12,'Kompetenz-Prozess-Matrix'!J16)</f>
        <v>0</v>
      </c>
      <c r="H218" s="183">
        <f>PRODUCT('Rollen-Prozess-Matrix'!L12,'Kompetenz-Prozess-Matrix'!J16)</f>
        <v>0</v>
      </c>
      <c r="I218" s="183">
        <f>PRODUCT('Rollen-Prozess-Matrix'!M12,'Kompetenz-Prozess-Matrix'!J16)</f>
        <v>0</v>
      </c>
      <c r="J218" s="183">
        <f>PRODUCT('Rollen-Prozess-Matrix'!N12,'Kompetenz-Prozess-Matrix'!J16)</f>
        <v>0</v>
      </c>
      <c r="K218" s="183">
        <f>PRODUCT('Rollen-Prozess-Matrix'!O12,'Kompetenz-Prozess-Matrix'!J16)</f>
        <v>0</v>
      </c>
      <c r="L218" s="183">
        <f>PRODUCT('Rollen-Prozess-Matrix'!P12,'Kompetenz-Prozess-Matrix'!J16)</f>
        <v>0</v>
      </c>
      <c r="M218" s="183">
        <f>PRODUCT('Rollen-Prozess-Matrix'!Q12,'Kompetenz-Prozess-Matrix'!J16)</f>
        <v>0</v>
      </c>
      <c r="N218" s="183">
        <f>PRODUCT('Rollen-Prozess-Matrix'!R12,'Kompetenz-Prozess-Matrix'!J16)</f>
        <v>0</v>
      </c>
      <c r="O218" s="183">
        <f>PRODUCT('Rollen-Prozess-Matrix'!S12,'Kompetenz-Prozess-Matrix'!J16)</f>
        <v>0</v>
      </c>
      <c r="P218" s="183">
        <f>PRODUCT('Rollen-Prozess-Matrix'!T12,'Kompetenz-Prozess-Matrix'!J16)</f>
        <v>0</v>
      </c>
      <c r="Q218" s="185">
        <f>PRODUCT('Rollen-Prozess-Matrix'!U12,'Kompetenz-Prozess-Matrix'!J16)</f>
        <v>0</v>
      </c>
    </row>
    <row r="219" spans="1:17" ht="25.5" hidden="1" outlineLevel="1" x14ac:dyDescent="0.35">
      <c r="A219" s="333"/>
      <c r="B219" s="339"/>
      <c r="C219" s="180" t="s">
        <v>169</v>
      </c>
      <c r="D219" s="182">
        <f>PRODUCT('Rollen-Prozess-Matrix'!H13,'Kompetenz-Prozess-Matrix'!J17)</f>
        <v>0</v>
      </c>
      <c r="E219" s="183">
        <f>PRODUCT('Rollen-Prozess-Matrix'!I13,'Kompetenz-Prozess-Matrix'!J17)</f>
        <v>0</v>
      </c>
      <c r="F219" s="183">
        <f>PRODUCT('Rollen-Prozess-Matrix'!J13,'Kompetenz-Prozess-Matrix'!J17)</f>
        <v>0</v>
      </c>
      <c r="G219" s="183">
        <f>PRODUCT('Rollen-Prozess-Matrix'!K13,'Kompetenz-Prozess-Matrix'!J17)</f>
        <v>0</v>
      </c>
      <c r="H219" s="183">
        <f>PRODUCT('Rollen-Prozess-Matrix'!L13,'Kompetenz-Prozess-Matrix'!J17)</f>
        <v>0</v>
      </c>
      <c r="I219" s="183">
        <f>PRODUCT('Rollen-Prozess-Matrix'!M13,'Kompetenz-Prozess-Matrix'!J17)</f>
        <v>0</v>
      </c>
      <c r="J219" s="183">
        <f>PRODUCT('Rollen-Prozess-Matrix'!N13,'Kompetenz-Prozess-Matrix'!J17)</f>
        <v>0</v>
      </c>
      <c r="K219" s="183">
        <f>PRODUCT('Rollen-Prozess-Matrix'!O13,'Kompetenz-Prozess-Matrix'!J17)</f>
        <v>0</v>
      </c>
      <c r="L219" s="183">
        <f>PRODUCT('Rollen-Prozess-Matrix'!P13,'Kompetenz-Prozess-Matrix'!J17)</f>
        <v>0</v>
      </c>
      <c r="M219" s="183">
        <f>PRODUCT('Rollen-Prozess-Matrix'!Q13,'Kompetenz-Prozess-Matrix'!J17)</f>
        <v>0</v>
      </c>
      <c r="N219" s="183">
        <f>PRODUCT('Rollen-Prozess-Matrix'!R13,'Kompetenz-Prozess-Matrix'!J17)</f>
        <v>0</v>
      </c>
      <c r="O219" s="183">
        <f>PRODUCT('Rollen-Prozess-Matrix'!S13,'Kompetenz-Prozess-Matrix'!J17)</f>
        <v>0</v>
      </c>
      <c r="P219" s="183">
        <f>PRODUCT('Rollen-Prozess-Matrix'!T13,'Kompetenz-Prozess-Matrix'!J17)</f>
        <v>0</v>
      </c>
      <c r="Q219" s="185">
        <f>PRODUCT('Rollen-Prozess-Matrix'!U13,'Kompetenz-Prozess-Matrix'!J17)</f>
        <v>0</v>
      </c>
    </row>
    <row r="220" spans="1:17" ht="63.75" hidden="1" outlineLevel="1" x14ac:dyDescent="0.35">
      <c r="A220" s="333"/>
      <c r="B220" s="339"/>
      <c r="C220" s="180" t="s">
        <v>173</v>
      </c>
      <c r="D220" s="182">
        <f>PRODUCT('Rollen-Prozess-Matrix'!H14,'Kompetenz-Prozess-Matrix'!J18)</f>
        <v>0</v>
      </c>
      <c r="E220" s="183">
        <f>PRODUCT('Rollen-Prozess-Matrix'!I14,'Kompetenz-Prozess-Matrix'!J18)</f>
        <v>0</v>
      </c>
      <c r="F220" s="183">
        <f>PRODUCT('Rollen-Prozess-Matrix'!J14,'Kompetenz-Prozess-Matrix'!J18)</f>
        <v>0</v>
      </c>
      <c r="G220" s="183">
        <f>PRODUCT('Rollen-Prozess-Matrix'!K14,'Kompetenz-Prozess-Matrix'!J18)</f>
        <v>0</v>
      </c>
      <c r="H220" s="183">
        <f>PRODUCT('Rollen-Prozess-Matrix'!L14,'Kompetenz-Prozess-Matrix'!J18)</f>
        <v>0</v>
      </c>
      <c r="I220" s="183">
        <f>PRODUCT('Rollen-Prozess-Matrix'!M14,'Kompetenz-Prozess-Matrix'!J18)</f>
        <v>0</v>
      </c>
      <c r="J220" s="183">
        <f>PRODUCT('Rollen-Prozess-Matrix'!N14,'Kompetenz-Prozess-Matrix'!J18)</f>
        <v>0</v>
      </c>
      <c r="K220" s="183">
        <f>PRODUCT('Rollen-Prozess-Matrix'!O14,'Kompetenz-Prozess-Matrix'!J18)</f>
        <v>0</v>
      </c>
      <c r="L220" s="183">
        <f>PRODUCT('Rollen-Prozess-Matrix'!P14,'Kompetenz-Prozess-Matrix'!J18)</f>
        <v>0</v>
      </c>
      <c r="M220" s="183">
        <f>PRODUCT('Rollen-Prozess-Matrix'!Q14,'Kompetenz-Prozess-Matrix'!J18)</f>
        <v>0</v>
      </c>
      <c r="N220" s="183">
        <f>PRODUCT('Rollen-Prozess-Matrix'!R14,'Kompetenz-Prozess-Matrix'!J18)</f>
        <v>0</v>
      </c>
      <c r="O220" s="183">
        <f>PRODUCT('Rollen-Prozess-Matrix'!S14,'Kompetenz-Prozess-Matrix'!J18)</f>
        <v>0</v>
      </c>
      <c r="P220" s="183">
        <f>PRODUCT('Rollen-Prozess-Matrix'!T14,'Kompetenz-Prozess-Matrix'!J18)</f>
        <v>0</v>
      </c>
      <c r="Q220" s="185">
        <f>PRODUCT('Rollen-Prozess-Matrix'!U14,'Kompetenz-Prozess-Matrix'!J18)</f>
        <v>0</v>
      </c>
    </row>
    <row r="221" spans="1:17" ht="38.25" hidden="1" outlineLevel="1" x14ac:dyDescent="0.35">
      <c r="A221" s="333"/>
      <c r="B221" s="339"/>
      <c r="C221" s="180" t="s">
        <v>177</v>
      </c>
      <c r="D221" s="182">
        <f>PRODUCT('Rollen-Prozess-Matrix'!H15,'Kompetenz-Prozess-Matrix'!J19)</f>
        <v>0</v>
      </c>
      <c r="E221" s="183">
        <f>PRODUCT('Rollen-Prozess-Matrix'!I15,'Kompetenz-Prozess-Matrix'!J19)</f>
        <v>0</v>
      </c>
      <c r="F221" s="183">
        <f>PRODUCT('Rollen-Prozess-Matrix'!J15,'Kompetenz-Prozess-Matrix'!J19)</f>
        <v>0</v>
      </c>
      <c r="G221" s="183">
        <f>PRODUCT('Rollen-Prozess-Matrix'!K15,'Kompetenz-Prozess-Matrix'!J19)</f>
        <v>0</v>
      </c>
      <c r="H221" s="183">
        <f>PRODUCT('Rollen-Prozess-Matrix'!L15,'Kompetenz-Prozess-Matrix'!J19)</f>
        <v>0</v>
      </c>
      <c r="I221" s="183">
        <f>PRODUCT('Rollen-Prozess-Matrix'!M15,'Kompetenz-Prozess-Matrix'!J19)</f>
        <v>0</v>
      </c>
      <c r="J221" s="183">
        <f>PRODUCT('Rollen-Prozess-Matrix'!N15,'Kompetenz-Prozess-Matrix'!J19)</f>
        <v>0</v>
      </c>
      <c r="K221" s="183">
        <f>PRODUCT('Rollen-Prozess-Matrix'!O15,'Kompetenz-Prozess-Matrix'!J19)</f>
        <v>0</v>
      </c>
      <c r="L221" s="183">
        <f>PRODUCT('Rollen-Prozess-Matrix'!P15,'Kompetenz-Prozess-Matrix'!J19)</f>
        <v>0</v>
      </c>
      <c r="M221" s="183">
        <f>PRODUCT('Rollen-Prozess-Matrix'!Q15,'Kompetenz-Prozess-Matrix'!J19)</f>
        <v>0</v>
      </c>
      <c r="N221" s="183">
        <f>PRODUCT('Rollen-Prozess-Matrix'!R15,'Kompetenz-Prozess-Matrix'!J19)</f>
        <v>0</v>
      </c>
      <c r="O221" s="183">
        <f>PRODUCT('Rollen-Prozess-Matrix'!S15,'Kompetenz-Prozess-Matrix'!J19)</f>
        <v>0</v>
      </c>
      <c r="P221" s="183">
        <f>PRODUCT('Rollen-Prozess-Matrix'!T15,'Kompetenz-Prozess-Matrix'!J19)</f>
        <v>0</v>
      </c>
      <c r="Q221" s="185">
        <f>PRODUCT('Rollen-Prozess-Matrix'!U15,'Kompetenz-Prozess-Matrix'!J19)</f>
        <v>0</v>
      </c>
    </row>
    <row r="222" spans="1:17" hidden="1" outlineLevel="1" x14ac:dyDescent="0.35">
      <c r="A222" s="333"/>
      <c r="B222" s="339"/>
      <c r="C222" s="180" t="s">
        <v>181</v>
      </c>
      <c r="D222" s="182">
        <f>PRODUCT('Rollen-Prozess-Matrix'!H16,'Kompetenz-Prozess-Matrix'!J20)</f>
        <v>0</v>
      </c>
      <c r="E222" s="183">
        <f>PRODUCT('Rollen-Prozess-Matrix'!I16,'Kompetenz-Prozess-Matrix'!J20)</f>
        <v>0</v>
      </c>
      <c r="F222" s="183">
        <f>PRODUCT('Rollen-Prozess-Matrix'!J16,'Kompetenz-Prozess-Matrix'!J20)</f>
        <v>0</v>
      </c>
      <c r="G222" s="183">
        <f>PRODUCT('Rollen-Prozess-Matrix'!K16,'Kompetenz-Prozess-Matrix'!J20)</f>
        <v>0</v>
      </c>
      <c r="H222" s="183">
        <f>PRODUCT('Rollen-Prozess-Matrix'!L16,'Kompetenz-Prozess-Matrix'!J20)</f>
        <v>0</v>
      </c>
      <c r="I222" s="183">
        <f>PRODUCT('Rollen-Prozess-Matrix'!M16,'Kompetenz-Prozess-Matrix'!J20)</f>
        <v>0</v>
      </c>
      <c r="J222" s="183">
        <f>PRODUCT('Rollen-Prozess-Matrix'!N16,'Kompetenz-Prozess-Matrix'!J20)</f>
        <v>0</v>
      </c>
      <c r="K222" s="183">
        <f>PRODUCT('Rollen-Prozess-Matrix'!O16,'Kompetenz-Prozess-Matrix'!J20)</f>
        <v>0</v>
      </c>
      <c r="L222" s="183">
        <f>PRODUCT('Rollen-Prozess-Matrix'!P16,'Kompetenz-Prozess-Matrix'!J20)</f>
        <v>0</v>
      </c>
      <c r="M222" s="183">
        <f>PRODUCT('Rollen-Prozess-Matrix'!Q16,'Kompetenz-Prozess-Matrix'!J20)</f>
        <v>0</v>
      </c>
      <c r="N222" s="183">
        <f>PRODUCT('Rollen-Prozess-Matrix'!R16,'Kompetenz-Prozess-Matrix'!J20)</f>
        <v>0</v>
      </c>
      <c r="O222" s="183">
        <f>PRODUCT('Rollen-Prozess-Matrix'!S16,'Kompetenz-Prozess-Matrix'!J20)</f>
        <v>0</v>
      </c>
      <c r="P222" s="183">
        <f>PRODUCT('Rollen-Prozess-Matrix'!T16,'Kompetenz-Prozess-Matrix'!J20)</f>
        <v>0</v>
      </c>
      <c r="Q222" s="185">
        <f>PRODUCT('Rollen-Prozess-Matrix'!U16,'Kompetenz-Prozess-Matrix'!J20)</f>
        <v>0</v>
      </c>
    </row>
    <row r="223" spans="1:17" ht="38.25" hidden="1" outlineLevel="1" x14ac:dyDescent="0.35">
      <c r="A223" s="333"/>
      <c r="B223" s="339"/>
      <c r="C223" s="180" t="s">
        <v>185</v>
      </c>
      <c r="D223" s="182">
        <f>PRODUCT('Rollen-Prozess-Matrix'!H17,'Kompetenz-Prozess-Matrix'!J21)</f>
        <v>0</v>
      </c>
      <c r="E223" s="183">
        <f>PRODUCT('Rollen-Prozess-Matrix'!I17,'Kompetenz-Prozess-Matrix'!J21)</f>
        <v>0</v>
      </c>
      <c r="F223" s="183">
        <f>PRODUCT('Rollen-Prozess-Matrix'!J17,'Kompetenz-Prozess-Matrix'!J21)</f>
        <v>0</v>
      </c>
      <c r="G223" s="183">
        <f>PRODUCT('Rollen-Prozess-Matrix'!K17,'Kompetenz-Prozess-Matrix'!J21)</f>
        <v>0</v>
      </c>
      <c r="H223" s="183">
        <f>PRODUCT('Rollen-Prozess-Matrix'!L17,'Kompetenz-Prozess-Matrix'!J21)</f>
        <v>0</v>
      </c>
      <c r="I223" s="183">
        <f>PRODUCT('Rollen-Prozess-Matrix'!M17,'Kompetenz-Prozess-Matrix'!J21)</f>
        <v>0</v>
      </c>
      <c r="J223" s="183">
        <f>PRODUCT('Rollen-Prozess-Matrix'!N17,'Kompetenz-Prozess-Matrix'!J21)</f>
        <v>0</v>
      </c>
      <c r="K223" s="183">
        <f>PRODUCT('Rollen-Prozess-Matrix'!O17,'Kompetenz-Prozess-Matrix'!J21)</f>
        <v>0</v>
      </c>
      <c r="L223" s="183">
        <f>PRODUCT('Rollen-Prozess-Matrix'!P17,'Kompetenz-Prozess-Matrix'!J21)</f>
        <v>0</v>
      </c>
      <c r="M223" s="183">
        <f>PRODUCT('Rollen-Prozess-Matrix'!Q17,'Kompetenz-Prozess-Matrix'!J21)</f>
        <v>0</v>
      </c>
      <c r="N223" s="183">
        <f>PRODUCT('Rollen-Prozess-Matrix'!R17,'Kompetenz-Prozess-Matrix'!J21)</f>
        <v>0</v>
      </c>
      <c r="O223" s="183">
        <f>PRODUCT('Rollen-Prozess-Matrix'!S17,'Kompetenz-Prozess-Matrix'!J21)</f>
        <v>0</v>
      </c>
      <c r="P223" s="183">
        <f>PRODUCT('Rollen-Prozess-Matrix'!T17,'Kompetenz-Prozess-Matrix'!J21)</f>
        <v>0</v>
      </c>
      <c r="Q223" s="185">
        <f>PRODUCT('Rollen-Prozess-Matrix'!U17,'Kompetenz-Prozess-Matrix'!J21)</f>
        <v>0</v>
      </c>
    </row>
    <row r="224" spans="1:17" ht="51" hidden="1" outlineLevel="1" x14ac:dyDescent="0.35">
      <c r="A224" s="333"/>
      <c r="B224" s="339"/>
      <c r="C224" s="180" t="s">
        <v>190</v>
      </c>
      <c r="D224" s="182">
        <f>PRODUCT('Rollen-Prozess-Matrix'!H18,'Kompetenz-Prozess-Matrix'!J22)</f>
        <v>0</v>
      </c>
      <c r="E224" s="183">
        <f>PRODUCT('Rollen-Prozess-Matrix'!I18,'Kompetenz-Prozess-Matrix'!J22)</f>
        <v>2</v>
      </c>
      <c r="F224" s="183">
        <f>PRODUCT('Rollen-Prozess-Matrix'!J18,'Kompetenz-Prozess-Matrix'!J22)</f>
        <v>0</v>
      </c>
      <c r="G224" s="183">
        <f>PRODUCT('Rollen-Prozess-Matrix'!K18,'Kompetenz-Prozess-Matrix'!J22)</f>
        <v>0</v>
      </c>
      <c r="H224" s="183">
        <f>PRODUCT('Rollen-Prozess-Matrix'!L18,'Kompetenz-Prozess-Matrix'!J22)</f>
        <v>3</v>
      </c>
      <c r="I224" s="183">
        <f>PRODUCT('Rollen-Prozess-Matrix'!M18,'Kompetenz-Prozess-Matrix'!J22)</f>
        <v>0</v>
      </c>
      <c r="J224" s="183">
        <f>PRODUCT('Rollen-Prozess-Matrix'!N18,'Kompetenz-Prozess-Matrix'!J22)</f>
        <v>0</v>
      </c>
      <c r="K224" s="183">
        <f>PRODUCT('Rollen-Prozess-Matrix'!O18,'Kompetenz-Prozess-Matrix'!J22)</f>
        <v>0</v>
      </c>
      <c r="L224" s="183">
        <f>PRODUCT('Rollen-Prozess-Matrix'!P18,'Kompetenz-Prozess-Matrix'!J22)</f>
        <v>0</v>
      </c>
      <c r="M224" s="183">
        <f>PRODUCT('Rollen-Prozess-Matrix'!Q18,'Kompetenz-Prozess-Matrix'!J22)</f>
        <v>0</v>
      </c>
      <c r="N224" s="183">
        <f>PRODUCT('Rollen-Prozess-Matrix'!R18,'Kompetenz-Prozess-Matrix'!J22)</f>
        <v>0</v>
      </c>
      <c r="O224" s="183">
        <f>PRODUCT('Rollen-Prozess-Matrix'!S18,'Kompetenz-Prozess-Matrix'!J22)</f>
        <v>0</v>
      </c>
      <c r="P224" s="183">
        <f>PRODUCT('Rollen-Prozess-Matrix'!T18,'Kompetenz-Prozess-Matrix'!J22)</f>
        <v>2</v>
      </c>
      <c r="Q224" s="185">
        <f>PRODUCT('Rollen-Prozess-Matrix'!U18,'Kompetenz-Prozess-Matrix'!J22)</f>
        <v>1</v>
      </c>
    </row>
    <row r="225" spans="1:17" ht="63.75" hidden="1" outlineLevel="1" x14ac:dyDescent="0.35">
      <c r="A225" s="333"/>
      <c r="B225" s="339"/>
      <c r="C225" s="180" t="s">
        <v>194</v>
      </c>
      <c r="D225" s="182">
        <f>PRODUCT('Rollen-Prozess-Matrix'!H19,'Kompetenz-Prozess-Matrix'!J23)</f>
        <v>0</v>
      </c>
      <c r="E225" s="183">
        <f>PRODUCT('Rollen-Prozess-Matrix'!I19,'Kompetenz-Prozess-Matrix'!J23)</f>
        <v>2</v>
      </c>
      <c r="F225" s="183">
        <f>PRODUCT('Rollen-Prozess-Matrix'!J19,'Kompetenz-Prozess-Matrix'!J23)</f>
        <v>0</v>
      </c>
      <c r="G225" s="183">
        <f>PRODUCT('Rollen-Prozess-Matrix'!K19,'Kompetenz-Prozess-Matrix'!J23)</f>
        <v>0</v>
      </c>
      <c r="H225" s="183">
        <f>PRODUCT('Rollen-Prozess-Matrix'!L19,'Kompetenz-Prozess-Matrix'!J23)</f>
        <v>3</v>
      </c>
      <c r="I225" s="183">
        <f>PRODUCT('Rollen-Prozess-Matrix'!M19,'Kompetenz-Prozess-Matrix'!J23)</f>
        <v>1</v>
      </c>
      <c r="J225" s="183">
        <f>PRODUCT('Rollen-Prozess-Matrix'!N19,'Kompetenz-Prozess-Matrix'!J23)</f>
        <v>0</v>
      </c>
      <c r="K225" s="183">
        <f>PRODUCT('Rollen-Prozess-Matrix'!O19,'Kompetenz-Prozess-Matrix'!J23)</f>
        <v>0</v>
      </c>
      <c r="L225" s="183">
        <f>PRODUCT('Rollen-Prozess-Matrix'!P19,'Kompetenz-Prozess-Matrix'!J23)</f>
        <v>1</v>
      </c>
      <c r="M225" s="183">
        <f>PRODUCT('Rollen-Prozess-Matrix'!Q19,'Kompetenz-Prozess-Matrix'!J23)</f>
        <v>0</v>
      </c>
      <c r="N225" s="183">
        <f>PRODUCT('Rollen-Prozess-Matrix'!R19,'Kompetenz-Prozess-Matrix'!J23)</f>
        <v>0</v>
      </c>
      <c r="O225" s="183">
        <f>PRODUCT('Rollen-Prozess-Matrix'!S19,'Kompetenz-Prozess-Matrix'!J23)</f>
        <v>0</v>
      </c>
      <c r="P225" s="183">
        <f>PRODUCT('Rollen-Prozess-Matrix'!T19,'Kompetenz-Prozess-Matrix'!J23)</f>
        <v>0</v>
      </c>
      <c r="Q225" s="185">
        <f>PRODUCT('Rollen-Prozess-Matrix'!U19,'Kompetenz-Prozess-Matrix'!J23)</f>
        <v>0</v>
      </c>
    </row>
    <row r="226" spans="1:17" ht="63.75" hidden="1" outlineLevel="1" x14ac:dyDescent="0.35">
      <c r="A226" s="333"/>
      <c r="B226" s="339"/>
      <c r="C226" s="180" t="s">
        <v>201</v>
      </c>
      <c r="D226" s="182">
        <f>PRODUCT('Rollen-Prozess-Matrix'!H20,'Kompetenz-Prozess-Matrix'!J24)</f>
        <v>0</v>
      </c>
      <c r="E226" s="183">
        <f>PRODUCT('Rollen-Prozess-Matrix'!I20,'Kompetenz-Prozess-Matrix'!J24)</f>
        <v>2</v>
      </c>
      <c r="F226" s="183">
        <f>PRODUCT('Rollen-Prozess-Matrix'!J20,'Kompetenz-Prozess-Matrix'!J24)</f>
        <v>0</v>
      </c>
      <c r="G226" s="183">
        <f>PRODUCT('Rollen-Prozess-Matrix'!K20,'Kompetenz-Prozess-Matrix'!J24)</f>
        <v>0</v>
      </c>
      <c r="H226" s="183">
        <f>PRODUCT('Rollen-Prozess-Matrix'!L20,'Kompetenz-Prozess-Matrix'!J24)</f>
        <v>3</v>
      </c>
      <c r="I226" s="183">
        <f>PRODUCT('Rollen-Prozess-Matrix'!M20,'Kompetenz-Prozess-Matrix'!J24)</f>
        <v>2</v>
      </c>
      <c r="J226" s="183">
        <f>PRODUCT('Rollen-Prozess-Matrix'!N20,'Kompetenz-Prozess-Matrix'!J24)</f>
        <v>1</v>
      </c>
      <c r="K226" s="183">
        <f>PRODUCT('Rollen-Prozess-Matrix'!O20,'Kompetenz-Prozess-Matrix'!J24)</f>
        <v>0</v>
      </c>
      <c r="L226" s="183">
        <f>PRODUCT('Rollen-Prozess-Matrix'!P20,'Kompetenz-Prozess-Matrix'!J24)</f>
        <v>1</v>
      </c>
      <c r="M226" s="183">
        <f>PRODUCT('Rollen-Prozess-Matrix'!Q20,'Kompetenz-Prozess-Matrix'!J24)</f>
        <v>0</v>
      </c>
      <c r="N226" s="183">
        <f>PRODUCT('Rollen-Prozess-Matrix'!R20,'Kompetenz-Prozess-Matrix'!J24)</f>
        <v>0</v>
      </c>
      <c r="O226" s="183">
        <f>PRODUCT('Rollen-Prozess-Matrix'!S20,'Kompetenz-Prozess-Matrix'!J24)</f>
        <v>0</v>
      </c>
      <c r="P226" s="183">
        <f>PRODUCT('Rollen-Prozess-Matrix'!T20,'Kompetenz-Prozess-Matrix'!J24)</f>
        <v>0</v>
      </c>
      <c r="Q226" s="185">
        <f>PRODUCT('Rollen-Prozess-Matrix'!U20,'Kompetenz-Prozess-Matrix'!J24)</f>
        <v>0</v>
      </c>
    </row>
    <row r="227" spans="1:17" ht="51" hidden="1" outlineLevel="1" x14ac:dyDescent="0.35">
      <c r="A227" s="333"/>
      <c r="B227" s="339"/>
      <c r="C227" s="180" t="s">
        <v>205</v>
      </c>
      <c r="D227" s="182">
        <f>PRODUCT('Rollen-Prozess-Matrix'!H21,'Kompetenz-Prozess-Matrix'!J25)</f>
        <v>0</v>
      </c>
      <c r="E227" s="183">
        <f>PRODUCT('Rollen-Prozess-Matrix'!I21,'Kompetenz-Prozess-Matrix'!J25)</f>
        <v>1</v>
      </c>
      <c r="F227" s="183">
        <f>PRODUCT('Rollen-Prozess-Matrix'!J21,'Kompetenz-Prozess-Matrix'!J25)</f>
        <v>0</v>
      </c>
      <c r="G227" s="183">
        <f>PRODUCT('Rollen-Prozess-Matrix'!K21,'Kompetenz-Prozess-Matrix'!J25)</f>
        <v>0</v>
      </c>
      <c r="H227" s="183">
        <f>PRODUCT('Rollen-Prozess-Matrix'!L21,'Kompetenz-Prozess-Matrix'!J25)</f>
        <v>3</v>
      </c>
      <c r="I227" s="183">
        <f>PRODUCT('Rollen-Prozess-Matrix'!M21,'Kompetenz-Prozess-Matrix'!J25)</f>
        <v>2</v>
      </c>
      <c r="J227" s="183">
        <f>PRODUCT('Rollen-Prozess-Matrix'!N21,'Kompetenz-Prozess-Matrix'!J25)</f>
        <v>1</v>
      </c>
      <c r="K227" s="183">
        <f>PRODUCT('Rollen-Prozess-Matrix'!O21,'Kompetenz-Prozess-Matrix'!J25)</f>
        <v>0</v>
      </c>
      <c r="L227" s="183">
        <f>PRODUCT('Rollen-Prozess-Matrix'!P21,'Kompetenz-Prozess-Matrix'!J25)</f>
        <v>0</v>
      </c>
      <c r="M227" s="183">
        <f>PRODUCT('Rollen-Prozess-Matrix'!Q21,'Kompetenz-Prozess-Matrix'!J25)</f>
        <v>0</v>
      </c>
      <c r="N227" s="183">
        <f>PRODUCT('Rollen-Prozess-Matrix'!R21,'Kompetenz-Prozess-Matrix'!J25)</f>
        <v>0</v>
      </c>
      <c r="O227" s="183">
        <f>PRODUCT('Rollen-Prozess-Matrix'!S21,'Kompetenz-Prozess-Matrix'!J25)</f>
        <v>0</v>
      </c>
      <c r="P227" s="183">
        <f>PRODUCT('Rollen-Prozess-Matrix'!T21,'Kompetenz-Prozess-Matrix'!J25)</f>
        <v>0</v>
      </c>
      <c r="Q227" s="185">
        <f>PRODUCT('Rollen-Prozess-Matrix'!U21,'Kompetenz-Prozess-Matrix'!J25)</f>
        <v>0</v>
      </c>
    </row>
    <row r="228" spans="1:17" ht="38.25" hidden="1" outlineLevel="1" x14ac:dyDescent="0.35">
      <c r="A228" s="333"/>
      <c r="B228" s="339"/>
      <c r="C228" s="180" t="s">
        <v>209</v>
      </c>
      <c r="D228" s="182">
        <f>PRODUCT('Rollen-Prozess-Matrix'!H22,'Kompetenz-Prozess-Matrix'!J26)</f>
        <v>0</v>
      </c>
      <c r="E228" s="183">
        <f>PRODUCT('Rollen-Prozess-Matrix'!I22,'Kompetenz-Prozess-Matrix'!J26)</f>
        <v>0</v>
      </c>
      <c r="F228" s="183">
        <f>PRODUCT('Rollen-Prozess-Matrix'!J22,'Kompetenz-Prozess-Matrix'!J26)</f>
        <v>0</v>
      </c>
      <c r="G228" s="183">
        <f>PRODUCT('Rollen-Prozess-Matrix'!K22,'Kompetenz-Prozess-Matrix'!J26)</f>
        <v>0</v>
      </c>
      <c r="H228" s="183">
        <f>PRODUCT('Rollen-Prozess-Matrix'!L22,'Kompetenz-Prozess-Matrix'!J26)</f>
        <v>0</v>
      </c>
      <c r="I228" s="183">
        <f>PRODUCT('Rollen-Prozess-Matrix'!M22,'Kompetenz-Prozess-Matrix'!J26)</f>
        <v>0</v>
      </c>
      <c r="J228" s="183">
        <f>PRODUCT('Rollen-Prozess-Matrix'!N22,'Kompetenz-Prozess-Matrix'!J26)</f>
        <v>0</v>
      </c>
      <c r="K228" s="183">
        <f>PRODUCT('Rollen-Prozess-Matrix'!O22,'Kompetenz-Prozess-Matrix'!J26)</f>
        <v>0</v>
      </c>
      <c r="L228" s="183">
        <f>PRODUCT('Rollen-Prozess-Matrix'!P22,'Kompetenz-Prozess-Matrix'!J26)</f>
        <v>0</v>
      </c>
      <c r="M228" s="183">
        <f>PRODUCT('Rollen-Prozess-Matrix'!Q22,'Kompetenz-Prozess-Matrix'!J26)</f>
        <v>0</v>
      </c>
      <c r="N228" s="183">
        <f>PRODUCT('Rollen-Prozess-Matrix'!R22,'Kompetenz-Prozess-Matrix'!J26)</f>
        <v>0</v>
      </c>
      <c r="O228" s="183">
        <f>PRODUCT('Rollen-Prozess-Matrix'!S22,'Kompetenz-Prozess-Matrix'!J26)</f>
        <v>0</v>
      </c>
      <c r="P228" s="183">
        <f>PRODUCT('Rollen-Prozess-Matrix'!T22,'Kompetenz-Prozess-Matrix'!J26)</f>
        <v>0</v>
      </c>
      <c r="Q228" s="185">
        <f>PRODUCT('Rollen-Prozess-Matrix'!U22,'Kompetenz-Prozess-Matrix'!J26)</f>
        <v>0</v>
      </c>
    </row>
    <row r="229" spans="1:17" ht="38.25" hidden="1" outlineLevel="1" x14ac:dyDescent="0.35">
      <c r="A229" s="333"/>
      <c r="B229" s="339"/>
      <c r="C229" s="180" t="s">
        <v>213</v>
      </c>
      <c r="D229" s="182">
        <f>PRODUCT('Rollen-Prozess-Matrix'!H23,'Kompetenz-Prozess-Matrix'!J27)</f>
        <v>0</v>
      </c>
      <c r="E229" s="183">
        <f>PRODUCT('Rollen-Prozess-Matrix'!I23,'Kompetenz-Prozess-Matrix'!J27)</f>
        <v>0</v>
      </c>
      <c r="F229" s="183">
        <f>PRODUCT('Rollen-Prozess-Matrix'!J23,'Kompetenz-Prozess-Matrix'!J27)</f>
        <v>0</v>
      </c>
      <c r="G229" s="183">
        <f>PRODUCT('Rollen-Prozess-Matrix'!K23,'Kompetenz-Prozess-Matrix'!J27)</f>
        <v>0</v>
      </c>
      <c r="H229" s="183">
        <f>PRODUCT('Rollen-Prozess-Matrix'!L23,'Kompetenz-Prozess-Matrix'!J27)</f>
        <v>0</v>
      </c>
      <c r="I229" s="183">
        <f>PRODUCT('Rollen-Prozess-Matrix'!M23,'Kompetenz-Prozess-Matrix'!J27)</f>
        <v>0</v>
      </c>
      <c r="J229" s="183">
        <f>PRODUCT('Rollen-Prozess-Matrix'!N23,'Kompetenz-Prozess-Matrix'!J27)</f>
        <v>0</v>
      </c>
      <c r="K229" s="183">
        <f>PRODUCT('Rollen-Prozess-Matrix'!O23,'Kompetenz-Prozess-Matrix'!J27)</f>
        <v>0</v>
      </c>
      <c r="L229" s="183">
        <f>PRODUCT('Rollen-Prozess-Matrix'!P23,'Kompetenz-Prozess-Matrix'!J27)</f>
        <v>0</v>
      </c>
      <c r="M229" s="183">
        <f>PRODUCT('Rollen-Prozess-Matrix'!Q23,'Kompetenz-Prozess-Matrix'!J27)</f>
        <v>0</v>
      </c>
      <c r="N229" s="183">
        <f>PRODUCT('Rollen-Prozess-Matrix'!R23,'Kompetenz-Prozess-Matrix'!J27)</f>
        <v>0</v>
      </c>
      <c r="O229" s="183">
        <f>PRODUCT('Rollen-Prozess-Matrix'!S23,'Kompetenz-Prozess-Matrix'!J27)</f>
        <v>0</v>
      </c>
      <c r="P229" s="183">
        <f>PRODUCT('Rollen-Prozess-Matrix'!T23,'Kompetenz-Prozess-Matrix'!J27)</f>
        <v>0</v>
      </c>
      <c r="Q229" s="185">
        <f>PRODUCT('Rollen-Prozess-Matrix'!U23,'Kompetenz-Prozess-Matrix'!J27)</f>
        <v>0</v>
      </c>
    </row>
    <row r="230" spans="1:17" ht="38.25" hidden="1" outlineLevel="1" x14ac:dyDescent="0.35">
      <c r="A230" s="333"/>
      <c r="B230" s="339"/>
      <c r="C230" s="180" t="s">
        <v>217</v>
      </c>
      <c r="D230" s="182">
        <f>PRODUCT('Rollen-Prozess-Matrix'!H24,'Kompetenz-Prozess-Matrix'!J28)</f>
        <v>0</v>
      </c>
      <c r="E230" s="183">
        <f>PRODUCT('Rollen-Prozess-Matrix'!I24,'Kompetenz-Prozess-Matrix'!J28)</f>
        <v>0</v>
      </c>
      <c r="F230" s="183">
        <f>PRODUCT('Rollen-Prozess-Matrix'!J24,'Kompetenz-Prozess-Matrix'!J28)</f>
        <v>0</v>
      </c>
      <c r="G230" s="183">
        <f>PRODUCT('Rollen-Prozess-Matrix'!K24,'Kompetenz-Prozess-Matrix'!J28)</f>
        <v>0</v>
      </c>
      <c r="H230" s="183">
        <f>PRODUCT('Rollen-Prozess-Matrix'!L24,'Kompetenz-Prozess-Matrix'!J28)</f>
        <v>0</v>
      </c>
      <c r="I230" s="183">
        <f>PRODUCT('Rollen-Prozess-Matrix'!M24,'Kompetenz-Prozess-Matrix'!J28)</f>
        <v>0</v>
      </c>
      <c r="J230" s="183">
        <f>PRODUCT('Rollen-Prozess-Matrix'!N24,'Kompetenz-Prozess-Matrix'!J28)</f>
        <v>0</v>
      </c>
      <c r="K230" s="183">
        <f>PRODUCT('Rollen-Prozess-Matrix'!O24,'Kompetenz-Prozess-Matrix'!J28)</f>
        <v>0</v>
      </c>
      <c r="L230" s="183">
        <f>PRODUCT('Rollen-Prozess-Matrix'!P24,'Kompetenz-Prozess-Matrix'!J28)</f>
        <v>0</v>
      </c>
      <c r="M230" s="183">
        <f>PRODUCT('Rollen-Prozess-Matrix'!Q24,'Kompetenz-Prozess-Matrix'!J28)</f>
        <v>0</v>
      </c>
      <c r="N230" s="183">
        <f>PRODUCT('Rollen-Prozess-Matrix'!R24,'Kompetenz-Prozess-Matrix'!J28)</f>
        <v>0</v>
      </c>
      <c r="O230" s="183">
        <f>PRODUCT('Rollen-Prozess-Matrix'!S24,'Kompetenz-Prozess-Matrix'!J28)</f>
        <v>0</v>
      </c>
      <c r="P230" s="183">
        <f>PRODUCT('Rollen-Prozess-Matrix'!T24,'Kompetenz-Prozess-Matrix'!J28)</f>
        <v>0</v>
      </c>
      <c r="Q230" s="185">
        <f>PRODUCT('Rollen-Prozess-Matrix'!U24,'Kompetenz-Prozess-Matrix'!J28)</f>
        <v>0</v>
      </c>
    </row>
    <row r="231" spans="1:17" ht="38.25" hidden="1" outlineLevel="1" x14ac:dyDescent="0.35">
      <c r="A231" s="333"/>
      <c r="B231" s="339"/>
      <c r="C231" s="180" t="s">
        <v>223</v>
      </c>
      <c r="D231" s="182">
        <f>PRODUCT('Rollen-Prozess-Matrix'!H25,'Kompetenz-Prozess-Matrix'!J29)</f>
        <v>0</v>
      </c>
      <c r="E231" s="183">
        <f>PRODUCT('Rollen-Prozess-Matrix'!I25,'Kompetenz-Prozess-Matrix'!J29)</f>
        <v>2</v>
      </c>
      <c r="F231" s="183">
        <f>PRODUCT('Rollen-Prozess-Matrix'!J25,'Kompetenz-Prozess-Matrix'!J29)</f>
        <v>0</v>
      </c>
      <c r="G231" s="183">
        <f>PRODUCT('Rollen-Prozess-Matrix'!K25,'Kompetenz-Prozess-Matrix'!J29)</f>
        <v>0</v>
      </c>
      <c r="H231" s="183">
        <f>PRODUCT('Rollen-Prozess-Matrix'!L25,'Kompetenz-Prozess-Matrix'!J29)</f>
        <v>6</v>
      </c>
      <c r="I231" s="183">
        <f>PRODUCT('Rollen-Prozess-Matrix'!M25,'Kompetenz-Prozess-Matrix'!J29)</f>
        <v>0</v>
      </c>
      <c r="J231" s="183">
        <f>PRODUCT('Rollen-Prozess-Matrix'!N25,'Kompetenz-Prozess-Matrix'!J29)</f>
        <v>0</v>
      </c>
      <c r="K231" s="183">
        <f>PRODUCT('Rollen-Prozess-Matrix'!O25,'Kompetenz-Prozess-Matrix'!J29)</f>
        <v>2</v>
      </c>
      <c r="L231" s="183">
        <f>PRODUCT('Rollen-Prozess-Matrix'!P25,'Kompetenz-Prozess-Matrix'!J29)</f>
        <v>2</v>
      </c>
      <c r="M231" s="183">
        <f>PRODUCT('Rollen-Prozess-Matrix'!Q25,'Kompetenz-Prozess-Matrix'!J29)</f>
        <v>4</v>
      </c>
      <c r="N231" s="183">
        <f>PRODUCT('Rollen-Prozess-Matrix'!R25,'Kompetenz-Prozess-Matrix'!J29)</f>
        <v>0</v>
      </c>
      <c r="O231" s="183">
        <f>PRODUCT('Rollen-Prozess-Matrix'!S25,'Kompetenz-Prozess-Matrix'!J29)</f>
        <v>0</v>
      </c>
      <c r="P231" s="183">
        <f>PRODUCT('Rollen-Prozess-Matrix'!T25,'Kompetenz-Prozess-Matrix'!J29)</f>
        <v>0</v>
      </c>
      <c r="Q231" s="185">
        <f>PRODUCT('Rollen-Prozess-Matrix'!U25,'Kompetenz-Prozess-Matrix'!J29)</f>
        <v>0</v>
      </c>
    </row>
    <row r="232" spans="1:17" ht="38.25" hidden="1" outlineLevel="1" x14ac:dyDescent="0.35">
      <c r="A232" s="333"/>
      <c r="B232" s="339"/>
      <c r="C232" s="180" t="s">
        <v>229</v>
      </c>
      <c r="D232" s="182">
        <f>PRODUCT('Rollen-Prozess-Matrix'!H26,'Kompetenz-Prozess-Matrix'!J30)</f>
        <v>0</v>
      </c>
      <c r="E232" s="183">
        <f>PRODUCT('Rollen-Prozess-Matrix'!I26,'Kompetenz-Prozess-Matrix'!J30)</f>
        <v>2</v>
      </c>
      <c r="F232" s="183">
        <f>PRODUCT('Rollen-Prozess-Matrix'!J26,'Kompetenz-Prozess-Matrix'!J30)</f>
        <v>0</v>
      </c>
      <c r="G232" s="183">
        <f>PRODUCT('Rollen-Prozess-Matrix'!K26,'Kompetenz-Prozess-Matrix'!J30)</f>
        <v>0</v>
      </c>
      <c r="H232" s="183">
        <f>PRODUCT('Rollen-Prozess-Matrix'!L26,'Kompetenz-Prozess-Matrix'!J30)</f>
        <v>6</v>
      </c>
      <c r="I232" s="183">
        <f>PRODUCT('Rollen-Prozess-Matrix'!M26,'Kompetenz-Prozess-Matrix'!J30)</f>
        <v>2</v>
      </c>
      <c r="J232" s="183">
        <f>PRODUCT('Rollen-Prozess-Matrix'!N26,'Kompetenz-Prozess-Matrix'!J30)</f>
        <v>2</v>
      </c>
      <c r="K232" s="183">
        <f>PRODUCT('Rollen-Prozess-Matrix'!O26,'Kompetenz-Prozess-Matrix'!J30)</f>
        <v>0</v>
      </c>
      <c r="L232" s="183">
        <f>PRODUCT('Rollen-Prozess-Matrix'!P26,'Kompetenz-Prozess-Matrix'!J30)</f>
        <v>4</v>
      </c>
      <c r="M232" s="183">
        <f>PRODUCT('Rollen-Prozess-Matrix'!Q26,'Kompetenz-Prozess-Matrix'!J30)</f>
        <v>0</v>
      </c>
      <c r="N232" s="183">
        <f>PRODUCT('Rollen-Prozess-Matrix'!R26,'Kompetenz-Prozess-Matrix'!J30)</f>
        <v>0</v>
      </c>
      <c r="O232" s="183">
        <f>PRODUCT('Rollen-Prozess-Matrix'!S26,'Kompetenz-Prozess-Matrix'!J30)</f>
        <v>2</v>
      </c>
      <c r="P232" s="183">
        <f>PRODUCT('Rollen-Prozess-Matrix'!T26,'Kompetenz-Prozess-Matrix'!J30)</f>
        <v>0</v>
      </c>
      <c r="Q232" s="185">
        <f>PRODUCT('Rollen-Prozess-Matrix'!U26,'Kompetenz-Prozess-Matrix'!J30)</f>
        <v>0</v>
      </c>
    </row>
    <row r="233" spans="1:17" ht="38.25" hidden="1" outlineLevel="1" x14ac:dyDescent="0.35">
      <c r="A233" s="333"/>
      <c r="B233" s="339"/>
      <c r="C233" s="180" t="s">
        <v>235</v>
      </c>
      <c r="D233" s="182">
        <f>PRODUCT('Rollen-Prozess-Matrix'!H27,'Kompetenz-Prozess-Matrix'!J31)</f>
        <v>0</v>
      </c>
      <c r="E233" s="183">
        <f>PRODUCT('Rollen-Prozess-Matrix'!I27,'Kompetenz-Prozess-Matrix'!J31)</f>
        <v>0</v>
      </c>
      <c r="F233" s="183">
        <f>PRODUCT('Rollen-Prozess-Matrix'!J27,'Kompetenz-Prozess-Matrix'!J31)</f>
        <v>0</v>
      </c>
      <c r="G233" s="183">
        <f>PRODUCT('Rollen-Prozess-Matrix'!K27,'Kompetenz-Prozess-Matrix'!J31)</f>
        <v>0</v>
      </c>
      <c r="H233" s="183">
        <f>PRODUCT('Rollen-Prozess-Matrix'!L27,'Kompetenz-Prozess-Matrix'!J31)</f>
        <v>0</v>
      </c>
      <c r="I233" s="183">
        <f>PRODUCT('Rollen-Prozess-Matrix'!M27,'Kompetenz-Prozess-Matrix'!J31)</f>
        <v>0</v>
      </c>
      <c r="J233" s="183">
        <f>PRODUCT('Rollen-Prozess-Matrix'!N27,'Kompetenz-Prozess-Matrix'!J31)</f>
        <v>0</v>
      </c>
      <c r="K233" s="183">
        <f>PRODUCT('Rollen-Prozess-Matrix'!O27,'Kompetenz-Prozess-Matrix'!J31)</f>
        <v>0</v>
      </c>
      <c r="L233" s="183">
        <f>PRODUCT('Rollen-Prozess-Matrix'!P27,'Kompetenz-Prozess-Matrix'!J31)</f>
        <v>0</v>
      </c>
      <c r="M233" s="183">
        <f>PRODUCT('Rollen-Prozess-Matrix'!Q27,'Kompetenz-Prozess-Matrix'!J31)</f>
        <v>0</v>
      </c>
      <c r="N233" s="183">
        <f>PRODUCT('Rollen-Prozess-Matrix'!R27,'Kompetenz-Prozess-Matrix'!J31)</f>
        <v>0</v>
      </c>
      <c r="O233" s="183">
        <f>PRODUCT('Rollen-Prozess-Matrix'!S27,'Kompetenz-Prozess-Matrix'!J31)</f>
        <v>0</v>
      </c>
      <c r="P233" s="183">
        <f>PRODUCT('Rollen-Prozess-Matrix'!T27,'Kompetenz-Prozess-Matrix'!J31)</f>
        <v>0</v>
      </c>
      <c r="Q233" s="185">
        <f>PRODUCT('Rollen-Prozess-Matrix'!U27,'Kompetenz-Prozess-Matrix'!J31)</f>
        <v>0</v>
      </c>
    </row>
    <row r="234" spans="1:17" ht="38.25" hidden="1" outlineLevel="1" x14ac:dyDescent="0.35">
      <c r="A234" s="333"/>
      <c r="B234" s="339"/>
      <c r="C234" s="180" t="s">
        <v>242</v>
      </c>
      <c r="D234" s="182">
        <f>PRODUCT('Rollen-Prozess-Matrix'!H28,'Kompetenz-Prozess-Matrix'!J32)</f>
        <v>2</v>
      </c>
      <c r="E234" s="183">
        <f>PRODUCT('Rollen-Prozess-Matrix'!I28,'Kompetenz-Prozess-Matrix'!J32)</f>
        <v>2</v>
      </c>
      <c r="F234" s="183">
        <f>PRODUCT('Rollen-Prozess-Matrix'!J28,'Kompetenz-Prozess-Matrix'!J32)</f>
        <v>0</v>
      </c>
      <c r="G234" s="183">
        <f>PRODUCT('Rollen-Prozess-Matrix'!K28,'Kompetenz-Prozess-Matrix'!J32)</f>
        <v>0</v>
      </c>
      <c r="H234" s="183">
        <f>PRODUCT('Rollen-Prozess-Matrix'!L28,'Kompetenz-Prozess-Matrix'!J32)</f>
        <v>6</v>
      </c>
      <c r="I234" s="183">
        <f>PRODUCT('Rollen-Prozess-Matrix'!M28,'Kompetenz-Prozess-Matrix'!J32)</f>
        <v>0</v>
      </c>
      <c r="J234" s="183">
        <f>PRODUCT('Rollen-Prozess-Matrix'!N28,'Kompetenz-Prozess-Matrix'!J32)</f>
        <v>0</v>
      </c>
      <c r="K234" s="183">
        <f>PRODUCT('Rollen-Prozess-Matrix'!O28,'Kompetenz-Prozess-Matrix'!J32)</f>
        <v>0</v>
      </c>
      <c r="L234" s="183">
        <f>PRODUCT('Rollen-Prozess-Matrix'!P28,'Kompetenz-Prozess-Matrix'!J32)</f>
        <v>4</v>
      </c>
      <c r="M234" s="183">
        <f>PRODUCT('Rollen-Prozess-Matrix'!Q28,'Kompetenz-Prozess-Matrix'!J32)</f>
        <v>0</v>
      </c>
      <c r="N234" s="183">
        <f>PRODUCT('Rollen-Prozess-Matrix'!R28,'Kompetenz-Prozess-Matrix'!J32)</f>
        <v>0</v>
      </c>
      <c r="O234" s="183">
        <f>PRODUCT('Rollen-Prozess-Matrix'!S28,'Kompetenz-Prozess-Matrix'!J32)</f>
        <v>2</v>
      </c>
      <c r="P234" s="183">
        <f>PRODUCT('Rollen-Prozess-Matrix'!T28,'Kompetenz-Prozess-Matrix'!J32)</f>
        <v>0</v>
      </c>
      <c r="Q234" s="185">
        <f>PRODUCT('Rollen-Prozess-Matrix'!U28,'Kompetenz-Prozess-Matrix'!J32)</f>
        <v>0</v>
      </c>
    </row>
    <row r="235" spans="1:17" ht="38.25" hidden="1" outlineLevel="1" x14ac:dyDescent="0.35">
      <c r="A235" s="333"/>
      <c r="B235" s="339"/>
      <c r="C235" s="180" t="s">
        <v>248</v>
      </c>
      <c r="D235" s="182">
        <f>PRODUCT('Rollen-Prozess-Matrix'!H29,'Kompetenz-Prozess-Matrix'!J33)</f>
        <v>0</v>
      </c>
      <c r="E235" s="183">
        <f>PRODUCT('Rollen-Prozess-Matrix'!I29,'Kompetenz-Prozess-Matrix'!J33)</f>
        <v>0</v>
      </c>
      <c r="F235" s="183">
        <f>PRODUCT('Rollen-Prozess-Matrix'!J29,'Kompetenz-Prozess-Matrix'!J33)</f>
        <v>0</v>
      </c>
      <c r="G235" s="183">
        <f>PRODUCT('Rollen-Prozess-Matrix'!K29,'Kompetenz-Prozess-Matrix'!J33)</f>
        <v>0</v>
      </c>
      <c r="H235" s="183">
        <f>PRODUCT('Rollen-Prozess-Matrix'!L29,'Kompetenz-Prozess-Matrix'!J33)</f>
        <v>0</v>
      </c>
      <c r="I235" s="183">
        <f>PRODUCT('Rollen-Prozess-Matrix'!M29,'Kompetenz-Prozess-Matrix'!J33)</f>
        <v>0</v>
      </c>
      <c r="J235" s="183">
        <f>PRODUCT('Rollen-Prozess-Matrix'!N29,'Kompetenz-Prozess-Matrix'!J33)</f>
        <v>0</v>
      </c>
      <c r="K235" s="183">
        <f>PRODUCT('Rollen-Prozess-Matrix'!O29,'Kompetenz-Prozess-Matrix'!J33)</f>
        <v>0</v>
      </c>
      <c r="L235" s="183">
        <f>PRODUCT('Rollen-Prozess-Matrix'!P29,'Kompetenz-Prozess-Matrix'!J33)</f>
        <v>0</v>
      </c>
      <c r="M235" s="183">
        <f>PRODUCT('Rollen-Prozess-Matrix'!Q29,'Kompetenz-Prozess-Matrix'!J33)</f>
        <v>0</v>
      </c>
      <c r="N235" s="183">
        <f>PRODUCT('Rollen-Prozess-Matrix'!R29,'Kompetenz-Prozess-Matrix'!J33)</f>
        <v>0</v>
      </c>
      <c r="O235" s="183">
        <f>PRODUCT('Rollen-Prozess-Matrix'!S29,'Kompetenz-Prozess-Matrix'!J33)</f>
        <v>0</v>
      </c>
      <c r="P235" s="183">
        <f>PRODUCT('Rollen-Prozess-Matrix'!T29,'Kompetenz-Prozess-Matrix'!J33)</f>
        <v>0</v>
      </c>
      <c r="Q235" s="185">
        <f>PRODUCT('Rollen-Prozess-Matrix'!U29,'Kompetenz-Prozess-Matrix'!J33)</f>
        <v>0</v>
      </c>
    </row>
    <row r="236" spans="1:17" ht="38.25" hidden="1" outlineLevel="1" x14ac:dyDescent="0.35">
      <c r="A236" s="333"/>
      <c r="B236" s="339"/>
      <c r="C236" s="180" t="s">
        <v>255</v>
      </c>
      <c r="D236" s="182">
        <f>PRODUCT('Rollen-Prozess-Matrix'!H30,'Kompetenz-Prozess-Matrix'!J34)</f>
        <v>0</v>
      </c>
      <c r="E236" s="183">
        <f>PRODUCT('Rollen-Prozess-Matrix'!I30,'Kompetenz-Prozess-Matrix'!J34)</f>
        <v>0</v>
      </c>
      <c r="F236" s="183">
        <f>PRODUCT('Rollen-Prozess-Matrix'!J30,'Kompetenz-Prozess-Matrix'!J34)</f>
        <v>0</v>
      </c>
      <c r="G236" s="183">
        <f>PRODUCT('Rollen-Prozess-Matrix'!K30,'Kompetenz-Prozess-Matrix'!J34)</f>
        <v>0</v>
      </c>
      <c r="H236" s="183">
        <f>PRODUCT('Rollen-Prozess-Matrix'!L30,'Kompetenz-Prozess-Matrix'!J34)</f>
        <v>0</v>
      </c>
      <c r="I236" s="183">
        <f>PRODUCT('Rollen-Prozess-Matrix'!M30,'Kompetenz-Prozess-Matrix'!J34)</f>
        <v>0</v>
      </c>
      <c r="J236" s="183">
        <f>PRODUCT('Rollen-Prozess-Matrix'!N30,'Kompetenz-Prozess-Matrix'!J34)</f>
        <v>0</v>
      </c>
      <c r="K236" s="183">
        <f>PRODUCT('Rollen-Prozess-Matrix'!O30,'Kompetenz-Prozess-Matrix'!J34)</f>
        <v>0</v>
      </c>
      <c r="L236" s="183">
        <f>PRODUCT('Rollen-Prozess-Matrix'!P30,'Kompetenz-Prozess-Matrix'!J34)</f>
        <v>0</v>
      </c>
      <c r="M236" s="183">
        <f>PRODUCT('Rollen-Prozess-Matrix'!Q30,'Kompetenz-Prozess-Matrix'!J34)</f>
        <v>0</v>
      </c>
      <c r="N236" s="183">
        <f>PRODUCT('Rollen-Prozess-Matrix'!R30,'Kompetenz-Prozess-Matrix'!J34)</f>
        <v>0</v>
      </c>
      <c r="O236" s="183">
        <f>PRODUCT('Rollen-Prozess-Matrix'!S30,'Kompetenz-Prozess-Matrix'!J34)</f>
        <v>0</v>
      </c>
      <c r="P236" s="183">
        <f>PRODUCT('Rollen-Prozess-Matrix'!T30,'Kompetenz-Prozess-Matrix'!J34)</f>
        <v>0</v>
      </c>
      <c r="Q236" s="185">
        <f>PRODUCT('Rollen-Prozess-Matrix'!U30,'Kompetenz-Prozess-Matrix'!J34)</f>
        <v>0</v>
      </c>
    </row>
    <row r="237" spans="1:17" ht="38.25" hidden="1" outlineLevel="1" x14ac:dyDescent="0.35">
      <c r="A237" s="333"/>
      <c r="B237" s="339"/>
      <c r="C237" s="180" t="s">
        <v>261</v>
      </c>
      <c r="D237" s="182">
        <f>PRODUCT('Rollen-Prozess-Matrix'!H31,'Kompetenz-Prozess-Matrix'!J35)</f>
        <v>0</v>
      </c>
      <c r="E237" s="183">
        <f>PRODUCT('Rollen-Prozess-Matrix'!I31,'Kompetenz-Prozess-Matrix'!J35)</f>
        <v>0</v>
      </c>
      <c r="F237" s="183">
        <f>PRODUCT('Rollen-Prozess-Matrix'!J31,'Kompetenz-Prozess-Matrix'!J35)</f>
        <v>0</v>
      </c>
      <c r="G237" s="183">
        <f>PRODUCT('Rollen-Prozess-Matrix'!K31,'Kompetenz-Prozess-Matrix'!J35)</f>
        <v>0</v>
      </c>
      <c r="H237" s="183">
        <f>PRODUCT('Rollen-Prozess-Matrix'!L31,'Kompetenz-Prozess-Matrix'!J35)</f>
        <v>0</v>
      </c>
      <c r="I237" s="183">
        <f>PRODUCT('Rollen-Prozess-Matrix'!M31,'Kompetenz-Prozess-Matrix'!J35)</f>
        <v>0</v>
      </c>
      <c r="J237" s="183">
        <f>PRODUCT('Rollen-Prozess-Matrix'!N31,'Kompetenz-Prozess-Matrix'!J35)</f>
        <v>0</v>
      </c>
      <c r="K237" s="183">
        <f>PRODUCT('Rollen-Prozess-Matrix'!O31,'Kompetenz-Prozess-Matrix'!J35)</f>
        <v>0</v>
      </c>
      <c r="L237" s="183">
        <f>PRODUCT('Rollen-Prozess-Matrix'!P31,'Kompetenz-Prozess-Matrix'!J35)</f>
        <v>0</v>
      </c>
      <c r="M237" s="183">
        <f>PRODUCT('Rollen-Prozess-Matrix'!Q31,'Kompetenz-Prozess-Matrix'!J35)</f>
        <v>0</v>
      </c>
      <c r="N237" s="183">
        <f>PRODUCT('Rollen-Prozess-Matrix'!R31,'Kompetenz-Prozess-Matrix'!J35)</f>
        <v>0</v>
      </c>
      <c r="O237" s="183">
        <f>PRODUCT('Rollen-Prozess-Matrix'!S31,'Kompetenz-Prozess-Matrix'!J35)</f>
        <v>0</v>
      </c>
      <c r="P237" s="183">
        <f>PRODUCT('Rollen-Prozess-Matrix'!T31,'Kompetenz-Prozess-Matrix'!J35)</f>
        <v>0</v>
      </c>
      <c r="Q237" s="185">
        <f>PRODUCT('Rollen-Prozess-Matrix'!U31,'Kompetenz-Prozess-Matrix'!J35)</f>
        <v>0</v>
      </c>
    </row>
    <row r="238" spans="1:17" hidden="1" outlineLevel="1" x14ac:dyDescent="0.35">
      <c r="A238" s="333"/>
      <c r="B238" s="339"/>
      <c r="C238" s="180" t="s">
        <v>264</v>
      </c>
      <c r="D238" s="182">
        <f>PRODUCT('Rollen-Prozess-Matrix'!H32,'Kompetenz-Prozess-Matrix'!J36)</f>
        <v>0</v>
      </c>
      <c r="E238" s="183">
        <f>PRODUCT('Rollen-Prozess-Matrix'!I32,'Kompetenz-Prozess-Matrix'!J36)</f>
        <v>0</v>
      </c>
      <c r="F238" s="183">
        <f>PRODUCT('Rollen-Prozess-Matrix'!J32,'Kompetenz-Prozess-Matrix'!J36)</f>
        <v>0</v>
      </c>
      <c r="G238" s="183">
        <f>PRODUCT('Rollen-Prozess-Matrix'!K32,'Kompetenz-Prozess-Matrix'!J36)</f>
        <v>4</v>
      </c>
      <c r="H238" s="183">
        <f>PRODUCT('Rollen-Prozess-Matrix'!L32,'Kompetenz-Prozess-Matrix'!J36)</f>
        <v>2</v>
      </c>
      <c r="I238" s="183">
        <f>PRODUCT('Rollen-Prozess-Matrix'!M32,'Kompetenz-Prozess-Matrix'!J36)</f>
        <v>0</v>
      </c>
      <c r="J238" s="183">
        <f>PRODUCT('Rollen-Prozess-Matrix'!N32,'Kompetenz-Prozess-Matrix'!J36)</f>
        <v>0</v>
      </c>
      <c r="K238" s="183">
        <f>PRODUCT('Rollen-Prozess-Matrix'!O32,'Kompetenz-Prozess-Matrix'!J36)</f>
        <v>0</v>
      </c>
      <c r="L238" s="183">
        <f>PRODUCT('Rollen-Prozess-Matrix'!P32,'Kompetenz-Prozess-Matrix'!J36)</f>
        <v>0</v>
      </c>
      <c r="M238" s="183">
        <f>PRODUCT('Rollen-Prozess-Matrix'!Q32,'Kompetenz-Prozess-Matrix'!J36)</f>
        <v>0</v>
      </c>
      <c r="N238" s="183">
        <f>PRODUCT('Rollen-Prozess-Matrix'!R32,'Kompetenz-Prozess-Matrix'!J36)</f>
        <v>0</v>
      </c>
      <c r="O238" s="183">
        <f>PRODUCT('Rollen-Prozess-Matrix'!S32,'Kompetenz-Prozess-Matrix'!J36)</f>
        <v>0</v>
      </c>
      <c r="P238" s="183">
        <f>PRODUCT('Rollen-Prozess-Matrix'!T32,'Kompetenz-Prozess-Matrix'!J36)</f>
        <v>0</v>
      </c>
      <c r="Q238" s="185">
        <f>PRODUCT('Rollen-Prozess-Matrix'!U32,'Kompetenz-Prozess-Matrix'!J36)</f>
        <v>0</v>
      </c>
    </row>
    <row r="239" spans="1:17" hidden="1" outlineLevel="1" x14ac:dyDescent="0.35">
      <c r="A239" s="333"/>
      <c r="B239" s="339"/>
      <c r="C239" s="180" t="s">
        <v>266</v>
      </c>
      <c r="D239" s="182">
        <f>PRODUCT('Rollen-Prozess-Matrix'!H33,'Kompetenz-Prozess-Matrix'!J37)</f>
        <v>0</v>
      </c>
      <c r="E239" s="183">
        <f>PRODUCT('Rollen-Prozess-Matrix'!I33,'Kompetenz-Prozess-Matrix'!J37)</f>
        <v>0</v>
      </c>
      <c r="F239" s="183">
        <f>PRODUCT('Rollen-Prozess-Matrix'!J33,'Kompetenz-Prozess-Matrix'!J37)</f>
        <v>0</v>
      </c>
      <c r="G239" s="183">
        <f>PRODUCT('Rollen-Prozess-Matrix'!K33,'Kompetenz-Prozess-Matrix'!J37)</f>
        <v>0</v>
      </c>
      <c r="H239" s="183">
        <f>PRODUCT('Rollen-Prozess-Matrix'!L33,'Kompetenz-Prozess-Matrix'!J37)</f>
        <v>0</v>
      </c>
      <c r="I239" s="183">
        <f>PRODUCT('Rollen-Prozess-Matrix'!M33,'Kompetenz-Prozess-Matrix'!J37)</f>
        <v>0</v>
      </c>
      <c r="J239" s="183">
        <f>PRODUCT('Rollen-Prozess-Matrix'!N33,'Kompetenz-Prozess-Matrix'!J37)</f>
        <v>0</v>
      </c>
      <c r="K239" s="183">
        <f>PRODUCT('Rollen-Prozess-Matrix'!O33,'Kompetenz-Prozess-Matrix'!J37)</f>
        <v>0</v>
      </c>
      <c r="L239" s="183">
        <f>PRODUCT('Rollen-Prozess-Matrix'!P33,'Kompetenz-Prozess-Matrix'!J37)</f>
        <v>0</v>
      </c>
      <c r="M239" s="183">
        <f>PRODUCT('Rollen-Prozess-Matrix'!Q33,'Kompetenz-Prozess-Matrix'!J37)</f>
        <v>0</v>
      </c>
      <c r="N239" s="183">
        <f>PRODUCT('Rollen-Prozess-Matrix'!R33,'Kompetenz-Prozess-Matrix'!J37)</f>
        <v>0</v>
      </c>
      <c r="O239" s="183">
        <f>PRODUCT('Rollen-Prozess-Matrix'!S33,'Kompetenz-Prozess-Matrix'!J37)</f>
        <v>0</v>
      </c>
      <c r="P239" s="183">
        <f>PRODUCT('Rollen-Prozess-Matrix'!T33,'Kompetenz-Prozess-Matrix'!J37)</f>
        <v>0</v>
      </c>
      <c r="Q239" s="185">
        <f>PRODUCT('Rollen-Prozess-Matrix'!U33,'Kompetenz-Prozess-Matrix'!J37)</f>
        <v>0</v>
      </c>
    </row>
    <row r="240" spans="1:17" ht="13.15" hidden="1" outlineLevel="1" thickBot="1" x14ac:dyDescent="0.4">
      <c r="A240" s="333"/>
      <c r="B240" s="340"/>
      <c r="C240" s="181" t="s">
        <v>289</v>
      </c>
      <c r="D240" s="182">
        <f>PRODUCT('Rollen-Prozess-Matrix'!H34,'Kompetenz-Prozess-Matrix'!J38)</f>
        <v>0</v>
      </c>
      <c r="E240" s="183">
        <f>PRODUCT('Rollen-Prozess-Matrix'!I34,'Kompetenz-Prozess-Matrix'!J38)</f>
        <v>0</v>
      </c>
      <c r="F240" s="183">
        <f>PRODUCT('Rollen-Prozess-Matrix'!J34,'Kompetenz-Prozess-Matrix'!J38)</f>
        <v>0</v>
      </c>
      <c r="G240" s="183">
        <f>PRODUCT('Rollen-Prozess-Matrix'!K34,'Kompetenz-Prozess-Matrix'!J38)</f>
        <v>4</v>
      </c>
      <c r="H240" s="183">
        <f>PRODUCT('Rollen-Prozess-Matrix'!L34,'Kompetenz-Prozess-Matrix'!J38)</f>
        <v>0</v>
      </c>
      <c r="I240" s="183">
        <f>PRODUCT('Rollen-Prozess-Matrix'!M34,'Kompetenz-Prozess-Matrix'!J38)</f>
        <v>0</v>
      </c>
      <c r="J240" s="183">
        <f>PRODUCT('Rollen-Prozess-Matrix'!N34,'Kompetenz-Prozess-Matrix'!J38)</f>
        <v>0</v>
      </c>
      <c r="K240" s="183">
        <f>PRODUCT('Rollen-Prozess-Matrix'!O34,'Kompetenz-Prozess-Matrix'!J38)</f>
        <v>0</v>
      </c>
      <c r="L240" s="183">
        <f>PRODUCT('Rollen-Prozess-Matrix'!P34,'Kompetenz-Prozess-Matrix'!J38)</f>
        <v>0</v>
      </c>
      <c r="M240" s="183">
        <f>PRODUCT('Rollen-Prozess-Matrix'!Q34,'Kompetenz-Prozess-Matrix'!J38)</f>
        <v>0</v>
      </c>
      <c r="N240" s="183">
        <f>PRODUCT('Rollen-Prozess-Matrix'!R34,'Kompetenz-Prozess-Matrix'!J38)</f>
        <v>0</v>
      </c>
      <c r="O240" s="183">
        <f>PRODUCT('Rollen-Prozess-Matrix'!S34,'Kompetenz-Prozess-Matrix'!J38)</f>
        <v>0</v>
      </c>
      <c r="P240" s="183">
        <f>PRODUCT('Rollen-Prozess-Matrix'!T34,'Kompetenz-Prozess-Matrix'!J38)</f>
        <v>0</v>
      </c>
      <c r="Q240" s="185">
        <f>PRODUCT('Rollen-Prozess-Matrix'!U34,'Kompetenz-Prozess-Matrix'!J38)</f>
        <v>0</v>
      </c>
    </row>
    <row r="241" spans="1:19" ht="12.6" customHeight="1" collapsed="1" thickBot="1" x14ac:dyDescent="0.4">
      <c r="A241" s="333"/>
      <c r="B241" s="338" t="s">
        <v>64</v>
      </c>
      <c r="C241" s="178"/>
      <c r="D241" s="184">
        <f>MAX(D242:D274)</f>
        <v>4</v>
      </c>
      <c r="E241" s="184">
        <f t="shared" ref="E241" si="79">MAX(E242:E274)</f>
        <v>1</v>
      </c>
      <c r="F241" s="184">
        <f t="shared" ref="F241" si="80">MAX(F242:F274)</f>
        <v>2</v>
      </c>
      <c r="G241" s="184">
        <f t="shared" ref="G241" si="81">MAX(G242:G274)</f>
        <v>4</v>
      </c>
      <c r="H241" s="184">
        <f t="shared" ref="H241" si="82">MAX(H242:H274)</f>
        <v>6</v>
      </c>
      <c r="I241" s="184">
        <f t="shared" ref="I241" si="83">MAX(I242:I274)</f>
        <v>2</v>
      </c>
      <c r="J241" s="184">
        <f t="shared" ref="J241" si="84">MAX(J242:J274)</f>
        <v>1</v>
      </c>
      <c r="K241" s="184">
        <f t="shared" ref="K241" si="85">MAX(K242:K274)</f>
        <v>1</v>
      </c>
      <c r="L241" s="184">
        <f t="shared" ref="L241" si="86">MAX(L242:L274)</f>
        <v>2</v>
      </c>
      <c r="M241" s="184">
        <f t="shared" ref="M241" si="87">MAX(M242:M274)</f>
        <v>2</v>
      </c>
      <c r="N241" s="184">
        <f t="shared" ref="N241" si="88">MAX(N242:N274)</f>
        <v>4</v>
      </c>
      <c r="O241" s="184">
        <f t="shared" ref="O241" si="89">MAX(O242:O274)</f>
        <v>1</v>
      </c>
      <c r="P241" s="184">
        <f t="shared" ref="P241" si="90">MAX(P242:P274)</f>
        <v>0</v>
      </c>
      <c r="Q241" s="199">
        <f t="shared" ref="Q241" si="91">MAX(Q242:Q274)</f>
        <v>1</v>
      </c>
      <c r="S241">
        <v>1</v>
      </c>
    </row>
    <row r="242" spans="1:19" ht="13.15" hidden="1" outlineLevel="1" thickBot="1" x14ac:dyDescent="0.4">
      <c r="A242" s="333"/>
      <c r="B242" s="339"/>
      <c r="C242" s="179" t="s">
        <v>123</v>
      </c>
      <c r="D242" s="182">
        <f>PRODUCT('Rollen-Prozess-Matrix'!H2,'Kompetenz-Prozess-Matrix'!K6)</f>
        <v>0</v>
      </c>
      <c r="E242" s="183">
        <f>PRODUCT('Rollen-Prozess-Matrix'!I2,'Kompetenz-Prozess-Matrix'!K6)</f>
        <v>0</v>
      </c>
      <c r="F242" s="183">
        <f>PRODUCT('Rollen-Prozess-Matrix'!J2,'Kompetenz-Prozess-Matrix'!K6)</f>
        <v>0</v>
      </c>
      <c r="G242" s="183">
        <f>PRODUCT('Rollen-Prozess-Matrix'!K2,'Kompetenz-Prozess-Matrix'!K6)</f>
        <v>0</v>
      </c>
      <c r="H242" s="183">
        <f>PRODUCT('Rollen-Prozess-Matrix'!L2,'Kompetenz-Prozess-Matrix'!K6)</f>
        <v>0</v>
      </c>
      <c r="I242" s="183">
        <f>PRODUCT('Rollen-Prozess-Matrix'!M2,'Kompetenz-Prozess-Matrix'!K6)</f>
        <v>0</v>
      </c>
      <c r="J242" s="183">
        <f>PRODUCT('Rollen-Prozess-Matrix'!N2,'Kompetenz-Prozess-Matrix'!K6)</f>
        <v>0</v>
      </c>
      <c r="K242" s="183">
        <f>PRODUCT('Rollen-Prozess-Matrix'!O2,'Kompetenz-Prozess-Matrix'!K6)</f>
        <v>0</v>
      </c>
      <c r="L242" s="183">
        <f>PRODUCT('Rollen-Prozess-Matrix'!P2,'Kompetenz-Prozess-Matrix'!K6)</f>
        <v>0</v>
      </c>
      <c r="M242" s="183">
        <f>PRODUCT('Rollen-Prozess-Matrix'!Q2,'Kompetenz-Prozess-Matrix'!K6)</f>
        <v>0</v>
      </c>
      <c r="N242" s="183">
        <f>PRODUCT('Rollen-Prozess-Matrix'!R2,'Kompetenz-Prozess-Matrix'!K6)</f>
        <v>0</v>
      </c>
      <c r="O242" s="183">
        <f>PRODUCT('Rollen-Prozess-Matrix'!S2,'Kompetenz-Prozess-Matrix'!K6)</f>
        <v>0</v>
      </c>
      <c r="P242" s="183">
        <f>PRODUCT('Rollen-Prozess-Matrix'!T2,'Kompetenz-Prozess-Matrix'!K6)</f>
        <v>0</v>
      </c>
      <c r="Q242" s="185">
        <f>PRODUCT('Rollen-Prozess-Matrix'!U2,'Kompetenz-Prozess-Matrix'!K6)</f>
        <v>0</v>
      </c>
    </row>
    <row r="243" spans="1:19" ht="13.15" hidden="1" outlineLevel="1" thickBot="1" x14ac:dyDescent="0.4">
      <c r="A243" s="333"/>
      <c r="B243" s="339"/>
      <c r="C243" s="180" t="s">
        <v>127</v>
      </c>
      <c r="D243" s="182">
        <f>PRODUCT('Rollen-Prozess-Matrix'!H3,'Kompetenz-Prozess-Matrix'!K7)</f>
        <v>0</v>
      </c>
      <c r="E243" s="183">
        <f>PRODUCT('Rollen-Prozess-Matrix'!I3,'Kompetenz-Prozess-Matrix'!K7)</f>
        <v>0</v>
      </c>
      <c r="F243" s="183">
        <f>PRODUCT('Rollen-Prozess-Matrix'!J3,'Kompetenz-Prozess-Matrix'!K7)</f>
        <v>0</v>
      </c>
      <c r="G243" s="183">
        <f>PRODUCT('Rollen-Prozess-Matrix'!K3,'Kompetenz-Prozess-Matrix'!K7)</f>
        <v>0</v>
      </c>
      <c r="H243" s="183">
        <f>PRODUCT('Rollen-Prozess-Matrix'!L3,'Kompetenz-Prozess-Matrix'!K7)</f>
        <v>0</v>
      </c>
      <c r="I243" s="183">
        <f>PRODUCT('Rollen-Prozess-Matrix'!M3,'Kompetenz-Prozess-Matrix'!K7)</f>
        <v>0</v>
      </c>
      <c r="J243" s="183">
        <f>PRODUCT('Rollen-Prozess-Matrix'!N3,'Kompetenz-Prozess-Matrix'!K7)</f>
        <v>0</v>
      </c>
      <c r="K243" s="183">
        <f>PRODUCT('Rollen-Prozess-Matrix'!O3,'Kompetenz-Prozess-Matrix'!K7)</f>
        <v>0</v>
      </c>
      <c r="L243" s="183">
        <f>PRODUCT('Rollen-Prozess-Matrix'!P3,'Kompetenz-Prozess-Matrix'!K7)</f>
        <v>0</v>
      </c>
      <c r="M243" s="183">
        <f>PRODUCT('Rollen-Prozess-Matrix'!Q3,'Kompetenz-Prozess-Matrix'!K7)</f>
        <v>0</v>
      </c>
      <c r="N243" s="183">
        <f>PRODUCT('Rollen-Prozess-Matrix'!R3,'Kompetenz-Prozess-Matrix'!K7)</f>
        <v>0</v>
      </c>
      <c r="O243" s="183">
        <f>PRODUCT('Rollen-Prozess-Matrix'!S3,'Kompetenz-Prozess-Matrix'!K7)</f>
        <v>0</v>
      </c>
      <c r="P243" s="183">
        <f>PRODUCT('Rollen-Prozess-Matrix'!T3,'Kompetenz-Prozess-Matrix'!K7)</f>
        <v>0</v>
      </c>
      <c r="Q243" s="185">
        <f>PRODUCT('Rollen-Prozess-Matrix'!U3,'Kompetenz-Prozess-Matrix'!K7)</f>
        <v>0</v>
      </c>
    </row>
    <row r="244" spans="1:19" ht="51.4" hidden="1" outlineLevel="1" thickBot="1" x14ac:dyDescent="0.4">
      <c r="A244" s="333"/>
      <c r="B244" s="339"/>
      <c r="C244" s="180" t="s">
        <v>132</v>
      </c>
      <c r="D244" s="182">
        <f>PRODUCT('Rollen-Prozess-Matrix'!H4,'Kompetenz-Prozess-Matrix'!K8)</f>
        <v>0</v>
      </c>
      <c r="E244" s="183">
        <f>PRODUCT('Rollen-Prozess-Matrix'!I4,'Kompetenz-Prozess-Matrix'!K8)</f>
        <v>0</v>
      </c>
      <c r="F244" s="183">
        <f>PRODUCT('Rollen-Prozess-Matrix'!J4,'Kompetenz-Prozess-Matrix'!K8)</f>
        <v>0</v>
      </c>
      <c r="G244" s="183">
        <f>PRODUCT('Rollen-Prozess-Matrix'!K4,'Kompetenz-Prozess-Matrix'!K8)</f>
        <v>2</v>
      </c>
      <c r="H244" s="183">
        <f>PRODUCT('Rollen-Prozess-Matrix'!L4,'Kompetenz-Prozess-Matrix'!K8)</f>
        <v>6</v>
      </c>
      <c r="I244" s="183">
        <f>PRODUCT('Rollen-Prozess-Matrix'!M4,'Kompetenz-Prozess-Matrix'!K8)</f>
        <v>0</v>
      </c>
      <c r="J244" s="183">
        <f>PRODUCT('Rollen-Prozess-Matrix'!N4,'Kompetenz-Prozess-Matrix'!K8)</f>
        <v>0</v>
      </c>
      <c r="K244" s="183">
        <f>PRODUCT('Rollen-Prozess-Matrix'!O4,'Kompetenz-Prozess-Matrix'!K8)</f>
        <v>0</v>
      </c>
      <c r="L244" s="183">
        <f>PRODUCT('Rollen-Prozess-Matrix'!P4,'Kompetenz-Prozess-Matrix'!K8)</f>
        <v>0</v>
      </c>
      <c r="M244" s="183">
        <f>PRODUCT('Rollen-Prozess-Matrix'!Q4,'Kompetenz-Prozess-Matrix'!K8)</f>
        <v>0</v>
      </c>
      <c r="N244" s="183">
        <f>PRODUCT('Rollen-Prozess-Matrix'!R4,'Kompetenz-Prozess-Matrix'!K8)</f>
        <v>0</v>
      </c>
      <c r="O244" s="183">
        <f>PRODUCT('Rollen-Prozess-Matrix'!S4,'Kompetenz-Prozess-Matrix'!K8)</f>
        <v>0</v>
      </c>
      <c r="P244" s="183">
        <f>PRODUCT('Rollen-Prozess-Matrix'!T4,'Kompetenz-Prozess-Matrix'!K8)</f>
        <v>0</v>
      </c>
      <c r="Q244" s="185">
        <f>PRODUCT('Rollen-Prozess-Matrix'!U4,'Kompetenz-Prozess-Matrix'!K8)</f>
        <v>0</v>
      </c>
    </row>
    <row r="245" spans="1:19" ht="38.65" hidden="1" outlineLevel="1" thickBot="1" x14ac:dyDescent="0.4">
      <c r="A245" s="333"/>
      <c r="B245" s="339"/>
      <c r="C245" s="180" t="s">
        <v>136</v>
      </c>
      <c r="D245" s="182">
        <f>PRODUCT('Rollen-Prozess-Matrix'!H5,'Kompetenz-Prozess-Matrix'!K9)</f>
        <v>0</v>
      </c>
      <c r="E245" s="183">
        <f>PRODUCT('Rollen-Prozess-Matrix'!I5,'Kompetenz-Prozess-Matrix'!K9)</f>
        <v>0</v>
      </c>
      <c r="F245" s="183">
        <f>PRODUCT('Rollen-Prozess-Matrix'!J5,'Kompetenz-Prozess-Matrix'!K9)</f>
        <v>0</v>
      </c>
      <c r="G245" s="183">
        <f>PRODUCT('Rollen-Prozess-Matrix'!K5,'Kompetenz-Prozess-Matrix'!K9)</f>
        <v>0</v>
      </c>
      <c r="H245" s="183">
        <f>PRODUCT('Rollen-Prozess-Matrix'!L5,'Kompetenz-Prozess-Matrix'!K9)</f>
        <v>0</v>
      </c>
      <c r="I245" s="183">
        <f>PRODUCT('Rollen-Prozess-Matrix'!M5,'Kompetenz-Prozess-Matrix'!K9)</f>
        <v>0</v>
      </c>
      <c r="J245" s="183">
        <f>PRODUCT('Rollen-Prozess-Matrix'!N5,'Kompetenz-Prozess-Matrix'!K9)</f>
        <v>0</v>
      </c>
      <c r="K245" s="183">
        <f>PRODUCT('Rollen-Prozess-Matrix'!O5,'Kompetenz-Prozess-Matrix'!K9)</f>
        <v>0</v>
      </c>
      <c r="L245" s="183">
        <f>PRODUCT('Rollen-Prozess-Matrix'!P5,'Kompetenz-Prozess-Matrix'!K9)</f>
        <v>0</v>
      </c>
      <c r="M245" s="183">
        <f>PRODUCT('Rollen-Prozess-Matrix'!Q5,'Kompetenz-Prozess-Matrix'!K9)</f>
        <v>0</v>
      </c>
      <c r="N245" s="183">
        <f>PRODUCT('Rollen-Prozess-Matrix'!R5,'Kompetenz-Prozess-Matrix'!K9)</f>
        <v>0</v>
      </c>
      <c r="O245" s="183">
        <f>PRODUCT('Rollen-Prozess-Matrix'!S5,'Kompetenz-Prozess-Matrix'!K9)</f>
        <v>0</v>
      </c>
      <c r="P245" s="183">
        <f>PRODUCT('Rollen-Prozess-Matrix'!T5,'Kompetenz-Prozess-Matrix'!K9)</f>
        <v>0</v>
      </c>
      <c r="Q245" s="185">
        <f>PRODUCT('Rollen-Prozess-Matrix'!U5,'Kompetenz-Prozess-Matrix'!K9)</f>
        <v>0</v>
      </c>
    </row>
    <row r="246" spans="1:19" ht="38.65" hidden="1" outlineLevel="1" thickBot="1" x14ac:dyDescent="0.4">
      <c r="A246" s="333"/>
      <c r="B246" s="339"/>
      <c r="C246" s="180" t="s">
        <v>140</v>
      </c>
      <c r="D246" s="182">
        <f>PRODUCT('Rollen-Prozess-Matrix'!H6,'Kompetenz-Prozess-Matrix'!K10)</f>
        <v>0</v>
      </c>
      <c r="E246" s="183">
        <f>PRODUCT('Rollen-Prozess-Matrix'!I6,'Kompetenz-Prozess-Matrix'!K10)</f>
        <v>0</v>
      </c>
      <c r="F246" s="183">
        <f>PRODUCT('Rollen-Prozess-Matrix'!J6,'Kompetenz-Prozess-Matrix'!K10)</f>
        <v>0</v>
      </c>
      <c r="G246" s="183">
        <f>PRODUCT('Rollen-Prozess-Matrix'!K6,'Kompetenz-Prozess-Matrix'!K10)</f>
        <v>0</v>
      </c>
      <c r="H246" s="183">
        <f>PRODUCT('Rollen-Prozess-Matrix'!L6,'Kompetenz-Prozess-Matrix'!K10)</f>
        <v>0</v>
      </c>
      <c r="I246" s="183">
        <f>PRODUCT('Rollen-Prozess-Matrix'!M6,'Kompetenz-Prozess-Matrix'!K10)</f>
        <v>0</v>
      </c>
      <c r="J246" s="183">
        <f>PRODUCT('Rollen-Prozess-Matrix'!N6,'Kompetenz-Prozess-Matrix'!K10)</f>
        <v>0</v>
      </c>
      <c r="K246" s="183">
        <f>PRODUCT('Rollen-Prozess-Matrix'!O6,'Kompetenz-Prozess-Matrix'!K10)</f>
        <v>0</v>
      </c>
      <c r="L246" s="183">
        <f>PRODUCT('Rollen-Prozess-Matrix'!P6,'Kompetenz-Prozess-Matrix'!K10)</f>
        <v>0</v>
      </c>
      <c r="M246" s="183">
        <f>PRODUCT('Rollen-Prozess-Matrix'!Q6,'Kompetenz-Prozess-Matrix'!K10)</f>
        <v>0</v>
      </c>
      <c r="N246" s="183">
        <f>PRODUCT('Rollen-Prozess-Matrix'!R6,'Kompetenz-Prozess-Matrix'!K10)</f>
        <v>0</v>
      </c>
      <c r="O246" s="183">
        <f>PRODUCT('Rollen-Prozess-Matrix'!S6,'Kompetenz-Prozess-Matrix'!K10)</f>
        <v>0</v>
      </c>
      <c r="P246" s="183">
        <f>PRODUCT('Rollen-Prozess-Matrix'!T6,'Kompetenz-Prozess-Matrix'!K10)</f>
        <v>0</v>
      </c>
      <c r="Q246" s="185">
        <f>PRODUCT('Rollen-Prozess-Matrix'!U6,'Kompetenz-Prozess-Matrix'!K10)</f>
        <v>0</v>
      </c>
    </row>
    <row r="247" spans="1:19" ht="38.65" hidden="1" outlineLevel="1" thickBot="1" x14ac:dyDescent="0.4">
      <c r="A247" s="333"/>
      <c r="B247" s="339"/>
      <c r="C247" s="180" t="s">
        <v>144</v>
      </c>
      <c r="D247" s="182">
        <f>PRODUCT('Rollen-Prozess-Matrix'!H7,'Kompetenz-Prozess-Matrix'!K11)</f>
        <v>0</v>
      </c>
      <c r="E247" s="183">
        <f>PRODUCT('Rollen-Prozess-Matrix'!I7,'Kompetenz-Prozess-Matrix'!K11)</f>
        <v>0</v>
      </c>
      <c r="F247" s="183">
        <f>PRODUCT('Rollen-Prozess-Matrix'!J7,'Kompetenz-Prozess-Matrix'!K11)</f>
        <v>0</v>
      </c>
      <c r="G247" s="183">
        <f>PRODUCT('Rollen-Prozess-Matrix'!K7,'Kompetenz-Prozess-Matrix'!K11)</f>
        <v>0</v>
      </c>
      <c r="H247" s="183">
        <f>PRODUCT('Rollen-Prozess-Matrix'!L7,'Kompetenz-Prozess-Matrix'!K11)</f>
        <v>0</v>
      </c>
      <c r="I247" s="183">
        <f>PRODUCT('Rollen-Prozess-Matrix'!M7,'Kompetenz-Prozess-Matrix'!K11)</f>
        <v>0</v>
      </c>
      <c r="J247" s="183">
        <f>PRODUCT('Rollen-Prozess-Matrix'!N7,'Kompetenz-Prozess-Matrix'!K11)</f>
        <v>0</v>
      </c>
      <c r="K247" s="183">
        <f>PRODUCT('Rollen-Prozess-Matrix'!O7,'Kompetenz-Prozess-Matrix'!K11)</f>
        <v>0</v>
      </c>
      <c r="L247" s="183">
        <f>PRODUCT('Rollen-Prozess-Matrix'!P7,'Kompetenz-Prozess-Matrix'!K11)</f>
        <v>0</v>
      </c>
      <c r="M247" s="183">
        <f>PRODUCT('Rollen-Prozess-Matrix'!Q7,'Kompetenz-Prozess-Matrix'!K11)</f>
        <v>0</v>
      </c>
      <c r="N247" s="183">
        <f>PRODUCT('Rollen-Prozess-Matrix'!R7,'Kompetenz-Prozess-Matrix'!K11)</f>
        <v>0</v>
      </c>
      <c r="O247" s="183">
        <f>PRODUCT('Rollen-Prozess-Matrix'!S7,'Kompetenz-Prozess-Matrix'!K11)</f>
        <v>0</v>
      </c>
      <c r="P247" s="183">
        <f>PRODUCT('Rollen-Prozess-Matrix'!T7,'Kompetenz-Prozess-Matrix'!K11)</f>
        <v>0</v>
      </c>
      <c r="Q247" s="185">
        <f>PRODUCT('Rollen-Prozess-Matrix'!U7,'Kompetenz-Prozess-Matrix'!K11)</f>
        <v>0</v>
      </c>
    </row>
    <row r="248" spans="1:19" ht="38.65" hidden="1" outlineLevel="1" thickBot="1" x14ac:dyDescent="0.4">
      <c r="A248" s="333"/>
      <c r="B248" s="339"/>
      <c r="C248" s="180" t="s">
        <v>148</v>
      </c>
      <c r="D248" s="182">
        <f>PRODUCT('Rollen-Prozess-Matrix'!H8,'Kompetenz-Prozess-Matrix'!K12)</f>
        <v>0</v>
      </c>
      <c r="E248" s="183">
        <f>PRODUCT('Rollen-Prozess-Matrix'!I8,'Kompetenz-Prozess-Matrix'!K12)</f>
        <v>0</v>
      </c>
      <c r="F248" s="183">
        <f>PRODUCT('Rollen-Prozess-Matrix'!J8,'Kompetenz-Prozess-Matrix'!K12)</f>
        <v>0</v>
      </c>
      <c r="G248" s="183">
        <f>PRODUCT('Rollen-Prozess-Matrix'!K8,'Kompetenz-Prozess-Matrix'!K12)</f>
        <v>0</v>
      </c>
      <c r="H248" s="183">
        <f>PRODUCT('Rollen-Prozess-Matrix'!L8,'Kompetenz-Prozess-Matrix'!K12)</f>
        <v>0</v>
      </c>
      <c r="I248" s="183">
        <f>PRODUCT('Rollen-Prozess-Matrix'!M8,'Kompetenz-Prozess-Matrix'!K12)</f>
        <v>0</v>
      </c>
      <c r="J248" s="183">
        <f>PRODUCT('Rollen-Prozess-Matrix'!N8,'Kompetenz-Prozess-Matrix'!K12)</f>
        <v>0</v>
      </c>
      <c r="K248" s="183">
        <f>PRODUCT('Rollen-Prozess-Matrix'!O8,'Kompetenz-Prozess-Matrix'!K12)</f>
        <v>0</v>
      </c>
      <c r="L248" s="183">
        <f>PRODUCT('Rollen-Prozess-Matrix'!P8,'Kompetenz-Prozess-Matrix'!K12)</f>
        <v>0</v>
      </c>
      <c r="M248" s="183">
        <f>PRODUCT('Rollen-Prozess-Matrix'!Q8,'Kompetenz-Prozess-Matrix'!K12)</f>
        <v>0</v>
      </c>
      <c r="N248" s="183">
        <f>PRODUCT('Rollen-Prozess-Matrix'!R8,'Kompetenz-Prozess-Matrix'!K12)</f>
        <v>0</v>
      </c>
      <c r="O248" s="183">
        <f>PRODUCT('Rollen-Prozess-Matrix'!S8,'Kompetenz-Prozess-Matrix'!K12)</f>
        <v>0</v>
      </c>
      <c r="P248" s="183">
        <f>PRODUCT('Rollen-Prozess-Matrix'!T8,'Kompetenz-Prozess-Matrix'!K12)</f>
        <v>0</v>
      </c>
      <c r="Q248" s="185">
        <f>PRODUCT('Rollen-Prozess-Matrix'!U8,'Kompetenz-Prozess-Matrix'!K12)</f>
        <v>0</v>
      </c>
    </row>
    <row r="249" spans="1:19" ht="38.65" hidden="1" outlineLevel="1" thickBot="1" x14ac:dyDescent="0.4">
      <c r="A249" s="333"/>
      <c r="B249" s="339"/>
      <c r="C249" s="180" t="s">
        <v>152</v>
      </c>
      <c r="D249" s="182">
        <f>PRODUCT('Rollen-Prozess-Matrix'!H9,'Kompetenz-Prozess-Matrix'!K13)</f>
        <v>0</v>
      </c>
      <c r="E249" s="183">
        <f>PRODUCT('Rollen-Prozess-Matrix'!I9,'Kompetenz-Prozess-Matrix'!K13)</f>
        <v>0</v>
      </c>
      <c r="F249" s="183">
        <f>PRODUCT('Rollen-Prozess-Matrix'!J9,'Kompetenz-Prozess-Matrix'!K13)</f>
        <v>0</v>
      </c>
      <c r="G249" s="183">
        <f>PRODUCT('Rollen-Prozess-Matrix'!K9,'Kompetenz-Prozess-Matrix'!K13)</f>
        <v>0</v>
      </c>
      <c r="H249" s="183">
        <f>PRODUCT('Rollen-Prozess-Matrix'!L9,'Kompetenz-Prozess-Matrix'!K13)</f>
        <v>0</v>
      </c>
      <c r="I249" s="183">
        <f>PRODUCT('Rollen-Prozess-Matrix'!M9,'Kompetenz-Prozess-Matrix'!K13)</f>
        <v>0</v>
      </c>
      <c r="J249" s="183">
        <f>PRODUCT('Rollen-Prozess-Matrix'!N9,'Kompetenz-Prozess-Matrix'!K13)</f>
        <v>0</v>
      </c>
      <c r="K249" s="183">
        <f>PRODUCT('Rollen-Prozess-Matrix'!O9,'Kompetenz-Prozess-Matrix'!K13)</f>
        <v>0</v>
      </c>
      <c r="L249" s="183">
        <f>PRODUCT('Rollen-Prozess-Matrix'!P9,'Kompetenz-Prozess-Matrix'!K13)</f>
        <v>0</v>
      </c>
      <c r="M249" s="183">
        <f>PRODUCT('Rollen-Prozess-Matrix'!Q9,'Kompetenz-Prozess-Matrix'!K13)</f>
        <v>0</v>
      </c>
      <c r="N249" s="183">
        <f>PRODUCT('Rollen-Prozess-Matrix'!R9,'Kompetenz-Prozess-Matrix'!K13)</f>
        <v>0</v>
      </c>
      <c r="O249" s="183">
        <f>PRODUCT('Rollen-Prozess-Matrix'!S9,'Kompetenz-Prozess-Matrix'!K13)</f>
        <v>0</v>
      </c>
      <c r="P249" s="183">
        <f>PRODUCT('Rollen-Prozess-Matrix'!T9,'Kompetenz-Prozess-Matrix'!K13)</f>
        <v>0</v>
      </c>
      <c r="Q249" s="185">
        <f>PRODUCT('Rollen-Prozess-Matrix'!U9,'Kompetenz-Prozess-Matrix'!K13)</f>
        <v>0</v>
      </c>
    </row>
    <row r="250" spans="1:19" ht="38.65" hidden="1" outlineLevel="1" thickBot="1" x14ac:dyDescent="0.4">
      <c r="A250" s="333"/>
      <c r="B250" s="339"/>
      <c r="C250" s="180" t="s">
        <v>157</v>
      </c>
      <c r="D250" s="182">
        <f>PRODUCT('Rollen-Prozess-Matrix'!H10,'Kompetenz-Prozess-Matrix'!K14)</f>
        <v>0</v>
      </c>
      <c r="E250" s="183">
        <f>PRODUCT('Rollen-Prozess-Matrix'!I10,'Kompetenz-Prozess-Matrix'!K14)</f>
        <v>0</v>
      </c>
      <c r="F250" s="183">
        <f>PRODUCT('Rollen-Prozess-Matrix'!J10,'Kompetenz-Prozess-Matrix'!K14)</f>
        <v>2</v>
      </c>
      <c r="G250" s="183">
        <f>PRODUCT('Rollen-Prozess-Matrix'!K10,'Kompetenz-Prozess-Matrix'!K14)</f>
        <v>0</v>
      </c>
      <c r="H250" s="183">
        <f>PRODUCT('Rollen-Prozess-Matrix'!L10,'Kompetenz-Prozess-Matrix'!K14)</f>
        <v>3</v>
      </c>
      <c r="I250" s="183">
        <f>PRODUCT('Rollen-Prozess-Matrix'!M10,'Kompetenz-Prozess-Matrix'!K14)</f>
        <v>0</v>
      </c>
      <c r="J250" s="183">
        <f>PRODUCT('Rollen-Prozess-Matrix'!N10,'Kompetenz-Prozess-Matrix'!K14)</f>
        <v>0</v>
      </c>
      <c r="K250" s="183">
        <f>PRODUCT('Rollen-Prozess-Matrix'!O10,'Kompetenz-Prozess-Matrix'!K14)</f>
        <v>0</v>
      </c>
      <c r="L250" s="183">
        <f>PRODUCT('Rollen-Prozess-Matrix'!P10,'Kompetenz-Prozess-Matrix'!K14)</f>
        <v>0</v>
      </c>
      <c r="M250" s="183">
        <f>PRODUCT('Rollen-Prozess-Matrix'!Q10,'Kompetenz-Prozess-Matrix'!K14)</f>
        <v>0</v>
      </c>
      <c r="N250" s="183">
        <f>PRODUCT('Rollen-Prozess-Matrix'!R10,'Kompetenz-Prozess-Matrix'!K14)</f>
        <v>0</v>
      </c>
      <c r="O250" s="183">
        <f>PRODUCT('Rollen-Prozess-Matrix'!S10,'Kompetenz-Prozess-Matrix'!K14)</f>
        <v>0</v>
      </c>
      <c r="P250" s="183">
        <f>PRODUCT('Rollen-Prozess-Matrix'!T10,'Kompetenz-Prozess-Matrix'!K14)</f>
        <v>0</v>
      </c>
      <c r="Q250" s="185">
        <f>PRODUCT('Rollen-Prozess-Matrix'!U10,'Kompetenz-Prozess-Matrix'!K14)</f>
        <v>0</v>
      </c>
    </row>
    <row r="251" spans="1:19" ht="38.65" hidden="1" outlineLevel="1" thickBot="1" x14ac:dyDescent="0.4">
      <c r="A251" s="333"/>
      <c r="B251" s="339"/>
      <c r="C251" s="180" t="s">
        <v>161</v>
      </c>
      <c r="D251" s="182">
        <f>PRODUCT('Rollen-Prozess-Matrix'!H11,'Kompetenz-Prozess-Matrix'!K15)</f>
        <v>0</v>
      </c>
      <c r="E251" s="183">
        <f>PRODUCT('Rollen-Prozess-Matrix'!I11,'Kompetenz-Prozess-Matrix'!K15)</f>
        <v>0</v>
      </c>
      <c r="F251" s="183">
        <f>PRODUCT('Rollen-Prozess-Matrix'!J11,'Kompetenz-Prozess-Matrix'!K15)</f>
        <v>2</v>
      </c>
      <c r="G251" s="183">
        <f>PRODUCT('Rollen-Prozess-Matrix'!K11,'Kompetenz-Prozess-Matrix'!K15)</f>
        <v>0</v>
      </c>
      <c r="H251" s="183">
        <f>PRODUCT('Rollen-Prozess-Matrix'!L11,'Kompetenz-Prozess-Matrix'!K15)</f>
        <v>3</v>
      </c>
      <c r="I251" s="183">
        <f>PRODUCT('Rollen-Prozess-Matrix'!M11,'Kompetenz-Prozess-Matrix'!K15)</f>
        <v>0</v>
      </c>
      <c r="J251" s="183">
        <f>PRODUCT('Rollen-Prozess-Matrix'!N11,'Kompetenz-Prozess-Matrix'!K15)</f>
        <v>0</v>
      </c>
      <c r="K251" s="183">
        <f>PRODUCT('Rollen-Prozess-Matrix'!O11,'Kompetenz-Prozess-Matrix'!K15)</f>
        <v>0</v>
      </c>
      <c r="L251" s="183">
        <f>PRODUCT('Rollen-Prozess-Matrix'!P11,'Kompetenz-Prozess-Matrix'!K15)</f>
        <v>0</v>
      </c>
      <c r="M251" s="183">
        <f>PRODUCT('Rollen-Prozess-Matrix'!Q11,'Kompetenz-Prozess-Matrix'!K15)</f>
        <v>0</v>
      </c>
      <c r="N251" s="183">
        <f>PRODUCT('Rollen-Prozess-Matrix'!R11,'Kompetenz-Prozess-Matrix'!K15)</f>
        <v>0</v>
      </c>
      <c r="O251" s="183">
        <f>PRODUCT('Rollen-Prozess-Matrix'!S11,'Kompetenz-Prozess-Matrix'!K15)</f>
        <v>0</v>
      </c>
      <c r="P251" s="183">
        <f>PRODUCT('Rollen-Prozess-Matrix'!T11,'Kompetenz-Prozess-Matrix'!K15)</f>
        <v>0</v>
      </c>
      <c r="Q251" s="185">
        <f>PRODUCT('Rollen-Prozess-Matrix'!U11,'Kompetenz-Prozess-Matrix'!K15)</f>
        <v>1</v>
      </c>
    </row>
    <row r="252" spans="1:19" ht="38.65" hidden="1" outlineLevel="1" thickBot="1" x14ac:dyDescent="0.4">
      <c r="A252" s="333"/>
      <c r="B252" s="339"/>
      <c r="C252" s="180" t="s">
        <v>288</v>
      </c>
      <c r="D252" s="182">
        <f>PRODUCT('Rollen-Prozess-Matrix'!H12,'Kompetenz-Prozess-Matrix'!K16)</f>
        <v>0</v>
      </c>
      <c r="E252" s="183">
        <f>PRODUCT('Rollen-Prozess-Matrix'!I12,'Kompetenz-Prozess-Matrix'!K16)</f>
        <v>0</v>
      </c>
      <c r="F252" s="183">
        <f>PRODUCT('Rollen-Prozess-Matrix'!J12,'Kompetenz-Prozess-Matrix'!K16)</f>
        <v>0</v>
      </c>
      <c r="G252" s="183">
        <f>PRODUCT('Rollen-Prozess-Matrix'!K12,'Kompetenz-Prozess-Matrix'!K16)</f>
        <v>0</v>
      </c>
      <c r="H252" s="183">
        <f>PRODUCT('Rollen-Prozess-Matrix'!L12,'Kompetenz-Prozess-Matrix'!K16)</f>
        <v>0</v>
      </c>
      <c r="I252" s="183">
        <f>PRODUCT('Rollen-Prozess-Matrix'!M12,'Kompetenz-Prozess-Matrix'!K16)</f>
        <v>0</v>
      </c>
      <c r="J252" s="183">
        <f>PRODUCT('Rollen-Prozess-Matrix'!N12,'Kompetenz-Prozess-Matrix'!K16)</f>
        <v>0</v>
      </c>
      <c r="K252" s="183">
        <f>PRODUCT('Rollen-Prozess-Matrix'!O12,'Kompetenz-Prozess-Matrix'!K16)</f>
        <v>0</v>
      </c>
      <c r="L252" s="183">
        <f>PRODUCT('Rollen-Prozess-Matrix'!P12,'Kompetenz-Prozess-Matrix'!K16)</f>
        <v>0</v>
      </c>
      <c r="M252" s="183">
        <f>PRODUCT('Rollen-Prozess-Matrix'!Q12,'Kompetenz-Prozess-Matrix'!K16)</f>
        <v>0</v>
      </c>
      <c r="N252" s="183">
        <f>PRODUCT('Rollen-Prozess-Matrix'!R12,'Kompetenz-Prozess-Matrix'!K16)</f>
        <v>0</v>
      </c>
      <c r="O252" s="183">
        <f>PRODUCT('Rollen-Prozess-Matrix'!S12,'Kompetenz-Prozess-Matrix'!K16)</f>
        <v>0</v>
      </c>
      <c r="P252" s="183">
        <f>PRODUCT('Rollen-Prozess-Matrix'!T12,'Kompetenz-Prozess-Matrix'!K16)</f>
        <v>0</v>
      </c>
      <c r="Q252" s="185">
        <f>PRODUCT('Rollen-Prozess-Matrix'!U12,'Kompetenz-Prozess-Matrix'!K16)</f>
        <v>0</v>
      </c>
    </row>
    <row r="253" spans="1:19" ht="25.9" hidden="1" outlineLevel="1" thickBot="1" x14ac:dyDescent="0.4">
      <c r="A253" s="333"/>
      <c r="B253" s="339"/>
      <c r="C253" s="180" t="s">
        <v>169</v>
      </c>
      <c r="D253" s="182">
        <f>PRODUCT('Rollen-Prozess-Matrix'!H13,'Kompetenz-Prozess-Matrix'!K17)</f>
        <v>0</v>
      </c>
      <c r="E253" s="183">
        <f>PRODUCT('Rollen-Prozess-Matrix'!I13,'Kompetenz-Prozess-Matrix'!K17)</f>
        <v>0</v>
      </c>
      <c r="F253" s="183">
        <f>PRODUCT('Rollen-Prozess-Matrix'!J13,'Kompetenz-Prozess-Matrix'!K17)</f>
        <v>0</v>
      </c>
      <c r="G253" s="183">
        <f>PRODUCT('Rollen-Prozess-Matrix'!K13,'Kompetenz-Prozess-Matrix'!K17)</f>
        <v>0</v>
      </c>
      <c r="H253" s="183">
        <f>PRODUCT('Rollen-Prozess-Matrix'!L13,'Kompetenz-Prozess-Matrix'!K17)</f>
        <v>0</v>
      </c>
      <c r="I253" s="183">
        <f>PRODUCT('Rollen-Prozess-Matrix'!M13,'Kompetenz-Prozess-Matrix'!K17)</f>
        <v>0</v>
      </c>
      <c r="J253" s="183">
        <f>PRODUCT('Rollen-Prozess-Matrix'!N13,'Kompetenz-Prozess-Matrix'!K17)</f>
        <v>0</v>
      </c>
      <c r="K253" s="183">
        <f>PRODUCT('Rollen-Prozess-Matrix'!O13,'Kompetenz-Prozess-Matrix'!K17)</f>
        <v>0</v>
      </c>
      <c r="L253" s="183">
        <f>PRODUCT('Rollen-Prozess-Matrix'!P13,'Kompetenz-Prozess-Matrix'!K17)</f>
        <v>0</v>
      </c>
      <c r="M253" s="183">
        <f>PRODUCT('Rollen-Prozess-Matrix'!Q13,'Kompetenz-Prozess-Matrix'!K17)</f>
        <v>0</v>
      </c>
      <c r="N253" s="183">
        <f>PRODUCT('Rollen-Prozess-Matrix'!R13,'Kompetenz-Prozess-Matrix'!K17)</f>
        <v>0</v>
      </c>
      <c r="O253" s="183">
        <f>PRODUCT('Rollen-Prozess-Matrix'!S13,'Kompetenz-Prozess-Matrix'!K17)</f>
        <v>0</v>
      </c>
      <c r="P253" s="183">
        <f>PRODUCT('Rollen-Prozess-Matrix'!T13,'Kompetenz-Prozess-Matrix'!K17)</f>
        <v>0</v>
      </c>
      <c r="Q253" s="185">
        <f>PRODUCT('Rollen-Prozess-Matrix'!U13,'Kompetenz-Prozess-Matrix'!K17)</f>
        <v>0</v>
      </c>
    </row>
    <row r="254" spans="1:19" ht="64.150000000000006" hidden="1" outlineLevel="1" thickBot="1" x14ac:dyDescent="0.4">
      <c r="A254" s="333"/>
      <c r="B254" s="339"/>
      <c r="C254" s="180" t="s">
        <v>173</v>
      </c>
      <c r="D254" s="182">
        <f>PRODUCT('Rollen-Prozess-Matrix'!H14,'Kompetenz-Prozess-Matrix'!K18)</f>
        <v>0</v>
      </c>
      <c r="E254" s="183">
        <f>PRODUCT('Rollen-Prozess-Matrix'!I14,'Kompetenz-Prozess-Matrix'!K18)</f>
        <v>0</v>
      </c>
      <c r="F254" s="183">
        <f>PRODUCT('Rollen-Prozess-Matrix'!J14,'Kompetenz-Prozess-Matrix'!K18)</f>
        <v>0</v>
      </c>
      <c r="G254" s="183">
        <f>PRODUCT('Rollen-Prozess-Matrix'!K14,'Kompetenz-Prozess-Matrix'!K18)</f>
        <v>0</v>
      </c>
      <c r="H254" s="183">
        <f>PRODUCT('Rollen-Prozess-Matrix'!L14,'Kompetenz-Prozess-Matrix'!K18)</f>
        <v>0</v>
      </c>
      <c r="I254" s="183">
        <f>PRODUCT('Rollen-Prozess-Matrix'!M14,'Kompetenz-Prozess-Matrix'!K18)</f>
        <v>0</v>
      </c>
      <c r="J254" s="183">
        <f>PRODUCT('Rollen-Prozess-Matrix'!N14,'Kompetenz-Prozess-Matrix'!K18)</f>
        <v>0</v>
      </c>
      <c r="K254" s="183">
        <f>PRODUCT('Rollen-Prozess-Matrix'!O14,'Kompetenz-Prozess-Matrix'!K18)</f>
        <v>0</v>
      </c>
      <c r="L254" s="183">
        <f>PRODUCT('Rollen-Prozess-Matrix'!P14,'Kompetenz-Prozess-Matrix'!K18)</f>
        <v>0</v>
      </c>
      <c r="M254" s="183">
        <f>PRODUCT('Rollen-Prozess-Matrix'!Q14,'Kompetenz-Prozess-Matrix'!K18)</f>
        <v>0</v>
      </c>
      <c r="N254" s="183">
        <f>PRODUCT('Rollen-Prozess-Matrix'!R14,'Kompetenz-Prozess-Matrix'!K18)</f>
        <v>0</v>
      </c>
      <c r="O254" s="183">
        <f>PRODUCT('Rollen-Prozess-Matrix'!S14,'Kompetenz-Prozess-Matrix'!K18)</f>
        <v>0</v>
      </c>
      <c r="P254" s="183">
        <f>PRODUCT('Rollen-Prozess-Matrix'!T14,'Kompetenz-Prozess-Matrix'!K18)</f>
        <v>0</v>
      </c>
      <c r="Q254" s="185">
        <f>PRODUCT('Rollen-Prozess-Matrix'!U14,'Kompetenz-Prozess-Matrix'!K18)</f>
        <v>0</v>
      </c>
    </row>
    <row r="255" spans="1:19" ht="38.65" hidden="1" outlineLevel="1" thickBot="1" x14ac:dyDescent="0.4">
      <c r="A255" s="333"/>
      <c r="B255" s="339"/>
      <c r="C255" s="180" t="s">
        <v>177</v>
      </c>
      <c r="D255" s="182">
        <f>PRODUCT('Rollen-Prozess-Matrix'!H15,'Kompetenz-Prozess-Matrix'!K19)</f>
        <v>0</v>
      </c>
      <c r="E255" s="183">
        <f>PRODUCT('Rollen-Prozess-Matrix'!I15,'Kompetenz-Prozess-Matrix'!K19)</f>
        <v>0</v>
      </c>
      <c r="F255" s="183">
        <f>PRODUCT('Rollen-Prozess-Matrix'!J15,'Kompetenz-Prozess-Matrix'!K19)</f>
        <v>0</v>
      </c>
      <c r="G255" s="183">
        <f>PRODUCT('Rollen-Prozess-Matrix'!K15,'Kompetenz-Prozess-Matrix'!K19)</f>
        <v>0</v>
      </c>
      <c r="H255" s="183">
        <f>PRODUCT('Rollen-Prozess-Matrix'!L15,'Kompetenz-Prozess-Matrix'!K19)</f>
        <v>0</v>
      </c>
      <c r="I255" s="183">
        <f>PRODUCT('Rollen-Prozess-Matrix'!M15,'Kompetenz-Prozess-Matrix'!K19)</f>
        <v>0</v>
      </c>
      <c r="J255" s="183">
        <f>PRODUCT('Rollen-Prozess-Matrix'!N15,'Kompetenz-Prozess-Matrix'!K19)</f>
        <v>0</v>
      </c>
      <c r="K255" s="183">
        <f>PRODUCT('Rollen-Prozess-Matrix'!O15,'Kompetenz-Prozess-Matrix'!K19)</f>
        <v>0</v>
      </c>
      <c r="L255" s="183">
        <f>PRODUCT('Rollen-Prozess-Matrix'!P15,'Kompetenz-Prozess-Matrix'!K19)</f>
        <v>0</v>
      </c>
      <c r="M255" s="183">
        <f>PRODUCT('Rollen-Prozess-Matrix'!Q15,'Kompetenz-Prozess-Matrix'!K19)</f>
        <v>0</v>
      </c>
      <c r="N255" s="183">
        <f>PRODUCT('Rollen-Prozess-Matrix'!R15,'Kompetenz-Prozess-Matrix'!K19)</f>
        <v>0</v>
      </c>
      <c r="O255" s="183">
        <f>PRODUCT('Rollen-Prozess-Matrix'!S15,'Kompetenz-Prozess-Matrix'!K19)</f>
        <v>0</v>
      </c>
      <c r="P255" s="183">
        <f>PRODUCT('Rollen-Prozess-Matrix'!T15,'Kompetenz-Prozess-Matrix'!K19)</f>
        <v>0</v>
      </c>
      <c r="Q255" s="185">
        <f>PRODUCT('Rollen-Prozess-Matrix'!U15,'Kompetenz-Prozess-Matrix'!K19)</f>
        <v>0</v>
      </c>
    </row>
    <row r="256" spans="1:19" ht="13.15" hidden="1" outlineLevel="1" thickBot="1" x14ac:dyDescent="0.4">
      <c r="A256" s="333"/>
      <c r="B256" s="339"/>
      <c r="C256" s="180" t="s">
        <v>181</v>
      </c>
      <c r="D256" s="182">
        <f>PRODUCT('Rollen-Prozess-Matrix'!H16,'Kompetenz-Prozess-Matrix'!K20)</f>
        <v>0</v>
      </c>
      <c r="E256" s="183">
        <f>PRODUCT('Rollen-Prozess-Matrix'!I16,'Kompetenz-Prozess-Matrix'!K20)</f>
        <v>0</v>
      </c>
      <c r="F256" s="183">
        <f>PRODUCT('Rollen-Prozess-Matrix'!J16,'Kompetenz-Prozess-Matrix'!K20)</f>
        <v>0</v>
      </c>
      <c r="G256" s="183">
        <f>PRODUCT('Rollen-Prozess-Matrix'!K16,'Kompetenz-Prozess-Matrix'!K20)</f>
        <v>0</v>
      </c>
      <c r="H256" s="183">
        <f>PRODUCT('Rollen-Prozess-Matrix'!L16,'Kompetenz-Prozess-Matrix'!K20)</f>
        <v>0</v>
      </c>
      <c r="I256" s="183">
        <f>PRODUCT('Rollen-Prozess-Matrix'!M16,'Kompetenz-Prozess-Matrix'!K20)</f>
        <v>0</v>
      </c>
      <c r="J256" s="183">
        <f>PRODUCT('Rollen-Prozess-Matrix'!N16,'Kompetenz-Prozess-Matrix'!K20)</f>
        <v>0</v>
      </c>
      <c r="K256" s="183">
        <f>PRODUCT('Rollen-Prozess-Matrix'!O16,'Kompetenz-Prozess-Matrix'!K20)</f>
        <v>0</v>
      </c>
      <c r="L256" s="183">
        <f>PRODUCT('Rollen-Prozess-Matrix'!P16,'Kompetenz-Prozess-Matrix'!K20)</f>
        <v>0</v>
      </c>
      <c r="M256" s="183">
        <f>PRODUCT('Rollen-Prozess-Matrix'!Q16,'Kompetenz-Prozess-Matrix'!K20)</f>
        <v>0</v>
      </c>
      <c r="N256" s="183">
        <f>PRODUCT('Rollen-Prozess-Matrix'!R16,'Kompetenz-Prozess-Matrix'!K20)</f>
        <v>0</v>
      </c>
      <c r="O256" s="183">
        <f>PRODUCT('Rollen-Prozess-Matrix'!S16,'Kompetenz-Prozess-Matrix'!K20)</f>
        <v>0</v>
      </c>
      <c r="P256" s="183">
        <f>PRODUCT('Rollen-Prozess-Matrix'!T16,'Kompetenz-Prozess-Matrix'!K20)</f>
        <v>0</v>
      </c>
      <c r="Q256" s="185">
        <f>PRODUCT('Rollen-Prozess-Matrix'!U16,'Kompetenz-Prozess-Matrix'!K20)</f>
        <v>0</v>
      </c>
    </row>
    <row r="257" spans="1:17" ht="38.65" hidden="1" outlineLevel="1" thickBot="1" x14ac:dyDescent="0.4">
      <c r="A257" s="333"/>
      <c r="B257" s="339"/>
      <c r="C257" s="180" t="s">
        <v>185</v>
      </c>
      <c r="D257" s="182">
        <f>PRODUCT('Rollen-Prozess-Matrix'!H17,'Kompetenz-Prozess-Matrix'!K21)</f>
        <v>0</v>
      </c>
      <c r="E257" s="183">
        <f>PRODUCT('Rollen-Prozess-Matrix'!I17,'Kompetenz-Prozess-Matrix'!K21)</f>
        <v>0</v>
      </c>
      <c r="F257" s="183">
        <f>PRODUCT('Rollen-Prozess-Matrix'!J17,'Kompetenz-Prozess-Matrix'!K21)</f>
        <v>0</v>
      </c>
      <c r="G257" s="183">
        <f>PRODUCT('Rollen-Prozess-Matrix'!K17,'Kompetenz-Prozess-Matrix'!K21)</f>
        <v>0</v>
      </c>
      <c r="H257" s="183">
        <f>PRODUCT('Rollen-Prozess-Matrix'!L17,'Kompetenz-Prozess-Matrix'!K21)</f>
        <v>0</v>
      </c>
      <c r="I257" s="183">
        <f>PRODUCT('Rollen-Prozess-Matrix'!M17,'Kompetenz-Prozess-Matrix'!K21)</f>
        <v>0</v>
      </c>
      <c r="J257" s="183">
        <f>PRODUCT('Rollen-Prozess-Matrix'!N17,'Kompetenz-Prozess-Matrix'!K21)</f>
        <v>0</v>
      </c>
      <c r="K257" s="183">
        <f>PRODUCT('Rollen-Prozess-Matrix'!O17,'Kompetenz-Prozess-Matrix'!K21)</f>
        <v>0</v>
      </c>
      <c r="L257" s="183">
        <f>PRODUCT('Rollen-Prozess-Matrix'!P17,'Kompetenz-Prozess-Matrix'!K21)</f>
        <v>0</v>
      </c>
      <c r="M257" s="183">
        <f>PRODUCT('Rollen-Prozess-Matrix'!Q17,'Kompetenz-Prozess-Matrix'!K21)</f>
        <v>0</v>
      </c>
      <c r="N257" s="183">
        <f>PRODUCT('Rollen-Prozess-Matrix'!R17,'Kompetenz-Prozess-Matrix'!K21)</f>
        <v>0</v>
      </c>
      <c r="O257" s="183">
        <f>PRODUCT('Rollen-Prozess-Matrix'!S17,'Kompetenz-Prozess-Matrix'!K21)</f>
        <v>0</v>
      </c>
      <c r="P257" s="183">
        <f>PRODUCT('Rollen-Prozess-Matrix'!T17,'Kompetenz-Prozess-Matrix'!K21)</f>
        <v>0</v>
      </c>
      <c r="Q257" s="185">
        <f>PRODUCT('Rollen-Prozess-Matrix'!U17,'Kompetenz-Prozess-Matrix'!K21)</f>
        <v>0</v>
      </c>
    </row>
    <row r="258" spans="1:17" ht="51.4" hidden="1" outlineLevel="1" thickBot="1" x14ac:dyDescent="0.4">
      <c r="A258" s="333"/>
      <c r="B258" s="339"/>
      <c r="C258" s="180" t="s">
        <v>190</v>
      </c>
      <c r="D258" s="182">
        <f>PRODUCT('Rollen-Prozess-Matrix'!H18,'Kompetenz-Prozess-Matrix'!K22)</f>
        <v>0</v>
      </c>
      <c r="E258" s="183">
        <f>PRODUCT('Rollen-Prozess-Matrix'!I18,'Kompetenz-Prozess-Matrix'!K22)</f>
        <v>0</v>
      </c>
      <c r="F258" s="183">
        <f>PRODUCT('Rollen-Prozess-Matrix'!J18,'Kompetenz-Prozess-Matrix'!K22)</f>
        <v>0</v>
      </c>
      <c r="G258" s="183">
        <f>PRODUCT('Rollen-Prozess-Matrix'!K18,'Kompetenz-Prozess-Matrix'!K22)</f>
        <v>0</v>
      </c>
      <c r="H258" s="183">
        <f>PRODUCT('Rollen-Prozess-Matrix'!L18,'Kompetenz-Prozess-Matrix'!K22)</f>
        <v>0</v>
      </c>
      <c r="I258" s="183">
        <f>PRODUCT('Rollen-Prozess-Matrix'!M18,'Kompetenz-Prozess-Matrix'!K22)</f>
        <v>0</v>
      </c>
      <c r="J258" s="183">
        <f>PRODUCT('Rollen-Prozess-Matrix'!N18,'Kompetenz-Prozess-Matrix'!K22)</f>
        <v>0</v>
      </c>
      <c r="K258" s="183">
        <f>PRODUCT('Rollen-Prozess-Matrix'!O18,'Kompetenz-Prozess-Matrix'!K22)</f>
        <v>0</v>
      </c>
      <c r="L258" s="183">
        <f>PRODUCT('Rollen-Prozess-Matrix'!P18,'Kompetenz-Prozess-Matrix'!K22)</f>
        <v>0</v>
      </c>
      <c r="M258" s="183">
        <f>PRODUCT('Rollen-Prozess-Matrix'!Q18,'Kompetenz-Prozess-Matrix'!K22)</f>
        <v>0</v>
      </c>
      <c r="N258" s="183">
        <f>PRODUCT('Rollen-Prozess-Matrix'!R18,'Kompetenz-Prozess-Matrix'!K22)</f>
        <v>0</v>
      </c>
      <c r="O258" s="183">
        <f>PRODUCT('Rollen-Prozess-Matrix'!S18,'Kompetenz-Prozess-Matrix'!K22)</f>
        <v>0</v>
      </c>
      <c r="P258" s="183">
        <f>PRODUCT('Rollen-Prozess-Matrix'!T18,'Kompetenz-Prozess-Matrix'!K22)</f>
        <v>0</v>
      </c>
      <c r="Q258" s="185">
        <f>PRODUCT('Rollen-Prozess-Matrix'!U18,'Kompetenz-Prozess-Matrix'!K22)</f>
        <v>0</v>
      </c>
    </row>
    <row r="259" spans="1:17" ht="64.150000000000006" hidden="1" outlineLevel="1" thickBot="1" x14ac:dyDescent="0.4">
      <c r="A259" s="333"/>
      <c r="B259" s="339"/>
      <c r="C259" s="180" t="s">
        <v>194</v>
      </c>
      <c r="D259" s="182">
        <f>PRODUCT('Rollen-Prozess-Matrix'!H19,'Kompetenz-Prozess-Matrix'!K23)</f>
        <v>0</v>
      </c>
      <c r="E259" s="183">
        <f>PRODUCT('Rollen-Prozess-Matrix'!I19,'Kompetenz-Prozess-Matrix'!K23)</f>
        <v>0</v>
      </c>
      <c r="F259" s="183">
        <f>PRODUCT('Rollen-Prozess-Matrix'!J19,'Kompetenz-Prozess-Matrix'!K23)</f>
        <v>0</v>
      </c>
      <c r="G259" s="183">
        <f>PRODUCT('Rollen-Prozess-Matrix'!K19,'Kompetenz-Prozess-Matrix'!K23)</f>
        <v>0</v>
      </c>
      <c r="H259" s="183">
        <f>PRODUCT('Rollen-Prozess-Matrix'!L19,'Kompetenz-Prozess-Matrix'!K23)</f>
        <v>0</v>
      </c>
      <c r="I259" s="183">
        <f>PRODUCT('Rollen-Prozess-Matrix'!M19,'Kompetenz-Prozess-Matrix'!K23)</f>
        <v>0</v>
      </c>
      <c r="J259" s="183">
        <f>PRODUCT('Rollen-Prozess-Matrix'!N19,'Kompetenz-Prozess-Matrix'!K23)</f>
        <v>0</v>
      </c>
      <c r="K259" s="183">
        <f>PRODUCT('Rollen-Prozess-Matrix'!O19,'Kompetenz-Prozess-Matrix'!K23)</f>
        <v>0</v>
      </c>
      <c r="L259" s="183">
        <f>PRODUCT('Rollen-Prozess-Matrix'!P19,'Kompetenz-Prozess-Matrix'!K23)</f>
        <v>0</v>
      </c>
      <c r="M259" s="183">
        <f>PRODUCT('Rollen-Prozess-Matrix'!Q19,'Kompetenz-Prozess-Matrix'!K23)</f>
        <v>0</v>
      </c>
      <c r="N259" s="183">
        <f>PRODUCT('Rollen-Prozess-Matrix'!R19,'Kompetenz-Prozess-Matrix'!K23)</f>
        <v>0</v>
      </c>
      <c r="O259" s="183">
        <f>PRODUCT('Rollen-Prozess-Matrix'!S19,'Kompetenz-Prozess-Matrix'!K23)</f>
        <v>0</v>
      </c>
      <c r="P259" s="183">
        <f>PRODUCT('Rollen-Prozess-Matrix'!T19,'Kompetenz-Prozess-Matrix'!K23)</f>
        <v>0</v>
      </c>
      <c r="Q259" s="185">
        <f>PRODUCT('Rollen-Prozess-Matrix'!U19,'Kompetenz-Prozess-Matrix'!K23)</f>
        <v>0</v>
      </c>
    </row>
    <row r="260" spans="1:17" ht="64.150000000000006" hidden="1" outlineLevel="1" thickBot="1" x14ac:dyDescent="0.4">
      <c r="A260" s="333"/>
      <c r="B260" s="339"/>
      <c r="C260" s="180" t="s">
        <v>201</v>
      </c>
      <c r="D260" s="182">
        <f>PRODUCT('Rollen-Prozess-Matrix'!H20,'Kompetenz-Prozess-Matrix'!K24)</f>
        <v>0</v>
      </c>
      <c r="E260" s="183">
        <f>PRODUCT('Rollen-Prozess-Matrix'!I20,'Kompetenz-Prozess-Matrix'!K24)</f>
        <v>0</v>
      </c>
      <c r="F260" s="183">
        <f>PRODUCT('Rollen-Prozess-Matrix'!J20,'Kompetenz-Prozess-Matrix'!K24)</f>
        <v>0</v>
      </c>
      <c r="G260" s="183">
        <f>PRODUCT('Rollen-Prozess-Matrix'!K20,'Kompetenz-Prozess-Matrix'!K24)</f>
        <v>0</v>
      </c>
      <c r="H260" s="183">
        <f>PRODUCT('Rollen-Prozess-Matrix'!L20,'Kompetenz-Prozess-Matrix'!K24)</f>
        <v>0</v>
      </c>
      <c r="I260" s="183">
        <f>PRODUCT('Rollen-Prozess-Matrix'!M20,'Kompetenz-Prozess-Matrix'!K24)</f>
        <v>0</v>
      </c>
      <c r="J260" s="183">
        <f>PRODUCT('Rollen-Prozess-Matrix'!N20,'Kompetenz-Prozess-Matrix'!K24)</f>
        <v>0</v>
      </c>
      <c r="K260" s="183">
        <f>PRODUCT('Rollen-Prozess-Matrix'!O20,'Kompetenz-Prozess-Matrix'!K24)</f>
        <v>0</v>
      </c>
      <c r="L260" s="183">
        <f>PRODUCT('Rollen-Prozess-Matrix'!P20,'Kompetenz-Prozess-Matrix'!K24)</f>
        <v>0</v>
      </c>
      <c r="M260" s="183">
        <f>PRODUCT('Rollen-Prozess-Matrix'!Q20,'Kompetenz-Prozess-Matrix'!K24)</f>
        <v>0</v>
      </c>
      <c r="N260" s="183">
        <f>PRODUCT('Rollen-Prozess-Matrix'!R20,'Kompetenz-Prozess-Matrix'!K24)</f>
        <v>0</v>
      </c>
      <c r="O260" s="183">
        <f>PRODUCT('Rollen-Prozess-Matrix'!S20,'Kompetenz-Prozess-Matrix'!K24)</f>
        <v>0</v>
      </c>
      <c r="P260" s="183">
        <f>PRODUCT('Rollen-Prozess-Matrix'!T20,'Kompetenz-Prozess-Matrix'!K24)</f>
        <v>0</v>
      </c>
      <c r="Q260" s="185">
        <f>PRODUCT('Rollen-Prozess-Matrix'!U20,'Kompetenz-Prozess-Matrix'!K24)</f>
        <v>0</v>
      </c>
    </row>
    <row r="261" spans="1:17" ht="51.4" hidden="1" outlineLevel="1" thickBot="1" x14ac:dyDescent="0.4">
      <c r="A261" s="333"/>
      <c r="B261" s="339"/>
      <c r="C261" s="180" t="s">
        <v>205</v>
      </c>
      <c r="D261" s="182">
        <f>PRODUCT('Rollen-Prozess-Matrix'!H21,'Kompetenz-Prozess-Matrix'!K25)</f>
        <v>0</v>
      </c>
      <c r="E261" s="183">
        <f>PRODUCT('Rollen-Prozess-Matrix'!I21,'Kompetenz-Prozess-Matrix'!K25)</f>
        <v>0</v>
      </c>
      <c r="F261" s="183">
        <f>PRODUCT('Rollen-Prozess-Matrix'!J21,'Kompetenz-Prozess-Matrix'!K25)</f>
        <v>0</v>
      </c>
      <c r="G261" s="183">
        <f>PRODUCT('Rollen-Prozess-Matrix'!K21,'Kompetenz-Prozess-Matrix'!K25)</f>
        <v>0</v>
      </c>
      <c r="H261" s="183">
        <f>PRODUCT('Rollen-Prozess-Matrix'!L21,'Kompetenz-Prozess-Matrix'!K25)</f>
        <v>0</v>
      </c>
      <c r="I261" s="183">
        <f>PRODUCT('Rollen-Prozess-Matrix'!M21,'Kompetenz-Prozess-Matrix'!K25)</f>
        <v>0</v>
      </c>
      <c r="J261" s="183">
        <f>PRODUCT('Rollen-Prozess-Matrix'!N21,'Kompetenz-Prozess-Matrix'!K25)</f>
        <v>0</v>
      </c>
      <c r="K261" s="183">
        <f>PRODUCT('Rollen-Prozess-Matrix'!O21,'Kompetenz-Prozess-Matrix'!K25)</f>
        <v>0</v>
      </c>
      <c r="L261" s="183">
        <f>PRODUCT('Rollen-Prozess-Matrix'!P21,'Kompetenz-Prozess-Matrix'!K25)</f>
        <v>0</v>
      </c>
      <c r="M261" s="183">
        <f>PRODUCT('Rollen-Prozess-Matrix'!Q21,'Kompetenz-Prozess-Matrix'!K25)</f>
        <v>0</v>
      </c>
      <c r="N261" s="183">
        <f>PRODUCT('Rollen-Prozess-Matrix'!R21,'Kompetenz-Prozess-Matrix'!K25)</f>
        <v>0</v>
      </c>
      <c r="O261" s="183">
        <f>PRODUCT('Rollen-Prozess-Matrix'!S21,'Kompetenz-Prozess-Matrix'!K25)</f>
        <v>0</v>
      </c>
      <c r="P261" s="183">
        <f>PRODUCT('Rollen-Prozess-Matrix'!T21,'Kompetenz-Prozess-Matrix'!K25)</f>
        <v>0</v>
      </c>
      <c r="Q261" s="185">
        <f>PRODUCT('Rollen-Prozess-Matrix'!U21,'Kompetenz-Prozess-Matrix'!K25)</f>
        <v>0</v>
      </c>
    </row>
    <row r="262" spans="1:17" ht="38.65" hidden="1" outlineLevel="1" thickBot="1" x14ac:dyDescent="0.4">
      <c r="A262" s="333"/>
      <c r="B262" s="339"/>
      <c r="C262" s="180" t="s">
        <v>209</v>
      </c>
      <c r="D262" s="182">
        <f>PRODUCT('Rollen-Prozess-Matrix'!H22,'Kompetenz-Prozess-Matrix'!K26)</f>
        <v>0</v>
      </c>
      <c r="E262" s="183">
        <f>PRODUCT('Rollen-Prozess-Matrix'!I22,'Kompetenz-Prozess-Matrix'!K26)</f>
        <v>0</v>
      </c>
      <c r="F262" s="183">
        <f>PRODUCT('Rollen-Prozess-Matrix'!J22,'Kompetenz-Prozess-Matrix'!K26)</f>
        <v>0</v>
      </c>
      <c r="G262" s="183">
        <f>PRODUCT('Rollen-Prozess-Matrix'!K22,'Kompetenz-Prozess-Matrix'!K26)</f>
        <v>0</v>
      </c>
      <c r="H262" s="183">
        <f>PRODUCT('Rollen-Prozess-Matrix'!L22,'Kompetenz-Prozess-Matrix'!K26)</f>
        <v>0</v>
      </c>
      <c r="I262" s="183">
        <f>PRODUCT('Rollen-Prozess-Matrix'!M22,'Kompetenz-Prozess-Matrix'!K26)</f>
        <v>0</v>
      </c>
      <c r="J262" s="183">
        <f>PRODUCT('Rollen-Prozess-Matrix'!N22,'Kompetenz-Prozess-Matrix'!K26)</f>
        <v>0</v>
      </c>
      <c r="K262" s="183">
        <f>PRODUCT('Rollen-Prozess-Matrix'!O22,'Kompetenz-Prozess-Matrix'!K26)</f>
        <v>0</v>
      </c>
      <c r="L262" s="183">
        <f>PRODUCT('Rollen-Prozess-Matrix'!P22,'Kompetenz-Prozess-Matrix'!K26)</f>
        <v>0</v>
      </c>
      <c r="M262" s="183">
        <f>PRODUCT('Rollen-Prozess-Matrix'!Q22,'Kompetenz-Prozess-Matrix'!K26)</f>
        <v>0</v>
      </c>
      <c r="N262" s="183">
        <f>PRODUCT('Rollen-Prozess-Matrix'!R22,'Kompetenz-Prozess-Matrix'!K26)</f>
        <v>0</v>
      </c>
      <c r="O262" s="183">
        <f>PRODUCT('Rollen-Prozess-Matrix'!S22,'Kompetenz-Prozess-Matrix'!K26)</f>
        <v>0</v>
      </c>
      <c r="P262" s="183">
        <f>PRODUCT('Rollen-Prozess-Matrix'!T22,'Kompetenz-Prozess-Matrix'!K26)</f>
        <v>0</v>
      </c>
      <c r="Q262" s="185">
        <f>PRODUCT('Rollen-Prozess-Matrix'!U22,'Kompetenz-Prozess-Matrix'!K26)</f>
        <v>0</v>
      </c>
    </row>
    <row r="263" spans="1:17" ht="38.65" hidden="1" outlineLevel="1" thickBot="1" x14ac:dyDescent="0.4">
      <c r="A263" s="333"/>
      <c r="B263" s="339"/>
      <c r="C263" s="180" t="s">
        <v>213</v>
      </c>
      <c r="D263" s="182">
        <f>PRODUCT('Rollen-Prozess-Matrix'!H23,'Kompetenz-Prozess-Matrix'!K27)</f>
        <v>0</v>
      </c>
      <c r="E263" s="183">
        <f>PRODUCT('Rollen-Prozess-Matrix'!I23,'Kompetenz-Prozess-Matrix'!K27)</f>
        <v>0</v>
      </c>
      <c r="F263" s="183">
        <f>PRODUCT('Rollen-Prozess-Matrix'!J23,'Kompetenz-Prozess-Matrix'!K27)</f>
        <v>0</v>
      </c>
      <c r="G263" s="183">
        <f>PRODUCT('Rollen-Prozess-Matrix'!K23,'Kompetenz-Prozess-Matrix'!K27)</f>
        <v>0</v>
      </c>
      <c r="H263" s="183">
        <f>PRODUCT('Rollen-Prozess-Matrix'!L23,'Kompetenz-Prozess-Matrix'!K27)</f>
        <v>0</v>
      </c>
      <c r="I263" s="183">
        <f>PRODUCT('Rollen-Prozess-Matrix'!M23,'Kompetenz-Prozess-Matrix'!K27)</f>
        <v>0</v>
      </c>
      <c r="J263" s="183">
        <f>PRODUCT('Rollen-Prozess-Matrix'!N23,'Kompetenz-Prozess-Matrix'!K27)</f>
        <v>0</v>
      </c>
      <c r="K263" s="183">
        <f>PRODUCT('Rollen-Prozess-Matrix'!O23,'Kompetenz-Prozess-Matrix'!K27)</f>
        <v>0</v>
      </c>
      <c r="L263" s="183">
        <f>PRODUCT('Rollen-Prozess-Matrix'!P23,'Kompetenz-Prozess-Matrix'!K27)</f>
        <v>0</v>
      </c>
      <c r="M263" s="183">
        <f>PRODUCT('Rollen-Prozess-Matrix'!Q23,'Kompetenz-Prozess-Matrix'!K27)</f>
        <v>0</v>
      </c>
      <c r="N263" s="183">
        <f>PRODUCT('Rollen-Prozess-Matrix'!R23,'Kompetenz-Prozess-Matrix'!K27)</f>
        <v>0</v>
      </c>
      <c r="O263" s="183">
        <f>PRODUCT('Rollen-Prozess-Matrix'!S23,'Kompetenz-Prozess-Matrix'!K27)</f>
        <v>0</v>
      </c>
      <c r="P263" s="183">
        <f>PRODUCT('Rollen-Prozess-Matrix'!T23,'Kompetenz-Prozess-Matrix'!K27)</f>
        <v>0</v>
      </c>
      <c r="Q263" s="185">
        <f>PRODUCT('Rollen-Prozess-Matrix'!U23,'Kompetenz-Prozess-Matrix'!K27)</f>
        <v>0</v>
      </c>
    </row>
    <row r="264" spans="1:17" ht="38.65" hidden="1" outlineLevel="1" thickBot="1" x14ac:dyDescent="0.4">
      <c r="A264" s="333"/>
      <c r="B264" s="339"/>
      <c r="C264" s="180" t="s">
        <v>217</v>
      </c>
      <c r="D264" s="182">
        <f>PRODUCT('Rollen-Prozess-Matrix'!H24,'Kompetenz-Prozess-Matrix'!K28)</f>
        <v>0</v>
      </c>
      <c r="E264" s="183">
        <f>PRODUCT('Rollen-Prozess-Matrix'!I24,'Kompetenz-Prozess-Matrix'!K28)</f>
        <v>0</v>
      </c>
      <c r="F264" s="183">
        <f>PRODUCT('Rollen-Prozess-Matrix'!J24,'Kompetenz-Prozess-Matrix'!K28)</f>
        <v>0</v>
      </c>
      <c r="G264" s="183">
        <f>PRODUCT('Rollen-Prozess-Matrix'!K24,'Kompetenz-Prozess-Matrix'!K28)</f>
        <v>0</v>
      </c>
      <c r="H264" s="183">
        <f>PRODUCT('Rollen-Prozess-Matrix'!L24,'Kompetenz-Prozess-Matrix'!K28)</f>
        <v>0</v>
      </c>
      <c r="I264" s="183">
        <f>PRODUCT('Rollen-Prozess-Matrix'!M24,'Kompetenz-Prozess-Matrix'!K28)</f>
        <v>0</v>
      </c>
      <c r="J264" s="183">
        <f>PRODUCT('Rollen-Prozess-Matrix'!N24,'Kompetenz-Prozess-Matrix'!K28)</f>
        <v>0</v>
      </c>
      <c r="K264" s="183">
        <f>PRODUCT('Rollen-Prozess-Matrix'!O24,'Kompetenz-Prozess-Matrix'!K28)</f>
        <v>0</v>
      </c>
      <c r="L264" s="183">
        <f>PRODUCT('Rollen-Prozess-Matrix'!P24,'Kompetenz-Prozess-Matrix'!K28)</f>
        <v>0</v>
      </c>
      <c r="M264" s="183">
        <f>PRODUCT('Rollen-Prozess-Matrix'!Q24,'Kompetenz-Prozess-Matrix'!K28)</f>
        <v>0</v>
      </c>
      <c r="N264" s="183">
        <f>PRODUCT('Rollen-Prozess-Matrix'!R24,'Kompetenz-Prozess-Matrix'!K28)</f>
        <v>0</v>
      </c>
      <c r="O264" s="183">
        <f>PRODUCT('Rollen-Prozess-Matrix'!S24,'Kompetenz-Prozess-Matrix'!K28)</f>
        <v>0</v>
      </c>
      <c r="P264" s="183">
        <f>PRODUCT('Rollen-Prozess-Matrix'!T24,'Kompetenz-Prozess-Matrix'!K28)</f>
        <v>0</v>
      </c>
      <c r="Q264" s="185">
        <f>PRODUCT('Rollen-Prozess-Matrix'!U24,'Kompetenz-Prozess-Matrix'!K28)</f>
        <v>0</v>
      </c>
    </row>
    <row r="265" spans="1:17" ht="38.65" hidden="1" outlineLevel="1" thickBot="1" x14ac:dyDescent="0.4">
      <c r="A265" s="333"/>
      <c r="B265" s="339"/>
      <c r="C265" s="180" t="s">
        <v>223</v>
      </c>
      <c r="D265" s="182">
        <f>PRODUCT('Rollen-Prozess-Matrix'!H25,'Kompetenz-Prozess-Matrix'!K29)</f>
        <v>0</v>
      </c>
      <c r="E265" s="183">
        <f>PRODUCT('Rollen-Prozess-Matrix'!I25,'Kompetenz-Prozess-Matrix'!K29)</f>
        <v>1</v>
      </c>
      <c r="F265" s="183">
        <f>PRODUCT('Rollen-Prozess-Matrix'!J25,'Kompetenz-Prozess-Matrix'!K29)</f>
        <v>0</v>
      </c>
      <c r="G265" s="183">
        <f>PRODUCT('Rollen-Prozess-Matrix'!K25,'Kompetenz-Prozess-Matrix'!K29)</f>
        <v>0</v>
      </c>
      <c r="H265" s="183">
        <f>PRODUCT('Rollen-Prozess-Matrix'!L25,'Kompetenz-Prozess-Matrix'!K29)</f>
        <v>3</v>
      </c>
      <c r="I265" s="183">
        <f>PRODUCT('Rollen-Prozess-Matrix'!M25,'Kompetenz-Prozess-Matrix'!K29)</f>
        <v>0</v>
      </c>
      <c r="J265" s="183">
        <f>PRODUCT('Rollen-Prozess-Matrix'!N25,'Kompetenz-Prozess-Matrix'!K29)</f>
        <v>0</v>
      </c>
      <c r="K265" s="183">
        <f>PRODUCT('Rollen-Prozess-Matrix'!O25,'Kompetenz-Prozess-Matrix'!K29)</f>
        <v>1</v>
      </c>
      <c r="L265" s="183">
        <f>PRODUCT('Rollen-Prozess-Matrix'!P25,'Kompetenz-Prozess-Matrix'!K29)</f>
        <v>1</v>
      </c>
      <c r="M265" s="183">
        <f>PRODUCT('Rollen-Prozess-Matrix'!Q25,'Kompetenz-Prozess-Matrix'!K29)</f>
        <v>2</v>
      </c>
      <c r="N265" s="183">
        <f>PRODUCT('Rollen-Prozess-Matrix'!R25,'Kompetenz-Prozess-Matrix'!K29)</f>
        <v>0</v>
      </c>
      <c r="O265" s="183">
        <f>PRODUCT('Rollen-Prozess-Matrix'!S25,'Kompetenz-Prozess-Matrix'!K29)</f>
        <v>0</v>
      </c>
      <c r="P265" s="183">
        <f>PRODUCT('Rollen-Prozess-Matrix'!T25,'Kompetenz-Prozess-Matrix'!K29)</f>
        <v>0</v>
      </c>
      <c r="Q265" s="185">
        <f>PRODUCT('Rollen-Prozess-Matrix'!U25,'Kompetenz-Prozess-Matrix'!K29)</f>
        <v>0</v>
      </c>
    </row>
    <row r="266" spans="1:17" ht="38.65" hidden="1" outlineLevel="1" thickBot="1" x14ac:dyDescent="0.4">
      <c r="A266" s="333"/>
      <c r="B266" s="339"/>
      <c r="C266" s="180" t="s">
        <v>229</v>
      </c>
      <c r="D266" s="182">
        <f>PRODUCT('Rollen-Prozess-Matrix'!H26,'Kompetenz-Prozess-Matrix'!K30)</f>
        <v>0</v>
      </c>
      <c r="E266" s="183">
        <f>PRODUCT('Rollen-Prozess-Matrix'!I26,'Kompetenz-Prozess-Matrix'!K30)</f>
        <v>1</v>
      </c>
      <c r="F266" s="183">
        <f>PRODUCT('Rollen-Prozess-Matrix'!J26,'Kompetenz-Prozess-Matrix'!K30)</f>
        <v>0</v>
      </c>
      <c r="G266" s="183">
        <f>PRODUCT('Rollen-Prozess-Matrix'!K26,'Kompetenz-Prozess-Matrix'!K30)</f>
        <v>0</v>
      </c>
      <c r="H266" s="183">
        <f>PRODUCT('Rollen-Prozess-Matrix'!L26,'Kompetenz-Prozess-Matrix'!K30)</f>
        <v>3</v>
      </c>
      <c r="I266" s="183">
        <f>PRODUCT('Rollen-Prozess-Matrix'!M26,'Kompetenz-Prozess-Matrix'!K30)</f>
        <v>1</v>
      </c>
      <c r="J266" s="183">
        <f>PRODUCT('Rollen-Prozess-Matrix'!N26,'Kompetenz-Prozess-Matrix'!K30)</f>
        <v>1</v>
      </c>
      <c r="K266" s="183">
        <f>PRODUCT('Rollen-Prozess-Matrix'!O26,'Kompetenz-Prozess-Matrix'!K30)</f>
        <v>0</v>
      </c>
      <c r="L266" s="183">
        <f>PRODUCT('Rollen-Prozess-Matrix'!P26,'Kompetenz-Prozess-Matrix'!K30)</f>
        <v>2</v>
      </c>
      <c r="M266" s="183">
        <f>PRODUCT('Rollen-Prozess-Matrix'!Q26,'Kompetenz-Prozess-Matrix'!K30)</f>
        <v>0</v>
      </c>
      <c r="N266" s="183">
        <f>PRODUCT('Rollen-Prozess-Matrix'!R26,'Kompetenz-Prozess-Matrix'!K30)</f>
        <v>0</v>
      </c>
      <c r="O266" s="183">
        <f>PRODUCT('Rollen-Prozess-Matrix'!S26,'Kompetenz-Prozess-Matrix'!K30)</f>
        <v>1</v>
      </c>
      <c r="P266" s="183">
        <f>PRODUCT('Rollen-Prozess-Matrix'!T26,'Kompetenz-Prozess-Matrix'!K30)</f>
        <v>0</v>
      </c>
      <c r="Q266" s="185">
        <f>PRODUCT('Rollen-Prozess-Matrix'!U26,'Kompetenz-Prozess-Matrix'!K30)</f>
        <v>0</v>
      </c>
    </row>
    <row r="267" spans="1:17" ht="38.65" hidden="1" outlineLevel="1" thickBot="1" x14ac:dyDescent="0.4">
      <c r="A267" s="333"/>
      <c r="B267" s="339"/>
      <c r="C267" s="180" t="s">
        <v>235</v>
      </c>
      <c r="D267" s="182">
        <f>PRODUCT('Rollen-Prozess-Matrix'!H27,'Kompetenz-Prozess-Matrix'!K31)</f>
        <v>0</v>
      </c>
      <c r="E267" s="183">
        <f>PRODUCT('Rollen-Prozess-Matrix'!I27,'Kompetenz-Prozess-Matrix'!K31)</f>
        <v>0</v>
      </c>
      <c r="F267" s="183">
        <f>PRODUCT('Rollen-Prozess-Matrix'!J27,'Kompetenz-Prozess-Matrix'!K31)</f>
        <v>0</v>
      </c>
      <c r="G267" s="183">
        <f>PRODUCT('Rollen-Prozess-Matrix'!K27,'Kompetenz-Prozess-Matrix'!K31)</f>
        <v>0</v>
      </c>
      <c r="H267" s="183">
        <f>PRODUCT('Rollen-Prozess-Matrix'!L27,'Kompetenz-Prozess-Matrix'!K31)</f>
        <v>0</v>
      </c>
      <c r="I267" s="183">
        <f>PRODUCT('Rollen-Prozess-Matrix'!M27,'Kompetenz-Prozess-Matrix'!K31)</f>
        <v>0</v>
      </c>
      <c r="J267" s="183">
        <f>PRODUCT('Rollen-Prozess-Matrix'!N27,'Kompetenz-Prozess-Matrix'!K31)</f>
        <v>0</v>
      </c>
      <c r="K267" s="183">
        <f>PRODUCT('Rollen-Prozess-Matrix'!O27,'Kompetenz-Prozess-Matrix'!K31)</f>
        <v>0</v>
      </c>
      <c r="L267" s="183">
        <f>PRODUCT('Rollen-Prozess-Matrix'!P27,'Kompetenz-Prozess-Matrix'!K31)</f>
        <v>0</v>
      </c>
      <c r="M267" s="183">
        <f>PRODUCT('Rollen-Prozess-Matrix'!Q27,'Kompetenz-Prozess-Matrix'!K31)</f>
        <v>0</v>
      </c>
      <c r="N267" s="183">
        <f>PRODUCT('Rollen-Prozess-Matrix'!R27,'Kompetenz-Prozess-Matrix'!K31)</f>
        <v>0</v>
      </c>
      <c r="O267" s="183">
        <f>PRODUCT('Rollen-Prozess-Matrix'!S27,'Kompetenz-Prozess-Matrix'!K31)</f>
        <v>0</v>
      </c>
      <c r="P267" s="183">
        <f>PRODUCT('Rollen-Prozess-Matrix'!T27,'Kompetenz-Prozess-Matrix'!K31)</f>
        <v>0</v>
      </c>
      <c r="Q267" s="185">
        <f>PRODUCT('Rollen-Prozess-Matrix'!U27,'Kompetenz-Prozess-Matrix'!K31)</f>
        <v>0</v>
      </c>
    </row>
    <row r="268" spans="1:17" ht="38.65" hidden="1" outlineLevel="1" thickBot="1" x14ac:dyDescent="0.4">
      <c r="A268" s="333"/>
      <c r="B268" s="339"/>
      <c r="C268" s="180" t="s">
        <v>242</v>
      </c>
      <c r="D268" s="182">
        <f>PRODUCT('Rollen-Prozess-Matrix'!H28,'Kompetenz-Prozess-Matrix'!K32)</f>
        <v>1</v>
      </c>
      <c r="E268" s="183">
        <f>PRODUCT('Rollen-Prozess-Matrix'!I28,'Kompetenz-Prozess-Matrix'!K32)</f>
        <v>1</v>
      </c>
      <c r="F268" s="183">
        <f>PRODUCT('Rollen-Prozess-Matrix'!J28,'Kompetenz-Prozess-Matrix'!K32)</f>
        <v>0</v>
      </c>
      <c r="G268" s="183">
        <f>PRODUCT('Rollen-Prozess-Matrix'!K28,'Kompetenz-Prozess-Matrix'!K32)</f>
        <v>0</v>
      </c>
      <c r="H268" s="183">
        <f>PRODUCT('Rollen-Prozess-Matrix'!L28,'Kompetenz-Prozess-Matrix'!K32)</f>
        <v>3</v>
      </c>
      <c r="I268" s="183">
        <f>PRODUCT('Rollen-Prozess-Matrix'!M28,'Kompetenz-Prozess-Matrix'!K32)</f>
        <v>0</v>
      </c>
      <c r="J268" s="183">
        <f>PRODUCT('Rollen-Prozess-Matrix'!N28,'Kompetenz-Prozess-Matrix'!K32)</f>
        <v>0</v>
      </c>
      <c r="K268" s="183">
        <f>PRODUCT('Rollen-Prozess-Matrix'!O28,'Kompetenz-Prozess-Matrix'!K32)</f>
        <v>0</v>
      </c>
      <c r="L268" s="183">
        <f>PRODUCT('Rollen-Prozess-Matrix'!P28,'Kompetenz-Prozess-Matrix'!K32)</f>
        <v>2</v>
      </c>
      <c r="M268" s="183">
        <f>PRODUCT('Rollen-Prozess-Matrix'!Q28,'Kompetenz-Prozess-Matrix'!K32)</f>
        <v>0</v>
      </c>
      <c r="N268" s="183">
        <f>PRODUCT('Rollen-Prozess-Matrix'!R28,'Kompetenz-Prozess-Matrix'!K32)</f>
        <v>0</v>
      </c>
      <c r="O268" s="183">
        <f>PRODUCT('Rollen-Prozess-Matrix'!S28,'Kompetenz-Prozess-Matrix'!K32)</f>
        <v>1</v>
      </c>
      <c r="P268" s="183">
        <f>PRODUCT('Rollen-Prozess-Matrix'!T28,'Kompetenz-Prozess-Matrix'!K32)</f>
        <v>0</v>
      </c>
      <c r="Q268" s="185">
        <f>PRODUCT('Rollen-Prozess-Matrix'!U28,'Kompetenz-Prozess-Matrix'!K32)</f>
        <v>0</v>
      </c>
    </row>
    <row r="269" spans="1:17" ht="38.65" hidden="1" outlineLevel="1" thickBot="1" x14ac:dyDescent="0.4">
      <c r="A269" s="333"/>
      <c r="B269" s="339"/>
      <c r="C269" s="180" t="s">
        <v>248</v>
      </c>
      <c r="D269" s="182">
        <f>PRODUCT('Rollen-Prozess-Matrix'!H29,'Kompetenz-Prozess-Matrix'!K33)</f>
        <v>4</v>
      </c>
      <c r="E269" s="183">
        <f>PRODUCT('Rollen-Prozess-Matrix'!I29,'Kompetenz-Prozess-Matrix'!K33)</f>
        <v>0</v>
      </c>
      <c r="F269" s="183">
        <f>PRODUCT('Rollen-Prozess-Matrix'!J29,'Kompetenz-Prozess-Matrix'!K33)</f>
        <v>0</v>
      </c>
      <c r="G269" s="183">
        <f>PRODUCT('Rollen-Prozess-Matrix'!K29,'Kompetenz-Prozess-Matrix'!K33)</f>
        <v>0</v>
      </c>
      <c r="H269" s="183">
        <f>PRODUCT('Rollen-Prozess-Matrix'!L29,'Kompetenz-Prozess-Matrix'!K33)</f>
        <v>6</v>
      </c>
      <c r="I269" s="183">
        <f>PRODUCT('Rollen-Prozess-Matrix'!M29,'Kompetenz-Prozess-Matrix'!K33)</f>
        <v>2</v>
      </c>
      <c r="J269" s="183">
        <f>PRODUCT('Rollen-Prozess-Matrix'!N29,'Kompetenz-Prozess-Matrix'!K33)</f>
        <v>0</v>
      </c>
      <c r="K269" s="183">
        <f>PRODUCT('Rollen-Prozess-Matrix'!O29,'Kompetenz-Prozess-Matrix'!K33)</f>
        <v>0</v>
      </c>
      <c r="L269" s="183">
        <f>PRODUCT('Rollen-Prozess-Matrix'!P29,'Kompetenz-Prozess-Matrix'!K33)</f>
        <v>0</v>
      </c>
      <c r="M269" s="183">
        <f>PRODUCT('Rollen-Prozess-Matrix'!Q29,'Kompetenz-Prozess-Matrix'!K33)</f>
        <v>0</v>
      </c>
      <c r="N269" s="183">
        <f>PRODUCT('Rollen-Prozess-Matrix'!R29,'Kompetenz-Prozess-Matrix'!K33)</f>
        <v>2</v>
      </c>
      <c r="O269" s="183">
        <f>PRODUCT('Rollen-Prozess-Matrix'!S29,'Kompetenz-Prozess-Matrix'!K33)</f>
        <v>0</v>
      </c>
      <c r="P269" s="183">
        <f>PRODUCT('Rollen-Prozess-Matrix'!T29,'Kompetenz-Prozess-Matrix'!K33)</f>
        <v>0</v>
      </c>
      <c r="Q269" s="185">
        <f>PRODUCT('Rollen-Prozess-Matrix'!U29,'Kompetenz-Prozess-Matrix'!K33)</f>
        <v>0</v>
      </c>
    </row>
    <row r="270" spans="1:17" ht="38.65" hidden="1" outlineLevel="1" thickBot="1" x14ac:dyDescent="0.4">
      <c r="A270" s="333"/>
      <c r="B270" s="339"/>
      <c r="C270" s="180" t="s">
        <v>255</v>
      </c>
      <c r="D270" s="182">
        <f>PRODUCT('Rollen-Prozess-Matrix'!H30,'Kompetenz-Prozess-Matrix'!K34)</f>
        <v>4</v>
      </c>
      <c r="E270" s="183">
        <f>PRODUCT('Rollen-Prozess-Matrix'!I30,'Kompetenz-Prozess-Matrix'!K34)</f>
        <v>0</v>
      </c>
      <c r="F270" s="183">
        <f>PRODUCT('Rollen-Prozess-Matrix'!J30,'Kompetenz-Prozess-Matrix'!K34)</f>
        <v>0</v>
      </c>
      <c r="G270" s="183">
        <f>PRODUCT('Rollen-Prozess-Matrix'!K30,'Kompetenz-Prozess-Matrix'!K34)</f>
        <v>0</v>
      </c>
      <c r="H270" s="183">
        <f>PRODUCT('Rollen-Prozess-Matrix'!L30,'Kompetenz-Prozess-Matrix'!K34)</f>
        <v>6</v>
      </c>
      <c r="I270" s="183">
        <f>PRODUCT('Rollen-Prozess-Matrix'!M30,'Kompetenz-Prozess-Matrix'!K34)</f>
        <v>2</v>
      </c>
      <c r="J270" s="183">
        <f>PRODUCT('Rollen-Prozess-Matrix'!N30,'Kompetenz-Prozess-Matrix'!K34)</f>
        <v>0</v>
      </c>
      <c r="K270" s="183">
        <f>PRODUCT('Rollen-Prozess-Matrix'!O30,'Kompetenz-Prozess-Matrix'!K34)</f>
        <v>0</v>
      </c>
      <c r="L270" s="183">
        <f>PRODUCT('Rollen-Prozess-Matrix'!P30,'Kompetenz-Prozess-Matrix'!K34)</f>
        <v>0</v>
      </c>
      <c r="M270" s="183">
        <f>PRODUCT('Rollen-Prozess-Matrix'!Q30,'Kompetenz-Prozess-Matrix'!K34)</f>
        <v>0</v>
      </c>
      <c r="N270" s="183">
        <f>PRODUCT('Rollen-Prozess-Matrix'!R30,'Kompetenz-Prozess-Matrix'!K34)</f>
        <v>4</v>
      </c>
      <c r="O270" s="183">
        <f>PRODUCT('Rollen-Prozess-Matrix'!S30,'Kompetenz-Prozess-Matrix'!K34)</f>
        <v>0</v>
      </c>
      <c r="P270" s="183">
        <f>PRODUCT('Rollen-Prozess-Matrix'!T30,'Kompetenz-Prozess-Matrix'!K34)</f>
        <v>0</v>
      </c>
      <c r="Q270" s="185">
        <f>PRODUCT('Rollen-Prozess-Matrix'!U30,'Kompetenz-Prozess-Matrix'!K34)</f>
        <v>0</v>
      </c>
    </row>
    <row r="271" spans="1:17" ht="38.65" hidden="1" outlineLevel="1" thickBot="1" x14ac:dyDescent="0.4">
      <c r="A271" s="333"/>
      <c r="B271" s="339"/>
      <c r="C271" s="180" t="s">
        <v>261</v>
      </c>
      <c r="D271" s="182">
        <f>PRODUCT('Rollen-Prozess-Matrix'!H31,'Kompetenz-Prozess-Matrix'!K35)</f>
        <v>4</v>
      </c>
      <c r="E271" s="183">
        <f>PRODUCT('Rollen-Prozess-Matrix'!I31,'Kompetenz-Prozess-Matrix'!K35)</f>
        <v>0</v>
      </c>
      <c r="F271" s="183">
        <f>PRODUCT('Rollen-Prozess-Matrix'!J31,'Kompetenz-Prozess-Matrix'!K35)</f>
        <v>0</v>
      </c>
      <c r="G271" s="183">
        <f>PRODUCT('Rollen-Prozess-Matrix'!K31,'Kompetenz-Prozess-Matrix'!K35)</f>
        <v>0</v>
      </c>
      <c r="H271" s="183">
        <f>PRODUCT('Rollen-Prozess-Matrix'!L31,'Kompetenz-Prozess-Matrix'!K35)</f>
        <v>6</v>
      </c>
      <c r="I271" s="183">
        <f>PRODUCT('Rollen-Prozess-Matrix'!M31,'Kompetenz-Prozess-Matrix'!K35)</f>
        <v>0</v>
      </c>
      <c r="J271" s="183">
        <f>PRODUCT('Rollen-Prozess-Matrix'!N31,'Kompetenz-Prozess-Matrix'!K35)</f>
        <v>0</v>
      </c>
      <c r="K271" s="183">
        <f>PRODUCT('Rollen-Prozess-Matrix'!O31,'Kompetenz-Prozess-Matrix'!K35)</f>
        <v>0</v>
      </c>
      <c r="L271" s="183">
        <f>PRODUCT('Rollen-Prozess-Matrix'!P31,'Kompetenz-Prozess-Matrix'!K35)</f>
        <v>0</v>
      </c>
      <c r="M271" s="183">
        <f>PRODUCT('Rollen-Prozess-Matrix'!Q31,'Kompetenz-Prozess-Matrix'!K35)</f>
        <v>0</v>
      </c>
      <c r="N271" s="183">
        <f>PRODUCT('Rollen-Prozess-Matrix'!R31,'Kompetenz-Prozess-Matrix'!K35)</f>
        <v>2</v>
      </c>
      <c r="O271" s="183">
        <f>PRODUCT('Rollen-Prozess-Matrix'!S31,'Kompetenz-Prozess-Matrix'!K35)</f>
        <v>0</v>
      </c>
      <c r="P271" s="183">
        <f>PRODUCT('Rollen-Prozess-Matrix'!T31,'Kompetenz-Prozess-Matrix'!K35)</f>
        <v>0</v>
      </c>
      <c r="Q271" s="185">
        <f>PRODUCT('Rollen-Prozess-Matrix'!U31,'Kompetenz-Prozess-Matrix'!K35)</f>
        <v>0</v>
      </c>
    </row>
    <row r="272" spans="1:17" ht="13.15" hidden="1" outlineLevel="1" thickBot="1" x14ac:dyDescent="0.4">
      <c r="A272" s="333"/>
      <c r="B272" s="339"/>
      <c r="C272" s="180" t="s">
        <v>264</v>
      </c>
      <c r="D272" s="182">
        <f>PRODUCT('Rollen-Prozess-Matrix'!H32,'Kompetenz-Prozess-Matrix'!K36)</f>
        <v>0</v>
      </c>
      <c r="E272" s="183">
        <f>PRODUCT('Rollen-Prozess-Matrix'!I32,'Kompetenz-Prozess-Matrix'!K36)</f>
        <v>0</v>
      </c>
      <c r="F272" s="183">
        <f>PRODUCT('Rollen-Prozess-Matrix'!J32,'Kompetenz-Prozess-Matrix'!K36)</f>
        <v>0</v>
      </c>
      <c r="G272" s="183">
        <f>PRODUCT('Rollen-Prozess-Matrix'!K32,'Kompetenz-Prozess-Matrix'!K36)</f>
        <v>4</v>
      </c>
      <c r="H272" s="183">
        <f>PRODUCT('Rollen-Prozess-Matrix'!L32,'Kompetenz-Prozess-Matrix'!K36)</f>
        <v>2</v>
      </c>
      <c r="I272" s="183">
        <f>PRODUCT('Rollen-Prozess-Matrix'!M32,'Kompetenz-Prozess-Matrix'!K36)</f>
        <v>0</v>
      </c>
      <c r="J272" s="183">
        <f>PRODUCT('Rollen-Prozess-Matrix'!N32,'Kompetenz-Prozess-Matrix'!K36)</f>
        <v>0</v>
      </c>
      <c r="K272" s="183">
        <f>PRODUCT('Rollen-Prozess-Matrix'!O32,'Kompetenz-Prozess-Matrix'!K36)</f>
        <v>0</v>
      </c>
      <c r="L272" s="183">
        <f>PRODUCT('Rollen-Prozess-Matrix'!P32,'Kompetenz-Prozess-Matrix'!K36)</f>
        <v>0</v>
      </c>
      <c r="M272" s="183">
        <f>PRODUCT('Rollen-Prozess-Matrix'!Q32,'Kompetenz-Prozess-Matrix'!K36)</f>
        <v>0</v>
      </c>
      <c r="N272" s="183">
        <f>PRODUCT('Rollen-Prozess-Matrix'!R32,'Kompetenz-Prozess-Matrix'!K36)</f>
        <v>0</v>
      </c>
      <c r="O272" s="183">
        <f>PRODUCT('Rollen-Prozess-Matrix'!S32,'Kompetenz-Prozess-Matrix'!K36)</f>
        <v>0</v>
      </c>
      <c r="P272" s="183">
        <f>PRODUCT('Rollen-Prozess-Matrix'!T32,'Kompetenz-Prozess-Matrix'!K36)</f>
        <v>0</v>
      </c>
      <c r="Q272" s="185">
        <f>PRODUCT('Rollen-Prozess-Matrix'!U32,'Kompetenz-Prozess-Matrix'!K36)</f>
        <v>0</v>
      </c>
    </row>
    <row r="273" spans="1:19" ht="13.15" hidden="1" outlineLevel="1" thickBot="1" x14ac:dyDescent="0.4">
      <c r="A273" s="333"/>
      <c r="B273" s="339"/>
      <c r="C273" s="180" t="s">
        <v>266</v>
      </c>
      <c r="D273" s="182">
        <f>PRODUCT('Rollen-Prozess-Matrix'!H33,'Kompetenz-Prozess-Matrix'!K37)</f>
        <v>0</v>
      </c>
      <c r="E273" s="183">
        <f>PRODUCT('Rollen-Prozess-Matrix'!I33,'Kompetenz-Prozess-Matrix'!K37)</f>
        <v>0</v>
      </c>
      <c r="F273" s="183">
        <f>PRODUCT('Rollen-Prozess-Matrix'!J33,'Kompetenz-Prozess-Matrix'!K37)</f>
        <v>0</v>
      </c>
      <c r="G273" s="183">
        <f>PRODUCT('Rollen-Prozess-Matrix'!K33,'Kompetenz-Prozess-Matrix'!K37)</f>
        <v>0</v>
      </c>
      <c r="H273" s="183">
        <f>PRODUCT('Rollen-Prozess-Matrix'!L33,'Kompetenz-Prozess-Matrix'!K37)</f>
        <v>0</v>
      </c>
      <c r="I273" s="183">
        <f>PRODUCT('Rollen-Prozess-Matrix'!M33,'Kompetenz-Prozess-Matrix'!K37)</f>
        <v>0</v>
      </c>
      <c r="J273" s="183">
        <f>PRODUCT('Rollen-Prozess-Matrix'!N33,'Kompetenz-Prozess-Matrix'!K37)</f>
        <v>0</v>
      </c>
      <c r="K273" s="183">
        <f>PRODUCT('Rollen-Prozess-Matrix'!O33,'Kompetenz-Prozess-Matrix'!K37)</f>
        <v>0</v>
      </c>
      <c r="L273" s="183">
        <f>PRODUCT('Rollen-Prozess-Matrix'!P33,'Kompetenz-Prozess-Matrix'!K37)</f>
        <v>0</v>
      </c>
      <c r="M273" s="183">
        <f>PRODUCT('Rollen-Prozess-Matrix'!Q33,'Kompetenz-Prozess-Matrix'!K37)</f>
        <v>0</v>
      </c>
      <c r="N273" s="183">
        <f>PRODUCT('Rollen-Prozess-Matrix'!R33,'Kompetenz-Prozess-Matrix'!K37)</f>
        <v>0</v>
      </c>
      <c r="O273" s="183">
        <f>PRODUCT('Rollen-Prozess-Matrix'!S33,'Kompetenz-Prozess-Matrix'!K37)</f>
        <v>0</v>
      </c>
      <c r="P273" s="183">
        <f>PRODUCT('Rollen-Prozess-Matrix'!T33,'Kompetenz-Prozess-Matrix'!K37)</f>
        <v>0</v>
      </c>
      <c r="Q273" s="185">
        <f>PRODUCT('Rollen-Prozess-Matrix'!U33,'Kompetenz-Prozess-Matrix'!K37)</f>
        <v>0</v>
      </c>
    </row>
    <row r="274" spans="1:19" ht="13.15" hidden="1" outlineLevel="1" thickBot="1" x14ac:dyDescent="0.4">
      <c r="A274" s="333"/>
      <c r="B274" s="340"/>
      <c r="C274" s="181" t="s">
        <v>289</v>
      </c>
      <c r="D274" s="182">
        <f>PRODUCT('Rollen-Prozess-Matrix'!H34,'Kompetenz-Prozess-Matrix'!K38)</f>
        <v>0</v>
      </c>
      <c r="E274" s="183">
        <f>PRODUCT('Rollen-Prozess-Matrix'!I34,'Kompetenz-Prozess-Matrix'!K38)</f>
        <v>0</v>
      </c>
      <c r="F274" s="183">
        <f>PRODUCT('Rollen-Prozess-Matrix'!J34,'Kompetenz-Prozess-Matrix'!K38)</f>
        <v>0</v>
      </c>
      <c r="G274" s="183">
        <f>PRODUCT('Rollen-Prozess-Matrix'!K34,'Kompetenz-Prozess-Matrix'!K38)</f>
        <v>4</v>
      </c>
      <c r="H274" s="183">
        <f>PRODUCT('Rollen-Prozess-Matrix'!L34,'Kompetenz-Prozess-Matrix'!K38)</f>
        <v>0</v>
      </c>
      <c r="I274" s="183">
        <f>PRODUCT('Rollen-Prozess-Matrix'!M34,'Kompetenz-Prozess-Matrix'!K38)</f>
        <v>0</v>
      </c>
      <c r="J274" s="183">
        <f>PRODUCT('Rollen-Prozess-Matrix'!N34,'Kompetenz-Prozess-Matrix'!K38)</f>
        <v>0</v>
      </c>
      <c r="K274" s="183">
        <f>PRODUCT('Rollen-Prozess-Matrix'!O34,'Kompetenz-Prozess-Matrix'!K38)</f>
        <v>0</v>
      </c>
      <c r="L274" s="183">
        <f>PRODUCT('Rollen-Prozess-Matrix'!P34,'Kompetenz-Prozess-Matrix'!K38)</f>
        <v>0</v>
      </c>
      <c r="M274" s="183">
        <f>PRODUCT('Rollen-Prozess-Matrix'!Q34,'Kompetenz-Prozess-Matrix'!K38)</f>
        <v>0</v>
      </c>
      <c r="N274" s="183">
        <f>PRODUCT('Rollen-Prozess-Matrix'!R34,'Kompetenz-Prozess-Matrix'!K38)</f>
        <v>0</v>
      </c>
      <c r="O274" s="183">
        <f>PRODUCT('Rollen-Prozess-Matrix'!S34,'Kompetenz-Prozess-Matrix'!K38)</f>
        <v>0</v>
      </c>
      <c r="P274" s="183">
        <f>PRODUCT('Rollen-Prozess-Matrix'!T34,'Kompetenz-Prozess-Matrix'!K38)</f>
        <v>0</v>
      </c>
      <c r="Q274" s="185">
        <f>PRODUCT('Rollen-Prozess-Matrix'!U34,'Kompetenz-Prozess-Matrix'!K38)</f>
        <v>0</v>
      </c>
    </row>
    <row r="275" spans="1:19" ht="13.15" collapsed="1" thickBot="1" x14ac:dyDescent="0.4">
      <c r="A275" s="333"/>
      <c r="B275" s="338" t="s">
        <v>67</v>
      </c>
      <c r="C275" s="178"/>
      <c r="D275" s="184">
        <f>MAX(D276:D308)</f>
        <v>2</v>
      </c>
      <c r="E275" s="184">
        <f t="shared" ref="E275" si="92">MAX(E276:E308)</f>
        <v>4</v>
      </c>
      <c r="F275" s="184">
        <f t="shared" ref="F275" si="93">MAX(F276:F308)</f>
        <v>4</v>
      </c>
      <c r="G275" s="184">
        <f t="shared" ref="G275" si="94">MAX(G276:G308)</f>
        <v>4</v>
      </c>
      <c r="H275" s="184">
        <f t="shared" ref="H275" si="95">MAX(H276:H308)</f>
        <v>6</v>
      </c>
      <c r="I275" s="184">
        <f t="shared" ref="I275" si="96">MAX(I276:I308)</f>
        <v>4</v>
      </c>
      <c r="J275" s="184">
        <f t="shared" ref="J275" si="97">MAX(J276:J308)</f>
        <v>4</v>
      </c>
      <c r="K275" s="184">
        <f t="shared" ref="K275" si="98">MAX(K276:K308)</f>
        <v>2</v>
      </c>
      <c r="L275" s="184">
        <f t="shared" ref="L275" si="99">MAX(L276:L308)</f>
        <v>4</v>
      </c>
      <c r="M275" s="184">
        <f t="shared" ref="M275" si="100">MAX(M276:M308)</f>
        <v>2</v>
      </c>
      <c r="N275" s="184">
        <f t="shared" ref="N275" si="101">MAX(N276:N308)</f>
        <v>2</v>
      </c>
      <c r="O275" s="184">
        <f t="shared" ref="O275" si="102">MAX(O276:O308)</f>
        <v>2</v>
      </c>
      <c r="P275" s="184">
        <f t="shared" ref="P275" si="103">MAX(P276:P308)</f>
        <v>4</v>
      </c>
      <c r="Q275" s="199">
        <f t="shared" ref="Q275" si="104">MAX(Q276:Q308)</f>
        <v>2</v>
      </c>
      <c r="S275" s="213" t="s">
        <v>292</v>
      </c>
    </row>
    <row r="276" spans="1:19" hidden="1" outlineLevel="1" x14ac:dyDescent="0.35">
      <c r="A276" s="333"/>
      <c r="B276" s="339"/>
      <c r="C276" s="179" t="s">
        <v>123</v>
      </c>
      <c r="D276" s="182">
        <f>PRODUCT('Rollen-Prozess-Matrix'!H2,'Kompetenz-Prozess-Matrix'!L6)</f>
        <v>0</v>
      </c>
      <c r="E276" s="183">
        <f>PRODUCT('Rollen-Prozess-Matrix'!I2,'Kompetenz-Prozess-Matrix'!L6)</f>
        <v>0</v>
      </c>
      <c r="F276" s="183">
        <f>PRODUCT('Rollen-Prozess-Matrix'!J2,'Kompetenz-Prozess-Matrix'!L6)</f>
        <v>0</v>
      </c>
      <c r="G276" s="183">
        <f>PRODUCT('Rollen-Prozess-Matrix'!K2,'Kompetenz-Prozess-Matrix'!L6)</f>
        <v>0</v>
      </c>
      <c r="H276" s="183">
        <f>PRODUCT('Rollen-Prozess-Matrix'!L2,'Kompetenz-Prozess-Matrix'!L6)</f>
        <v>0</v>
      </c>
      <c r="I276" s="183">
        <f>PRODUCT('Rollen-Prozess-Matrix'!M2,'Kompetenz-Prozess-Matrix'!L6)</f>
        <v>0</v>
      </c>
      <c r="J276" s="183">
        <f>PRODUCT('Rollen-Prozess-Matrix'!N2,'Kompetenz-Prozess-Matrix'!L6)</f>
        <v>0</v>
      </c>
      <c r="K276" s="183">
        <f>PRODUCT('Rollen-Prozess-Matrix'!O2,'Kompetenz-Prozess-Matrix'!L6)</f>
        <v>0</v>
      </c>
      <c r="L276" s="183">
        <f>PRODUCT('Rollen-Prozess-Matrix'!P2,'Kompetenz-Prozess-Matrix'!L6)</f>
        <v>0</v>
      </c>
      <c r="M276" s="183">
        <f>PRODUCT('Rollen-Prozess-Matrix'!Q2,'Kompetenz-Prozess-Matrix'!L6)</f>
        <v>0</v>
      </c>
      <c r="N276" s="183">
        <f>PRODUCT('Rollen-Prozess-Matrix'!R2,'Kompetenz-Prozess-Matrix'!L6)</f>
        <v>0</v>
      </c>
      <c r="O276" s="183">
        <f>PRODUCT('Rollen-Prozess-Matrix'!S2,'Kompetenz-Prozess-Matrix'!L6)</f>
        <v>0</v>
      </c>
      <c r="P276" s="183">
        <f>PRODUCT('Rollen-Prozess-Matrix'!T2,'Kompetenz-Prozess-Matrix'!L6)</f>
        <v>0</v>
      </c>
      <c r="Q276" s="185">
        <f>PRODUCT('Rollen-Prozess-Matrix'!U2,'Kompetenz-Prozess-Matrix'!L6)</f>
        <v>0</v>
      </c>
    </row>
    <row r="277" spans="1:19" hidden="1" outlineLevel="1" x14ac:dyDescent="0.35">
      <c r="A277" s="333"/>
      <c r="B277" s="339"/>
      <c r="C277" s="180" t="s">
        <v>127</v>
      </c>
      <c r="D277" s="182">
        <f>PRODUCT('Rollen-Prozess-Matrix'!H3,'Kompetenz-Prozess-Matrix'!L7)</f>
        <v>0</v>
      </c>
      <c r="E277" s="183">
        <f>PRODUCT('Rollen-Prozess-Matrix'!I3,'Kompetenz-Prozess-Matrix'!L7)</f>
        <v>0</v>
      </c>
      <c r="F277" s="183">
        <f>PRODUCT('Rollen-Prozess-Matrix'!J3,'Kompetenz-Prozess-Matrix'!L7)</f>
        <v>0</v>
      </c>
      <c r="G277" s="183">
        <f>PRODUCT('Rollen-Prozess-Matrix'!K3,'Kompetenz-Prozess-Matrix'!L7)</f>
        <v>0</v>
      </c>
      <c r="H277" s="183">
        <f>PRODUCT('Rollen-Prozess-Matrix'!L3,'Kompetenz-Prozess-Matrix'!L7)</f>
        <v>0</v>
      </c>
      <c r="I277" s="183">
        <f>PRODUCT('Rollen-Prozess-Matrix'!M3,'Kompetenz-Prozess-Matrix'!L7)</f>
        <v>0</v>
      </c>
      <c r="J277" s="183">
        <f>PRODUCT('Rollen-Prozess-Matrix'!N3,'Kompetenz-Prozess-Matrix'!L7)</f>
        <v>0</v>
      </c>
      <c r="K277" s="183">
        <f>PRODUCT('Rollen-Prozess-Matrix'!O3,'Kompetenz-Prozess-Matrix'!L7)</f>
        <v>0</v>
      </c>
      <c r="L277" s="183">
        <f>PRODUCT('Rollen-Prozess-Matrix'!P3,'Kompetenz-Prozess-Matrix'!L7)</f>
        <v>0</v>
      </c>
      <c r="M277" s="183">
        <f>PRODUCT('Rollen-Prozess-Matrix'!Q3,'Kompetenz-Prozess-Matrix'!L7)</f>
        <v>0</v>
      </c>
      <c r="N277" s="183">
        <f>PRODUCT('Rollen-Prozess-Matrix'!R3,'Kompetenz-Prozess-Matrix'!L7)</f>
        <v>0</v>
      </c>
      <c r="O277" s="183">
        <f>PRODUCT('Rollen-Prozess-Matrix'!S3,'Kompetenz-Prozess-Matrix'!L7)</f>
        <v>0</v>
      </c>
      <c r="P277" s="183">
        <f>PRODUCT('Rollen-Prozess-Matrix'!T3,'Kompetenz-Prozess-Matrix'!L7)</f>
        <v>0</v>
      </c>
      <c r="Q277" s="185">
        <f>PRODUCT('Rollen-Prozess-Matrix'!U3,'Kompetenz-Prozess-Matrix'!L7)</f>
        <v>0</v>
      </c>
    </row>
    <row r="278" spans="1:19" ht="51" hidden="1" outlineLevel="1" x14ac:dyDescent="0.35">
      <c r="A278" s="333"/>
      <c r="B278" s="339"/>
      <c r="C278" s="180" t="s">
        <v>132</v>
      </c>
      <c r="D278" s="182">
        <f>PRODUCT('Rollen-Prozess-Matrix'!H4,'Kompetenz-Prozess-Matrix'!L8)</f>
        <v>0</v>
      </c>
      <c r="E278" s="183">
        <f>PRODUCT('Rollen-Prozess-Matrix'!I4,'Kompetenz-Prozess-Matrix'!L8)</f>
        <v>0</v>
      </c>
      <c r="F278" s="183">
        <f>PRODUCT('Rollen-Prozess-Matrix'!J4,'Kompetenz-Prozess-Matrix'!L8)</f>
        <v>0</v>
      </c>
      <c r="G278" s="183">
        <f>PRODUCT('Rollen-Prozess-Matrix'!K4,'Kompetenz-Prozess-Matrix'!L8)</f>
        <v>2</v>
      </c>
      <c r="H278" s="183">
        <f>PRODUCT('Rollen-Prozess-Matrix'!L4,'Kompetenz-Prozess-Matrix'!L8)</f>
        <v>6</v>
      </c>
      <c r="I278" s="183">
        <f>PRODUCT('Rollen-Prozess-Matrix'!M4,'Kompetenz-Prozess-Matrix'!L8)</f>
        <v>0</v>
      </c>
      <c r="J278" s="183">
        <f>PRODUCT('Rollen-Prozess-Matrix'!N4,'Kompetenz-Prozess-Matrix'!L8)</f>
        <v>0</v>
      </c>
      <c r="K278" s="183">
        <f>PRODUCT('Rollen-Prozess-Matrix'!O4,'Kompetenz-Prozess-Matrix'!L8)</f>
        <v>0</v>
      </c>
      <c r="L278" s="183">
        <f>PRODUCT('Rollen-Prozess-Matrix'!P4,'Kompetenz-Prozess-Matrix'!L8)</f>
        <v>0</v>
      </c>
      <c r="M278" s="183">
        <f>PRODUCT('Rollen-Prozess-Matrix'!Q4,'Kompetenz-Prozess-Matrix'!L8)</f>
        <v>0</v>
      </c>
      <c r="N278" s="183">
        <f>PRODUCT('Rollen-Prozess-Matrix'!R4,'Kompetenz-Prozess-Matrix'!L8)</f>
        <v>0</v>
      </c>
      <c r="O278" s="183">
        <f>PRODUCT('Rollen-Prozess-Matrix'!S4,'Kompetenz-Prozess-Matrix'!L8)</f>
        <v>0</v>
      </c>
      <c r="P278" s="183">
        <f>PRODUCT('Rollen-Prozess-Matrix'!T4,'Kompetenz-Prozess-Matrix'!L8)</f>
        <v>0</v>
      </c>
      <c r="Q278" s="185">
        <f>PRODUCT('Rollen-Prozess-Matrix'!U4,'Kompetenz-Prozess-Matrix'!L8)</f>
        <v>0</v>
      </c>
    </row>
    <row r="279" spans="1:19" ht="38.25" hidden="1" outlineLevel="1" x14ac:dyDescent="0.35">
      <c r="A279" s="333"/>
      <c r="B279" s="339"/>
      <c r="C279" s="180" t="s">
        <v>136</v>
      </c>
      <c r="D279" s="182">
        <f>PRODUCT('Rollen-Prozess-Matrix'!H5,'Kompetenz-Prozess-Matrix'!L9)</f>
        <v>0</v>
      </c>
      <c r="E279" s="183">
        <f>PRODUCT('Rollen-Prozess-Matrix'!I5,'Kompetenz-Prozess-Matrix'!L9)</f>
        <v>0</v>
      </c>
      <c r="F279" s="183">
        <f>PRODUCT('Rollen-Prozess-Matrix'!J5,'Kompetenz-Prozess-Matrix'!L9)</f>
        <v>0</v>
      </c>
      <c r="G279" s="183">
        <f>PRODUCT('Rollen-Prozess-Matrix'!K5,'Kompetenz-Prozess-Matrix'!L9)</f>
        <v>0</v>
      </c>
      <c r="H279" s="183">
        <f>PRODUCT('Rollen-Prozess-Matrix'!L5,'Kompetenz-Prozess-Matrix'!L9)</f>
        <v>0</v>
      </c>
      <c r="I279" s="183">
        <f>PRODUCT('Rollen-Prozess-Matrix'!M5,'Kompetenz-Prozess-Matrix'!L9)</f>
        <v>0</v>
      </c>
      <c r="J279" s="183">
        <f>PRODUCT('Rollen-Prozess-Matrix'!N5,'Kompetenz-Prozess-Matrix'!L9)</f>
        <v>0</v>
      </c>
      <c r="K279" s="183">
        <f>PRODUCT('Rollen-Prozess-Matrix'!O5,'Kompetenz-Prozess-Matrix'!L9)</f>
        <v>0</v>
      </c>
      <c r="L279" s="183">
        <f>PRODUCT('Rollen-Prozess-Matrix'!P5,'Kompetenz-Prozess-Matrix'!L9)</f>
        <v>0</v>
      </c>
      <c r="M279" s="183">
        <f>PRODUCT('Rollen-Prozess-Matrix'!Q5,'Kompetenz-Prozess-Matrix'!L9)</f>
        <v>0</v>
      </c>
      <c r="N279" s="183">
        <f>PRODUCT('Rollen-Prozess-Matrix'!R5,'Kompetenz-Prozess-Matrix'!L9)</f>
        <v>0</v>
      </c>
      <c r="O279" s="183">
        <f>PRODUCT('Rollen-Prozess-Matrix'!S5,'Kompetenz-Prozess-Matrix'!L9)</f>
        <v>0</v>
      </c>
      <c r="P279" s="183">
        <f>PRODUCT('Rollen-Prozess-Matrix'!T5,'Kompetenz-Prozess-Matrix'!L9)</f>
        <v>0</v>
      </c>
      <c r="Q279" s="185">
        <f>PRODUCT('Rollen-Prozess-Matrix'!U5,'Kompetenz-Prozess-Matrix'!L9)</f>
        <v>0</v>
      </c>
    </row>
    <row r="280" spans="1:19" ht="38.25" hidden="1" outlineLevel="1" x14ac:dyDescent="0.35">
      <c r="A280" s="333"/>
      <c r="B280" s="339"/>
      <c r="C280" s="180" t="s">
        <v>140</v>
      </c>
      <c r="D280" s="182">
        <f>PRODUCT('Rollen-Prozess-Matrix'!H6,'Kompetenz-Prozess-Matrix'!L10)</f>
        <v>0</v>
      </c>
      <c r="E280" s="183">
        <f>PRODUCT('Rollen-Prozess-Matrix'!I6,'Kompetenz-Prozess-Matrix'!L10)</f>
        <v>0</v>
      </c>
      <c r="F280" s="183">
        <f>PRODUCT('Rollen-Prozess-Matrix'!J6,'Kompetenz-Prozess-Matrix'!L10)</f>
        <v>0</v>
      </c>
      <c r="G280" s="183">
        <f>PRODUCT('Rollen-Prozess-Matrix'!K6,'Kompetenz-Prozess-Matrix'!L10)</f>
        <v>0</v>
      </c>
      <c r="H280" s="183">
        <f>PRODUCT('Rollen-Prozess-Matrix'!L6,'Kompetenz-Prozess-Matrix'!L10)</f>
        <v>0</v>
      </c>
      <c r="I280" s="183">
        <f>PRODUCT('Rollen-Prozess-Matrix'!M6,'Kompetenz-Prozess-Matrix'!L10)</f>
        <v>0</v>
      </c>
      <c r="J280" s="183">
        <f>PRODUCT('Rollen-Prozess-Matrix'!N6,'Kompetenz-Prozess-Matrix'!L10)</f>
        <v>0</v>
      </c>
      <c r="K280" s="183">
        <f>PRODUCT('Rollen-Prozess-Matrix'!O6,'Kompetenz-Prozess-Matrix'!L10)</f>
        <v>0</v>
      </c>
      <c r="L280" s="183">
        <f>PRODUCT('Rollen-Prozess-Matrix'!P6,'Kompetenz-Prozess-Matrix'!L10)</f>
        <v>0</v>
      </c>
      <c r="M280" s="183">
        <f>PRODUCT('Rollen-Prozess-Matrix'!Q6,'Kompetenz-Prozess-Matrix'!L10)</f>
        <v>0</v>
      </c>
      <c r="N280" s="183">
        <f>PRODUCT('Rollen-Prozess-Matrix'!R6,'Kompetenz-Prozess-Matrix'!L10)</f>
        <v>0</v>
      </c>
      <c r="O280" s="183">
        <f>PRODUCT('Rollen-Prozess-Matrix'!S6,'Kompetenz-Prozess-Matrix'!L10)</f>
        <v>0</v>
      </c>
      <c r="P280" s="183">
        <f>PRODUCT('Rollen-Prozess-Matrix'!T6,'Kompetenz-Prozess-Matrix'!L10)</f>
        <v>0</v>
      </c>
      <c r="Q280" s="185">
        <f>PRODUCT('Rollen-Prozess-Matrix'!U6,'Kompetenz-Prozess-Matrix'!L10)</f>
        <v>0</v>
      </c>
    </row>
    <row r="281" spans="1:19" ht="38.25" hidden="1" outlineLevel="1" x14ac:dyDescent="0.35">
      <c r="A281" s="333"/>
      <c r="B281" s="339"/>
      <c r="C281" s="180" t="s">
        <v>144</v>
      </c>
      <c r="D281" s="182">
        <f>PRODUCT('Rollen-Prozess-Matrix'!H7,'Kompetenz-Prozess-Matrix'!L11)</f>
        <v>0</v>
      </c>
      <c r="E281" s="183">
        <f>PRODUCT('Rollen-Prozess-Matrix'!I7,'Kompetenz-Prozess-Matrix'!L11)</f>
        <v>0</v>
      </c>
      <c r="F281" s="183">
        <f>PRODUCT('Rollen-Prozess-Matrix'!J7,'Kompetenz-Prozess-Matrix'!L11)</f>
        <v>0</v>
      </c>
      <c r="G281" s="183">
        <f>PRODUCT('Rollen-Prozess-Matrix'!K7,'Kompetenz-Prozess-Matrix'!L11)</f>
        <v>0</v>
      </c>
      <c r="H281" s="183">
        <f>PRODUCT('Rollen-Prozess-Matrix'!L7,'Kompetenz-Prozess-Matrix'!L11)</f>
        <v>0</v>
      </c>
      <c r="I281" s="183">
        <f>PRODUCT('Rollen-Prozess-Matrix'!M7,'Kompetenz-Prozess-Matrix'!L11)</f>
        <v>0</v>
      </c>
      <c r="J281" s="183">
        <f>PRODUCT('Rollen-Prozess-Matrix'!N7,'Kompetenz-Prozess-Matrix'!L11)</f>
        <v>0</v>
      </c>
      <c r="K281" s="183">
        <f>PRODUCT('Rollen-Prozess-Matrix'!O7,'Kompetenz-Prozess-Matrix'!L11)</f>
        <v>0</v>
      </c>
      <c r="L281" s="183">
        <f>PRODUCT('Rollen-Prozess-Matrix'!P7,'Kompetenz-Prozess-Matrix'!L11)</f>
        <v>0</v>
      </c>
      <c r="M281" s="183">
        <f>PRODUCT('Rollen-Prozess-Matrix'!Q7,'Kompetenz-Prozess-Matrix'!L11)</f>
        <v>0</v>
      </c>
      <c r="N281" s="183">
        <f>PRODUCT('Rollen-Prozess-Matrix'!R7,'Kompetenz-Prozess-Matrix'!L11)</f>
        <v>0</v>
      </c>
      <c r="O281" s="183">
        <f>PRODUCT('Rollen-Prozess-Matrix'!S7,'Kompetenz-Prozess-Matrix'!L11)</f>
        <v>0</v>
      </c>
      <c r="P281" s="183">
        <f>PRODUCT('Rollen-Prozess-Matrix'!T7,'Kompetenz-Prozess-Matrix'!L11)</f>
        <v>0</v>
      </c>
      <c r="Q281" s="185">
        <f>PRODUCT('Rollen-Prozess-Matrix'!U7,'Kompetenz-Prozess-Matrix'!L11)</f>
        <v>0</v>
      </c>
    </row>
    <row r="282" spans="1:19" ht="38.25" hidden="1" outlineLevel="1" x14ac:dyDescent="0.35">
      <c r="A282" s="333"/>
      <c r="B282" s="339"/>
      <c r="C282" s="180" t="s">
        <v>148</v>
      </c>
      <c r="D282" s="182">
        <f>PRODUCT('Rollen-Prozess-Matrix'!H8,'Kompetenz-Prozess-Matrix'!L12)</f>
        <v>0</v>
      </c>
      <c r="E282" s="183">
        <f>PRODUCT('Rollen-Prozess-Matrix'!I8,'Kompetenz-Prozess-Matrix'!L12)</f>
        <v>0</v>
      </c>
      <c r="F282" s="183">
        <f>PRODUCT('Rollen-Prozess-Matrix'!J8,'Kompetenz-Prozess-Matrix'!L12)</f>
        <v>0</v>
      </c>
      <c r="G282" s="183">
        <f>PRODUCT('Rollen-Prozess-Matrix'!K8,'Kompetenz-Prozess-Matrix'!L12)</f>
        <v>0</v>
      </c>
      <c r="H282" s="183">
        <f>PRODUCT('Rollen-Prozess-Matrix'!L8,'Kompetenz-Prozess-Matrix'!L12)</f>
        <v>0</v>
      </c>
      <c r="I282" s="183">
        <f>PRODUCT('Rollen-Prozess-Matrix'!M8,'Kompetenz-Prozess-Matrix'!L12)</f>
        <v>0</v>
      </c>
      <c r="J282" s="183">
        <f>PRODUCT('Rollen-Prozess-Matrix'!N8,'Kompetenz-Prozess-Matrix'!L12)</f>
        <v>0</v>
      </c>
      <c r="K282" s="183">
        <f>PRODUCT('Rollen-Prozess-Matrix'!O8,'Kompetenz-Prozess-Matrix'!L12)</f>
        <v>0</v>
      </c>
      <c r="L282" s="183">
        <f>PRODUCT('Rollen-Prozess-Matrix'!P8,'Kompetenz-Prozess-Matrix'!L12)</f>
        <v>0</v>
      </c>
      <c r="M282" s="183">
        <f>PRODUCT('Rollen-Prozess-Matrix'!Q8,'Kompetenz-Prozess-Matrix'!L12)</f>
        <v>0</v>
      </c>
      <c r="N282" s="183">
        <f>PRODUCT('Rollen-Prozess-Matrix'!R8,'Kompetenz-Prozess-Matrix'!L12)</f>
        <v>0</v>
      </c>
      <c r="O282" s="183">
        <f>PRODUCT('Rollen-Prozess-Matrix'!S8,'Kompetenz-Prozess-Matrix'!L12)</f>
        <v>0</v>
      </c>
      <c r="P282" s="183">
        <f>PRODUCT('Rollen-Prozess-Matrix'!T8,'Kompetenz-Prozess-Matrix'!L12)</f>
        <v>0</v>
      </c>
      <c r="Q282" s="185">
        <f>PRODUCT('Rollen-Prozess-Matrix'!U8,'Kompetenz-Prozess-Matrix'!L12)</f>
        <v>0</v>
      </c>
    </row>
    <row r="283" spans="1:19" ht="38.25" hidden="1" outlineLevel="1" x14ac:dyDescent="0.35">
      <c r="A283" s="333"/>
      <c r="B283" s="339"/>
      <c r="C283" s="180" t="s">
        <v>152</v>
      </c>
      <c r="D283" s="182">
        <f>PRODUCT('Rollen-Prozess-Matrix'!H9,'Kompetenz-Prozess-Matrix'!L13)</f>
        <v>0</v>
      </c>
      <c r="E283" s="183">
        <f>PRODUCT('Rollen-Prozess-Matrix'!I9,'Kompetenz-Prozess-Matrix'!L13)</f>
        <v>0</v>
      </c>
      <c r="F283" s="183">
        <f>PRODUCT('Rollen-Prozess-Matrix'!J9,'Kompetenz-Prozess-Matrix'!L13)</f>
        <v>0</v>
      </c>
      <c r="G283" s="183">
        <f>PRODUCT('Rollen-Prozess-Matrix'!K9,'Kompetenz-Prozess-Matrix'!L13)</f>
        <v>0</v>
      </c>
      <c r="H283" s="183">
        <f>PRODUCT('Rollen-Prozess-Matrix'!L9,'Kompetenz-Prozess-Matrix'!L13)</f>
        <v>0</v>
      </c>
      <c r="I283" s="183">
        <f>PRODUCT('Rollen-Prozess-Matrix'!M9,'Kompetenz-Prozess-Matrix'!L13)</f>
        <v>0</v>
      </c>
      <c r="J283" s="183">
        <f>PRODUCT('Rollen-Prozess-Matrix'!N9,'Kompetenz-Prozess-Matrix'!L13)</f>
        <v>0</v>
      </c>
      <c r="K283" s="183">
        <f>PRODUCT('Rollen-Prozess-Matrix'!O9,'Kompetenz-Prozess-Matrix'!L13)</f>
        <v>0</v>
      </c>
      <c r="L283" s="183">
        <f>PRODUCT('Rollen-Prozess-Matrix'!P9,'Kompetenz-Prozess-Matrix'!L13)</f>
        <v>0</v>
      </c>
      <c r="M283" s="183">
        <f>PRODUCT('Rollen-Prozess-Matrix'!Q9,'Kompetenz-Prozess-Matrix'!L13)</f>
        <v>0</v>
      </c>
      <c r="N283" s="183">
        <f>PRODUCT('Rollen-Prozess-Matrix'!R9,'Kompetenz-Prozess-Matrix'!L13)</f>
        <v>0</v>
      </c>
      <c r="O283" s="183">
        <f>PRODUCT('Rollen-Prozess-Matrix'!S9,'Kompetenz-Prozess-Matrix'!L13)</f>
        <v>0</v>
      </c>
      <c r="P283" s="183">
        <f>PRODUCT('Rollen-Prozess-Matrix'!T9,'Kompetenz-Prozess-Matrix'!L13)</f>
        <v>0</v>
      </c>
      <c r="Q283" s="185">
        <f>PRODUCT('Rollen-Prozess-Matrix'!U9,'Kompetenz-Prozess-Matrix'!L13)</f>
        <v>0</v>
      </c>
    </row>
    <row r="284" spans="1:19" ht="38.25" hidden="1" outlineLevel="1" x14ac:dyDescent="0.35">
      <c r="A284" s="333"/>
      <c r="B284" s="339"/>
      <c r="C284" s="180" t="s">
        <v>157</v>
      </c>
      <c r="D284" s="182">
        <f>PRODUCT('Rollen-Prozess-Matrix'!H10,'Kompetenz-Prozess-Matrix'!L14)</f>
        <v>0</v>
      </c>
      <c r="E284" s="183">
        <f>PRODUCT('Rollen-Prozess-Matrix'!I10,'Kompetenz-Prozess-Matrix'!L14)</f>
        <v>0</v>
      </c>
      <c r="F284" s="183">
        <f>PRODUCT('Rollen-Prozess-Matrix'!J10,'Kompetenz-Prozess-Matrix'!L14)</f>
        <v>4</v>
      </c>
      <c r="G284" s="183">
        <f>PRODUCT('Rollen-Prozess-Matrix'!K10,'Kompetenz-Prozess-Matrix'!L14)</f>
        <v>0</v>
      </c>
      <c r="H284" s="183">
        <f>PRODUCT('Rollen-Prozess-Matrix'!L10,'Kompetenz-Prozess-Matrix'!L14)</f>
        <v>6</v>
      </c>
      <c r="I284" s="183">
        <f>PRODUCT('Rollen-Prozess-Matrix'!M10,'Kompetenz-Prozess-Matrix'!L14)</f>
        <v>0</v>
      </c>
      <c r="J284" s="183">
        <f>PRODUCT('Rollen-Prozess-Matrix'!N10,'Kompetenz-Prozess-Matrix'!L14)</f>
        <v>0</v>
      </c>
      <c r="K284" s="183">
        <f>PRODUCT('Rollen-Prozess-Matrix'!O10,'Kompetenz-Prozess-Matrix'!L14)</f>
        <v>0</v>
      </c>
      <c r="L284" s="183">
        <f>PRODUCT('Rollen-Prozess-Matrix'!P10,'Kompetenz-Prozess-Matrix'!L14)</f>
        <v>0</v>
      </c>
      <c r="M284" s="183">
        <f>PRODUCT('Rollen-Prozess-Matrix'!Q10,'Kompetenz-Prozess-Matrix'!L14)</f>
        <v>0</v>
      </c>
      <c r="N284" s="183">
        <f>PRODUCT('Rollen-Prozess-Matrix'!R10,'Kompetenz-Prozess-Matrix'!L14)</f>
        <v>0</v>
      </c>
      <c r="O284" s="183">
        <f>PRODUCT('Rollen-Prozess-Matrix'!S10,'Kompetenz-Prozess-Matrix'!L14)</f>
        <v>0</v>
      </c>
      <c r="P284" s="183">
        <f>PRODUCT('Rollen-Prozess-Matrix'!T10,'Kompetenz-Prozess-Matrix'!L14)</f>
        <v>0</v>
      </c>
      <c r="Q284" s="185">
        <f>PRODUCT('Rollen-Prozess-Matrix'!U10,'Kompetenz-Prozess-Matrix'!L14)</f>
        <v>0</v>
      </c>
    </row>
    <row r="285" spans="1:19" ht="38.25" hidden="1" outlineLevel="1" x14ac:dyDescent="0.35">
      <c r="A285" s="333"/>
      <c r="B285" s="339"/>
      <c r="C285" s="180" t="s">
        <v>161</v>
      </c>
      <c r="D285" s="182">
        <f>PRODUCT('Rollen-Prozess-Matrix'!H11,'Kompetenz-Prozess-Matrix'!L15)</f>
        <v>0</v>
      </c>
      <c r="E285" s="183">
        <f>PRODUCT('Rollen-Prozess-Matrix'!I11,'Kompetenz-Prozess-Matrix'!L15)</f>
        <v>0</v>
      </c>
      <c r="F285" s="183">
        <f>PRODUCT('Rollen-Prozess-Matrix'!J11,'Kompetenz-Prozess-Matrix'!L15)</f>
        <v>4</v>
      </c>
      <c r="G285" s="183">
        <f>PRODUCT('Rollen-Prozess-Matrix'!K11,'Kompetenz-Prozess-Matrix'!L15)</f>
        <v>0</v>
      </c>
      <c r="H285" s="183">
        <f>PRODUCT('Rollen-Prozess-Matrix'!L11,'Kompetenz-Prozess-Matrix'!L15)</f>
        <v>6</v>
      </c>
      <c r="I285" s="183">
        <f>PRODUCT('Rollen-Prozess-Matrix'!M11,'Kompetenz-Prozess-Matrix'!L15)</f>
        <v>0</v>
      </c>
      <c r="J285" s="183">
        <f>PRODUCT('Rollen-Prozess-Matrix'!N11,'Kompetenz-Prozess-Matrix'!L15)</f>
        <v>0</v>
      </c>
      <c r="K285" s="183">
        <f>PRODUCT('Rollen-Prozess-Matrix'!O11,'Kompetenz-Prozess-Matrix'!L15)</f>
        <v>0</v>
      </c>
      <c r="L285" s="183">
        <f>PRODUCT('Rollen-Prozess-Matrix'!P11,'Kompetenz-Prozess-Matrix'!L15)</f>
        <v>0</v>
      </c>
      <c r="M285" s="183">
        <f>PRODUCT('Rollen-Prozess-Matrix'!Q11,'Kompetenz-Prozess-Matrix'!L15)</f>
        <v>0</v>
      </c>
      <c r="N285" s="183">
        <f>PRODUCT('Rollen-Prozess-Matrix'!R11,'Kompetenz-Prozess-Matrix'!L15)</f>
        <v>0</v>
      </c>
      <c r="O285" s="183">
        <f>PRODUCT('Rollen-Prozess-Matrix'!S11,'Kompetenz-Prozess-Matrix'!L15)</f>
        <v>0</v>
      </c>
      <c r="P285" s="183">
        <f>PRODUCT('Rollen-Prozess-Matrix'!T11,'Kompetenz-Prozess-Matrix'!L15)</f>
        <v>0</v>
      </c>
      <c r="Q285" s="185">
        <f>PRODUCT('Rollen-Prozess-Matrix'!U11,'Kompetenz-Prozess-Matrix'!L15)</f>
        <v>2</v>
      </c>
    </row>
    <row r="286" spans="1:19" ht="38.25" hidden="1" outlineLevel="1" x14ac:dyDescent="0.35">
      <c r="A286" s="333"/>
      <c r="B286" s="339"/>
      <c r="C286" s="180" t="s">
        <v>288</v>
      </c>
      <c r="D286" s="182">
        <f>PRODUCT('Rollen-Prozess-Matrix'!H12,'Kompetenz-Prozess-Matrix'!L16)</f>
        <v>0</v>
      </c>
      <c r="E286" s="183">
        <f>PRODUCT('Rollen-Prozess-Matrix'!I12,'Kompetenz-Prozess-Matrix'!L16)</f>
        <v>0</v>
      </c>
      <c r="F286" s="183">
        <f>PRODUCT('Rollen-Prozess-Matrix'!J12,'Kompetenz-Prozess-Matrix'!L16)</f>
        <v>0</v>
      </c>
      <c r="G286" s="183">
        <f>PRODUCT('Rollen-Prozess-Matrix'!K12,'Kompetenz-Prozess-Matrix'!L16)</f>
        <v>0</v>
      </c>
      <c r="H286" s="183">
        <f>PRODUCT('Rollen-Prozess-Matrix'!L12,'Kompetenz-Prozess-Matrix'!L16)</f>
        <v>0</v>
      </c>
      <c r="I286" s="183">
        <f>PRODUCT('Rollen-Prozess-Matrix'!M12,'Kompetenz-Prozess-Matrix'!L16)</f>
        <v>0</v>
      </c>
      <c r="J286" s="183">
        <f>PRODUCT('Rollen-Prozess-Matrix'!N12,'Kompetenz-Prozess-Matrix'!L16)</f>
        <v>0</v>
      </c>
      <c r="K286" s="183">
        <f>PRODUCT('Rollen-Prozess-Matrix'!O12,'Kompetenz-Prozess-Matrix'!L16)</f>
        <v>0</v>
      </c>
      <c r="L286" s="183">
        <f>PRODUCT('Rollen-Prozess-Matrix'!P12,'Kompetenz-Prozess-Matrix'!L16)</f>
        <v>0</v>
      </c>
      <c r="M286" s="183">
        <f>PRODUCT('Rollen-Prozess-Matrix'!Q12,'Kompetenz-Prozess-Matrix'!L16)</f>
        <v>0</v>
      </c>
      <c r="N286" s="183">
        <f>PRODUCT('Rollen-Prozess-Matrix'!R12,'Kompetenz-Prozess-Matrix'!L16)</f>
        <v>0</v>
      </c>
      <c r="O286" s="183">
        <f>PRODUCT('Rollen-Prozess-Matrix'!S12,'Kompetenz-Prozess-Matrix'!L16)</f>
        <v>0</v>
      </c>
      <c r="P286" s="183">
        <f>PRODUCT('Rollen-Prozess-Matrix'!T12,'Kompetenz-Prozess-Matrix'!L16)</f>
        <v>0</v>
      </c>
      <c r="Q286" s="185">
        <f>PRODUCT('Rollen-Prozess-Matrix'!U12,'Kompetenz-Prozess-Matrix'!L16)</f>
        <v>0</v>
      </c>
    </row>
    <row r="287" spans="1:19" ht="25.5" hidden="1" outlineLevel="1" x14ac:dyDescent="0.35">
      <c r="A287" s="333"/>
      <c r="B287" s="339"/>
      <c r="C287" s="180" t="s">
        <v>169</v>
      </c>
      <c r="D287" s="182">
        <f>PRODUCT('Rollen-Prozess-Matrix'!H13,'Kompetenz-Prozess-Matrix'!L17)</f>
        <v>0</v>
      </c>
      <c r="E287" s="183">
        <f>PRODUCT('Rollen-Prozess-Matrix'!I13,'Kompetenz-Prozess-Matrix'!L17)</f>
        <v>0</v>
      </c>
      <c r="F287" s="183">
        <f>PRODUCT('Rollen-Prozess-Matrix'!J13,'Kompetenz-Prozess-Matrix'!L17)</f>
        <v>0</v>
      </c>
      <c r="G287" s="183">
        <f>PRODUCT('Rollen-Prozess-Matrix'!K13,'Kompetenz-Prozess-Matrix'!L17)</f>
        <v>0</v>
      </c>
      <c r="H287" s="183">
        <f>PRODUCT('Rollen-Prozess-Matrix'!L13,'Kompetenz-Prozess-Matrix'!L17)</f>
        <v>0</v>
      </c>
      <c r="I287" s="183">
        <f>PRODUCT('Rollen-Prozess-Matrix'!M13,'Kompetenz-Prozess-Matrix'!L17)</f>
        <v>0</v>
      </c>
      <c r="J287" s="183">
        <f>PRODUCT('Rollen-Prozess-Matrix'!N13,'Kompetenz-Prozess-Matrix'!L17)</f>
        <v>0</v>
      </c>
      <c r="K287" s="183">
        <f>PRODUCT('Rollen-Prozess-Matrix'!O13,'Kompetenz-Prozess-Matrix'!L17)</f>
        <v>0</v>
      </c>
      <c r="L287" s="183">
        <f>PRODUCT('Rollen-Prozess-Matrix'!P13,'Kompetenz-Prozess-Matrix'!L17)</f>
        <v>0</v>
      </c>
      <c r="M287" s="183">
        <f>PRODUCT('Rollen-Prozess-Matrix'!Q13,'Kompetenz-Prozess-Matrix'!L17)</f>
        <v>0</v>
      </c>
      <c r="N287" s="183">
        <f>PRODUCT('Rollen-Prozess-Matrix'!R13,'Kompetenz-Prozess-Matrix'!L17)</f>
        <v>0</v>
      </c>
      <c r="O287" s="183">
        <f>PRODUCT('Rollen-Prozess-Matrix'!S13,'Kompetenz-Prozess-Matrix'!L17)</f>
        <v>0</v>
      </c>
      <c r="P287" s="183">
        <f>PRODUCT('Rollen-Prozess-Matrix'!T13,'Kompetenz-Prozess-Matrix'!L17)</f>
        <v>0</v>
      </c>
      <c r="Q287" s="185">
        <f>PRODUCT('Rollen-Prozess-Matrix'!U13,'Kompetenz-Prozess-Matrix'!L17)</f>
        <v>0</v>
      </c>
    </row>
    <row r="288" spans="1:19" ht="63.75" hidden="1" outlineLevel="1" x14ac:dyDescent="0.35">
      <c r="A288" s="333"/>
      <c r="B288" s="339"/>
      <c r="C288" s="180" t="s">
        <v>173</v>
      </c>
      <c r="D288" s="182">
        <f>PRODUCT('Rollen-Prozess-Matrix'!H14,'Kompetenz-Prozess-Matrix'!L18)</f>
        <v>0</v>
      </c>
      <c r="E288" s="183">
        <f>PRODUCT('Rollen-Prozess-Matrix'!I14,'Kompetenz-Prozess-Matrix'!L18)</f>
        <v>0</v>
      </c>
      <c r="F288" s="183">
        <f>PRODUCT('Rollen-Prozess-Matrix'!J14,'Kompetenz-Prozess-Matrix'!L18)</f>
        <v>0</v>
      </c>
      <c r="G288" s="183">
        <f>PRODUCT('Rollen-Prozess-Matrix'!K14,'Kompetenz-Prozess-Matrix'!L18)</f>
        <v>0</v>
      </c>
      <c r="H288" s="183">
        <f>PRODUCT('Rollen-Prozess-Matrix'!L14,'Kompetenz-Prozess-Matrix'!L18)</f>
        <v>0</v>
      </c>
      <c r="I288" s="183">
        <f>PRODUCT('Rollen-Prozess-Matrix'!M14,'Kompetenz-Prozess-Matrix'!L18)</f>
        <v>0</v>
      </c>
      <c r="J288" s="183">
        <f>PRODUCT('Rollen-Prozess-Matrix'!N14,'Kompetenz-Prozess-Matrix'!L18)</f>
        <v>0</v>
      </c>
      <c r="K288" s="183">
        <f>PRODUCT('Rollen-Prozess-Matrix'!O14,'Kompetenz-Prozess-Matrix'!L18)</f>
        <v>0</v>
      </c>
      <c r="L288" s="183">
        <f>PRODUCT('Rollen-Prozess-Matrix'!P14,'Kompetenz-Prozess-Matrix'!L18)</f>
        <v>0</v>
      </c>
      <c r="M288" s="183">
        <f>PRODUCT('Rollen-Prozess-Matrix'!Q14,'Kompetenz-Prozess-Matrix'!L18)</f>
        <v>0</v>
      </c>
      <c r="N288" s="183">
        <f>PRODUCT('Rollen-Prozess-Matrix'!R14,'Kompetenz-Prozess-Matrix'!L18)</f>
        <v>0</v>
      </c>
      <c r="O288" s="183">
        <f>PRODUCT('Rollen-Prozess-Matrix'!S14,'Kompetenz-Prozess-Matrix'!L18)</f>
        <v>0</v>
      </c>
      <c r="P288" s="183">
        <f>PRODUCT('Rollen-Prozess-Matrix'!T14,'Kompetenz-Prozess-Matrix'!L18)</f>
        <v>0</v>
      </c>
      <c r="Q288" s="185">
        <f>PRODUCT('Rollen-Prozess-Matrix'!U14,'Kompetenz-Prozess-Matrix'!L18)</f>
        <v>0</v>
      </c>
    </row>
    <row r="289" spans="1:17" ht="38.25" hidden="1" outlineLevel="1" x14ac:dyDescent="0.35">
      <c r="A289" s="333"/>
      <c r="B289" s="339"/>
      <c r="C289" s="180" t="s">
        <v>177</v>
      </c>
      <c r="D289" s="182">
        <f>PRODUCT('Rollen-Prozess-Matrix'!H15,'Kompetenz-Prozess-Matrix'!L19)</f>
        <v>0</v>
      </c>
      <c r="E289" s="183">
        <f>PRODUCT('Rollen-Prozess-Matrix'!I15,'Kompetenz-Prozess-Matrix'!L19)</f>
        <v>0</v>
      </c>
      <c r="F289" s="183">
        <f>PRODUCT('Rollen-Prozess-Matrix'!J15,'Kompetenz-Prozess-Matrix'!L19)</f>
        <v>0</v>
      </c>
      <c r="G289" s="183">
        <f>PRODUCT('Rollen-Prozess-Matrix'!K15,'Kompetenz-Prozess-Matrix'!L19)</f>
        <v>0</v>
      </c>
      <c r="H289" s="183">
        <f>PRODUCT('Rollen-Prozess-Matrix'!L15,'Kompetenz-Prozess-Matrix'!L19)</f>
        <v>0</v>
      </c>
      <c r="I289" s="183">
        <f>PRODUCT('Rollen-Prozess-Matrix'!M15,'Kompetenz-Prozess-Matrix'!L19)</f>
        <v>0</v>
      </c>
      <c r="J289" s="183">
        <f>PRODUCT('Rollen-Prozess-Matrix'!N15,'Kompetenz-Prozess-Matrix'!L19)</f>
        <v>0</v>
      </c>
      <c r="K289" s="183">
        <f>PRODUCT('Rollen-Prozess-Matrix'!O15,'Kompetenz-Prozess-Matrix'!L19)</f>
        <v>0</v>
      </c>
      <c r="L289" s="183">
        <f>PRODUCT('Rollen-Prozess-Matrix'!P15,'Kompetenz-Prozess-Matrix'!L19)</f>
        <v>0</v>
      </c>
      <c r="M289" s="183">
        <f>PRODUCT('Rollen-Prozess-Matrix'!Q15,'Kompetenz-Prozess-Matrix'!L19)</f>
        <v>0</v>
      </c>
      <c r="N289" s="183">
        <f>PRODUCT('Rollen-Prozess-Matrix'!R15,'Kompetenz-Prozess-Matrix'!L19)</f>
        <v>0</v>
      </c>
      <c r="O289" s="183">
        <f>PRODUCT('Rollen-Prozess-Matrix'!S15,'Kompetenz-Prozess-Matrix'!L19)</f>
        <v>0</v>
      </c>
      <c r="P289" s="183">
        <f>PRODUCT('Rollen-Prozess-Matrix'!T15,'Kompetenz-Prozess-Matrix'!L19)</f>
        <v>0</v>
      </c>
      <c r="Q289" s="185">
        <f>PRODUCT('Rollen-Prozess-Matrix'!U15,'Kompetenz-Prozess-Matrix'!L19)</f>
        <v>0</v>
      </c>
    </row>
    <row r="290" spans="1:17" hidden="1" outlineLevel="1" x14ac:dyDescent="0.35">
      <c r="A290" s="333"/>
      <c r="B290" s="339"/>
      <c r="C290" s="180" t="s">
        <v>181</v>
      </c>
      <c r="D290" s="182">
        <f>PRODUCT('Rollen-Prozess-Matrix'!H16,'Kompetenz-Prozess-Matrix'!L20)</f>
        <v>0</v>
      </c>
      <c r="E290" s="183">
        <f>PRODUCT('Rollen-Prozess-Matrix'!I16,'Kompetenz-Prozess-Matrix'!L20)</f>
        <v>0</v>
      </c>
      <c r="F290" s="183">
        <f>PRODUCT('Rollen-Prozess-Matrix'!J16,'Kompetenz-Prozess-Matrix'!L20)</f>
        <v>0</v>
      </c>
      <c r="G290" s="183">
        <f>PRODUCT('Rollen-Prozess-Matrix'!K16,'Kompetenz-Prozess-Matrix'!L20)</f>
        <v>0</v>
      </c>
      <c r="H290" s="183">
        <f>PRODUCT('Rollen-Prozess-Matrix'!L16,'Kompetenz-Prozess-Matrix'!L20)</f>
        <v>0</v>
      </c>
      <c r="I290" s="183">
        <f>PRODUCT('Rollen-Prozess-Matrix'!M16,'Kompetenz-Prozess-Matrix'!L20)</f>
        <v>0</v>
      </c>
      <c r="J290" s="183">
        <f>PRODUCT('Rollen-Prozess-Matrix'!N16,'Kompetenz-Prozess-Matrix'!L20)</f>
        <v>0</v>
      </c>
      <c r="K290" s="183">
        <f>PRODUCT('Rollen-Prozess-Matrix'!O16,'Kompetenz-Prozess-Matrix'!L20)</f>
        <v>0</v>
      </c>
      <c r="L290" s="183">
        <f>PRODUCT('Rollen-Prozess-Matrix'!P16,'Kompetenz-Prozess-Matrix'!L20)</f>
        <v>0</v>
      </c>
      <c r="M290" s="183">
        <f>PRODUCT('Rollen-Prozess-Matrix'!Q16,'Kompetenz-Prozess-Matrix'!L20)</f>
        <v>0</v>
      </c>
      <c r="N290" s="183">
        <f>PRODUCT('Rollen-Prozess-Matrix'!R16,'Kompetenz-Prozess-Matrix'!L20)</f>
        <v>0</v>
      </c>
      <c r="O290" s="183">
        <f>PRODUCT('Rollen-Prozess-Matrix'!S16,'Kompetenz-Prozess-Matrix'!L20)</f>
        <v>0</v>
      </c>
      <c r="P290" s="183">
        <f>PRODUCT('Rollen-Prozess-Matrix'!T16,'Kompetenz-Prozess-Matrix'!L20)</f>
        <v>0</v>
      </c>
      <c r="Q290" s="185">
        <f>PRODUCT('Rollen-Prozess-Matrix'!U16,'Kompetenz-Prozess-Matrix'!L20)</f>
        <v>0</v>
      </c>
    </row>
    <row r="291" spans="1:17" ht="38.25" hidden="1" outlineLevel="1" x14ac:dyDescent="0.35">
      <c r="A291" s="333"/>
      <c r="B291" s="339"/>
      <c r="C291" s="180" t="s">
        <v>185</v>
      </c>
      <c r="D291" s="182">
        <f>PRODUCT('Rollen-Prozess-Matrix'!H17,'Kompetenz-Prozess-Matrix'!L21)</f>
        <v>0</v>
      </c>
      <c r="E291" s="183">
        <f>PRODUCT('Rollen-Prozess-Matrix'!I17,'Kompetenz-Prozess-Matrix'!L21)</f>
        <v>0</v>
      </c>
      <c r="F291" s="183">
        <f>PRODUCT('Rollen-Prozess-Matrix'!J17,'Kompetenz-Prozess-Matrix'!L21)</f>
        <v>0</v>
      </c>
      <c r="G291" s="183">
        <f>PRODUCT('Rollen-Prozess-Matrix'!K17,'Kompetenz-Prozess-Matrix'!L21)</f>
        <v>0</v>
      </c>
      <c r="H291" s="183">
        <f>PRODUCT('Rollen-Prozess-Matrix'!L17,'Kompetenz-Prozess-Matrix'!L21)</f>
        <v>0</v>
      </c>
      <c r="I291" s="183">
        <f>PRODUCT('Rollen-Prozess-Matrix'!M17,'Kompetenz-Prozess-Matrix'!L21)</f>
        <v>0</v>
      </c>
      <c r="J291" s="183">
        <f>PRODUCT('Rollen-Prozess-Matrix'!N17,'Kompetenz-Prozess-Matrix'!L21)</f>
        <v>0</v>
      </c>
      <c r="K291" s="183">
        <f>PRODUCT('Rollen-Prozess-Matrix'!O17,'Kompetenz-Prozess-Matrix'!L21)</f>
        <v>0</v>
      </c>
      <c r="L291" s="183">
        <f>PRODUCT('Rollen-Prozess-Matrix'!P17,'Kompetenz-Prozess-Matrix'!L21)</f>
        <v>0</v>
      </c>
      <c r="M291" s="183">
        <f>PRODUCT('Rollen-Prozess-Matrix'!Q17,'Kompetenz-Prozess-Matrix'!L21)</f>
        <v>0</v>
      </c>
      <c r="N291" s="183">
        <f>PRODUCT('Rollen-Prozess-Matrix'!R17,'Kompetenz-Prozess-Matrix'!L21)</f>
        <v>0</v>
      </c>
      <c r="O291" s="183">
        <f>PRODUCT('Rollen-Prozess-Matrix'!S17,'Kompetenz-Prozess-Matrix'!L21)</f>
        <v>0</v>
      </c>
      <c r="P291" s="183">
        <f>PRODUCT('Rollen-Prozess-Matrix'!T17,'Kompetenz-Prozess-Matrix'!L21)</f>
        <v>0</v>
      </c>
      <c r="Q291" s="185">
        <f>PRODUCT('Rollen-Prozess-Matrix'!U17,'Kompetenz-Prozess-Matrix'!L21)</f>
        <v>0</v>
      </c>
    </row>
    <row r="292" spans="1:17" ht="51" hidden="1" outlineLevel="1" x14ac:dyDescent="0.35">
      <c r="A292" s="333"/>
      <c r="B292" s="339"/>
      <c r="C292" s="180" t="s">
        <v>190</v>
      </c>
      <c r="D292" s="182">
        <f>PRODUCT('Rollen-Prozess-Matrix'!H18,'Kompetenz-Prozess-Matrix'!L22)</f>
        <v>0</v>
      </c>
      <c r="E292" s="183">
        <f>PRODUCT('Rollen-Prozess-Matrix'!I18,'Kompetenz-Prozess-Matrix'!L22)</f>
        <v>4</v>
      </c>
      <c r="F292" s="183">
        <f>PRODUCT('Rollen-Prozess-Matrix'!J18,'Kompetenz-Prozess-Matrix'!L22)</f>
        <v>0</v>
      </c>
      <c r="G292" s="183">
        <f>PRODUCT('Rollen-Prozess-Matrix'!K18,'Kompetenz-Prozess-Matrix'!L22)</f>
        <v>0</v>
      </c>
      <c r="H292" s="183">
        <f>PRODUCT('Rollen-Prozess-Matrix'!L18,'Kompetenz-Prozess-Matrix'!L22)</f>
        <v>6</v>
      </c>
      <c r="I292" s="183">
        <f>PRODUCT('Rollen-Prozess-Matrix'!M18,'Kompetenz-Prozess-Matrix'!L22)</f>
        <v>0</v>
      </c>
      <c r="J292" s="183">
        <f>PRODUCT('Rollen-Prozess-Matrix'!N18,'Kompetenz-Prozess-Matrix'!L22)</f>
        <v>0</v>
      </c>
      <c r="K292" s="183">
        <f>PRODUCT('Rollen-Prozess-Matrix'!O18,'Kompetenz-Prozess-Matrix'!L22)</f>
        <v>0</v>
      </c>
      <c r="L292" s="183">
        <f>PRODUCT('Rollen-Prozess-Matrix'!P18,'Kompetenz-Prozess-Matrix'!L22)</f>
        <v>0</v>
      </c>
      <c r="M292" s="183">
        <f>PRODUCT('Rollen-Prozess-Matrix'!Q18,'Kompetenz-Prozess-Matrix'!L22)</f>
        <v>0</v>
      </c>
      <c r="N292" s="183">
        <f>PRODUCT('Rollen-Prozess-Matrix'!R18,'Kompetenz-Prozess-Matrix'!L22)</f>
        <v>0</v>
      </c>
      <c r="O292" s="183">
        <f>PRODUCT('Rollen-Prozess-Matrix'!S18,'Kompetenz-Prozess-Matrix'!L22)</f>
        <v>0</v>
      </c>
      <c r="P292" s="183">
        <f>PRODUCT('Rollen-Prozess-Matrix'!T18,'Kompetenz-Prozess-Matrix'!L22)</f>
        <v>4</v>
      </c>
      <c r="Q292" s="185">
        <f>PRODUCT('Rollen-Prozess-Matrix'!U18,'Kompetenz-Prozess-Matrix'!L22)</f>
        <v>2</v>
      </c>
    </row>
    <row r="293" spans="1:17" ht="63.75" hidden="1" outlineLevel="1" x14ac:dyDescent="0.35">
      <c r="A293" s="333"/>
      <c r="B293" s="339"/>
      <c r="C293" s="180" t="s">
        <v>194</v>
      </c>
      <c r="D293" s="182">
        <f>PRODUCT('Rollen-Prozess-Matrix'!H19,'Kompetenz-Prozess-Matrix'!L23)</f>
        <v>0</v>
      </c>
      <c r="E293" s="183">
        <f>PRODUCT('Rollen-Prozess-Matrix'!I19,'Kompetenz-Prozess-Matrix'!L23)</f>
        <v>4</v>
      </c>
      <c r="F293" s="183">
        <f>PRODUCT('Rollen-Prozess-Matrix'!J19,'Kompetenz-Prozess-Matrix'!L23)</f>
        <v>0</v>
      </c>
      <c r="G293" s="183">
        <f>PRODUCT('Rollen-Prozess-Matrix'!K19,'Kompetenz-Prozess-Matrix'!L23)</f>
        <v>0</v>
      </c>
      <c r="H293" s="183">
        <f>PRODUCT('Rollen-Prozess-Matrix'!L19,'Kompetenz-Prozess-Matrix'!L23)</f>
        <v>6</v>
      </c>
      <c r="I293" s="183">
        <f>PRODUCT('Rollen-Prozess-Matrix'!M19,'Kompetenz-Prozess-Matrix'!L23)</f>
        <v>2</v>
      </c>
      <c r="J293" s="183">
        <f>PRODUCT('Rollen-Prozess-Matrix'!N19,'Kompetenz-Prozess-Matrix'!L23)</f>
        <v>0</v>
      </c>
      <c r="K293" s="183">
        <f>PRODUCT('Rollen-Prozess-Matrix'!O19,'Kompetenz-Prozess-Matrix'!L23)</f>
        <v>0</v>
      </c>
      <c r="L293" s="183">
        <f>PRODUCT('Rollen-Prozess-Matrix'!P19,'Kompetenz-Prozess-Matrix'!L23)</f>
        <v>2</v>
      </c>
      <c r="M293" s="183">
        <f>PRODUCT('Rollen-Prozess-Matrix'!Q19,'Kompetenz-Prozess-Matrix'!L23)</f>
        <v>0</v>
      </c>
      <c r="N293" s="183">
        <f>PRODUCT('Rollen-Prozess-Matrix'!R19,'Kompetenz-Prozess-Matrix'!L23)</f>
        <v>0</v>
      </c>
      <c r="O293" s="183">
        <f>PRODUCT('Rollen-Prozess-Matrix'!S19,'Kompetenz-Prozess-Matrix'!L23)</f>
        <v>0</v>
      </c>
      <c r="P293" s="183">
        <f>PRODUCT('Rollen-Prozess-Matrix'!T19,'Kompetenz-Prozess-Matrix'!L23)</f>
        <v>0</v>
      </c>
      <c r="Q293" s="185">
        <f>PRODUCT('Rollen-Prozess-Matrix'!U19,'Kompetenz-Prozess-Matrix'!L23)</f>
        <v>0</v>
      </c>
    </row>
    <row r="294" spans="1:17" ht="63.75" hidden="1" outlineLevel="1" x14ac:dyDescent="0.35">
      <c r="A294" s="333"/>
      <c r="B294" s="339"/>
      <c r="C294" s="180" t="s">
        <v>201</v>
      </c>
      <c r="D294" s="182">
        <f>PRODUCT('Rollen-Prozess-Matrix'!H20,'Kompetenz-Prozess-Matrix'!L24)</f>
        <v>0</v>
      </c>
      <c r="E294" s="183">
        <f>PRODUCT('Rollen-Prozess-Matrix'!I20,'Kompetenz-Prozess-Matrix'!L24)</f>
        <v>4</v>
      </c>
      <c r="F294" s="183">
        <f>PRODUCT('Rollen-Prozess-Matrix'!J20,'Kompetenz-Prozess-Matrix'!L24)</f>
        <v>0</v>
      </c>
      <c r="G294" s="183">
        <f>PRODUCT('Rollen-Prozess-Matrix'!K20,'Kompetenz-Prozess-Matrix'!L24)</f>
        <v>0</v>
      </c>
      <c r="H294" s="183">
        <f>PRODUCT('Rollen-Prozess-Matrix'!L20,'Kompetenz-Prozess-Matrix'!L24)</f>
        <v>6</v>
      </c>
      <c r="I294" s="183">
        <f>PRODUCT('Rollen-Prozess-Matrix'!M20,'Kompetenz-Prozess-Matrix'!L24)</f>
        <v>4</v>
      </c>
      <c r="J294" s="183">
        <f>PRODUCT('Rollen-Prozess-Matrix'!N20,'Kompetenz-Prozess-Matrix'!L24)</f>
        <v>2</v>
      </c>
      <c r="K294" s="183">
        <f>PRODUCT('Rollen-Prozess-Matrix'!O20,'Kompetenz-Prozess-Matrix'!L24)</f>
        <v>0</v>
      </c>
      <c r="L294" s="183">
        <f>PRODUCT('Rollen-Prozess-Matrix'!P20,'Kompetenz-Prozess-Matrix'!L24)</f>
        <v>2</v>
      </c>
      <c r="M294" s="183">
        <f>PRODUCT('Rollen-Prozess-Matrix'!Q20,'Kompetenz-Prozess-Matrix'!L24)</f>
        <v>0</v>
      </c>
      <c r="N294" s="183">
        <f>PRODUCT('Rollen-Prozess-Matrix'!R20,'Kompetenz-Prozess-Matrix'!L24)</f>
        <v>0</v>
      </c>
      <c r="O294" s="183">
        <f>PRODUCT('Rollen-Prozess-Matrix'!S20,'Kompetenz-Prozess-Matrix'!L24)</f>
        <v>0</v>
      </c>
      <c r="P294" s="183">
        <f>PRODUCT('Rollen-Prozess-Matrix'!T20,'Kompetenz-Prozess-Matrix'!L24)</f>
        <v>0</v>
      </c>
      <c r="Q294" s="185">
        <f>PRODUCT('Rollen-Prozess-Matrix'!U20,'Kompetenz-Prozess-Matrix'!L24)</f>
        <v>0</v>
      </c>
    </row>
    <row r="295" spans="1:17" ht="51" hidden="1" outlineLevel="1" x14ac:dyDescent="0.35">
      <c r="A295" s="333"/>
      <c r="B295" s="339"/>
      <c r="C295" s="180" t="s">
        <v>205</v>
      </c>
      <c r="D295" s="182">
        <f>PRODUCT('Rollen-Prozess-Matrix'!H21,'Kompetenz-Prozess-Matrix'!L25)</f>
        <v>0</v>
      </c>
      <c r="E295" s="183">
        <f>PRODUCT('Rollen-Prozess-Matrix'!I21,'Kompetenz-Prozess-Matrix'!L25)</f>
        <v>2</v>
      </c>
      <c r="F295" s="183">
        <f>PRODUCT('Rollen-Prozess-Matrix'!J21,'Kompetenz-Prozess-Matrix'!L25)</f>
        <v>0</v>
      </c>
      <c r="G295" s="183">
        <f>PRODUCT('Rollen-Prozess-Matrix'!K21,'Kompetenz-Prozess-Matrix'!L25)</f>
        <v>0</v>
      </c>
      <c r="H295" s="183">
        <f>PRODUCT('Rollen-Prozess-Matrix'!L21,'Kompetenz-Prozess-Matrix'!L25)</f>
        <v>6</v>
      </c>
      <c r="I295" s="183">
        <f>PRODUCT('Rollen-Prozess-Matrix'!M21,'Kompetenz-Prozess-Matrix'!L25)</f>
        <v>4</v>
      </c>
      <c r="J295" s="183">
        <f>PRODUCT('Rollen-Prozess-Matrix'!N21,'Kompetenz-Prozess-Matrix'!L25)</f>
        <v>2</v>
      </c>
      <c r="K295" s="183">
        <f>PRODUCT('Rollen-Prozess-Matrix'!O21,'Kompetenz-Prozess-Matrix'!L25)</f>
        <v>0</v>
      </c>
      <c r="L295" s="183">
        <f>PRODUCT('Rollen-Prozess-Matrix'!P21,'Kompetenz-Prozess-Matrix'!L25)</f>
        <v>0</v>
      </c>
      <c r="M295" s="183">
        <f>PRODUCT('Rollen-Prozess-Matrix'!Q21,'Kompetenz-Prozess-Matrix'!L25)</f>
        <v>0</v>
      </c>
      <c r="N295" s="183">
        <f>PRODUCT('Rollen-Prozess-Matrix'!R21,'Kompetenz-Prozess-Matrix'!L25)</f>
        <v>0</v>
      </c>
      <c r="O295" s="183">
        <f>PRODUCT('Rollen-Prozess-Matrix'!S21,'Kompetenz-Prozess-Matrix'!L25)</f>
        <v>0</v>
      </c>
      <c r="P295" s="183">
        <f>PRODUCT('Rollen-Prozess-Matrix'!T21,'Kompetenz-Prozess-Matrix'!L25)</f>
        <v>0</v>
      </c>
      <c r="Q295" s="185">
        <f>PRODUCT('Rollen-Prozess-Matrix'!U21,'Kompetenz-Prozess-Matrix'!L25)</f>
        <v>0</v>
      </c>
    </row>
    <row r="296" spans="1:17" ht="38.25" hidden="1" outlineLevel="1" x14ac:dyDescent="0.35">
      <c r="A296" s="333"/>
      <c r="B296" s="339"/>
      <c r="C296" s="180" t="s">
        <v>209</v>
      </c>
      <c r="D296" s="182">
        <f>PRODUCT('Rollen-Prozess-Matrix'!H22,'Kompetenz-Prozess-Matrix'!L26)</f>
        <v>0</v>
      </c>
      <c r="E296" s="183">
        <f>PRODUCT('Rollen-Prozess-Matrix'!I22,'Kompetenz-Prozess-Matrix'!L26)</f>
        <v>2</v>
      </c>
      <c r="F296" s="183">
        <f>PRODUCT('Rollen-Prozess-Matrix'!J22,'Kompetenz-Prozess-Matrix'!L26)</f>
        <v>0</v>
      </c>
      <c r="G296" s="183">
        <f>PRODUCT('Rollen-Prozess-Matrix'!K22,'Kompetenz-Prozess-Matrix'!L26)</f>
        <v>0</v>
      </c>
      <c r="H296" s="183">
        <f>PRODUCT('Rollen-Prozess-Matrix'!L22,'Kompetenz-Prozess-Matrix'!L26)</f>
        <v>6</v>
      </c>
      <c r="I296" s="183">
        <f>PRODUCT('Rollen-Prozess-Matrix'!M22,'Kompetenz-Prozess-Matrix'!L26)</f>
        <v>4</v>
      </c>
      <c r="J296" s="183">
        <f>PRODUCT('Rollen-Prozess-Matrix'!N22,'Kompetenz-Prozess-Matrix'!L26)</f>
        <v>4</v>
      </c>
      <c r="K296" s="183">
        <f>PRODUCT('Rollen-Prozess-Matrix'!O22,'Kompetenz-Prozess-Matrix'!L26)</f>
        <v>0</v>
      </c>
      <c r="L296" s="183">
        <f>PRODUCT('Rollen-Prozess-Matrix'!P22,'Kompetenz-Prozess-Matrix'!L26)</f>
        <v>0</v>
      </c>
      <c r="M296" s="183">
        <f>PRODUCT('Rollen-Prozess-Matrix'!Q22,'Kompetenz-Prozess-Matrix'!L26)</f>
        <v>0</v>
      </c>
      <c r="N296" s="183">
        <f>PRODUCT('Rollen-Prozess-Matrix'!R22,'Kompetenz-Prozess-Matrix'!L26)</f>
        <v>0</v>
      </c>
      <c r="O296" s="183">
        <f>PRODUCT('Rollen-Prozess-Matrix'!S22,'Kompetenz-Prozess-Matrix'!L26)</f>
        <v>0</v>
      </c>
      <c r="P296" s="183">
        <f>PRODUCT('Rollen-Prozess-Matrix'!T22,'Kompetenz-Prozess-Matrix'!L26)</f>
        <v>0</v>
      </c>
      <c r="Q296" s="185">
        <f>PRODUCT('Rollen-Prozess-Matrix'!U22,'Kompetenz-Prozess-Matrix'!L26)</f>
        <v>0</v>
      </c>
    </row>
    <row r="297" spans="1:17" ht="38.25" hidden="1" outlineLevel="1" x14ac:dyDescent="0.35">
      <c r="A297" s="333"/>
      <c r="B297" s="339"/>
      <c r="C297" s="180" t="s">
        <v>213</v>
      </c>
      <c r="D297" s="182">
        <f>PRODUCT('Rollen-Prozess-Matrix'!H23,'Kompetenz-Prozess-Matrix'!L27)</f>
        <v>0</v>
      </c>
      <c r="E297" s="183">
        <f>PRODUCT('Rollen-Prozess-Matrix'!I23,'Kompetenz-Prozess-Matrix'!L27)</f>
        <v>0</v>
      </c>
      <c r="F297" s="183">
        <f>PRODUCT('Rollen-Prozess-Matrix'!J23,'Kompetenz-Prozess-Matrix'!L27)</f>
        <v>0</v>
      </c>
      <c r="G297" s="183">
        <f>PRODUCT('Rollen-Prozess-Matrix'!K23,'Kompetenz-Prozess-Matrix'!L27)</f>
        <v>0</v>
      </c>
      <c r="H297" s="183">
        <f>PRODUCT('Rollen-Prozess-Matrix'!L23,'Kompetenz-Prozess-Matrix'!L27)</f>
        <v>6</v>
      </c>
      <c r="I297" s="183">
        <f>PRODUCT('Rollen-Prozess-Matrix'!M23,'Kompetenz-Prozess-Matrix'!L27)</f>
        <v>2</v>
      </c>
      <c r="J297" s="183">
        <f>PRODUCT('Rollen-Prozess-Matrix'!N23,'Kompetenz-Prozess-Matrix'!L27)</f>
        <v>0</v>
      </c>
      <c r="K297" s="183">
        <f>PRODUCT('Rollen-Prozess-Matrix'!O23,'Kompetenz-Prozess-Matrix'!L27)</f>
        <v>0</v>
      </c>
      <c r="L297" s="183">
        <f>PRODUCT('Rollen-Prozess-Matrix'!P23,'Kompetenz-Prozess-Matrix'!L27)</f>
        <v>4</v>
      </c>
      <c r="M297" s="183">
        <f>PRODUCT('Rollen-Prozess-Matrix'!Q23,'Kompetenz-Prozess-Matrix'!L27)</f>
        <v>0</v>
      </c>
      <c r="N297" s="183">
        <f>PRODUCT('Rollen-Prozess-Matrix'!R23,'Kompetenz-Prozess-Matrix'!L27)</f>
        <v>0</v>
      </c>
      <c r="O297" s="183">
        <f>PRODUCT('Rollen-Prozess-Matrix'!S23,'Kompetenz-Prozess-Matrix'!L27)</f>
        <v>0</v>
      </c>
      <c r="P297" s="183">
        <f>PRODUCT('Rollen-Prozess-Matrix'!T23,'Kompetenz-Prozess-Matrix'!L27)</f>
        <v>0</v>
      </c>
      <c r="Q297" s="185">
        <f>PRODUCT('Rollen-Prozess-Matrix'!U23,'Kompetenz-Prozess-Matrix'!L27)</f>
        <v>0</v>
      </c>
    </row>
    <row r="298" spans="1:17" ht="38.25" hidden="1" outlineLevel="1" x14ac:dyDescent="0.35">
      <c r="A298" s="333"/>
      <c r="B298" s="339"/>
      <c r="C298" s="180" t="s">
        <v>217</v>
      </c>
      <c r="D298" s="182">
        <f>PRODUCT('Rollen-Prozess-Matrix'!H24,'Kompetenz-Prozess-Matrix'!L28)</f>
        <v>0</v>
      </c>
      <c r="E298" s="183">
        <f>PRODUCT('Rollen-Prozess-Matrix'!I24,'Kompetenz-Prozess-Matrix'!L28)</f>
        <v>0</v>
      </c>
      <c r="F298" s="183">
        <f>PRODUCT('Rollen-Prozess-Matrix'!J24,'Kompetenz-Prozess-Matrix'!L28)</f>
        <v>0</v>
      </c>
      <c r="G298" s="183">
        <f>PRODUCT('Rollen-Prozess-Matrix'!K24,'Kompetenz-Prozess-Matrix'!L28)</f>
        <v>0</v>
      </c>
      <c r="H298" s="183">
        <f>PRODUCT('Rollen-Prozess-Matrix'!L24,'Kompetenz-Prozess-Matrix'!L28)</f>
        <v>3</v>
      </c>
      <c r="I298" s="183">
        <f>PRODUCT('Rollen-Prozess-Matrix'!M24,'Kompetenz-Prozess-Matrix'!L28)</f>
        <v>0</v>
      </c>
      <c r="J298" s="183">
        <f>PRODUCT('Rollen-Prozess-Matrix'!N24,'Kompetenz-Prozess-Matrix'!L28)</f>
        <v>2</v>
      </c>
      <c r="K298" s="183">
        <f>PRODUCT('Rollen-Prozess-Matrix'!O24,'Kompetenz-Prozess-Matrix'!L28)</f>
        <v>2</v>
      </c>
      <c r="L298" s="183">
        <f>PRODUCT('Rollen-Prozess-Matrix'!P24,'Kompetenz-Prozess-Matrix'!L28)</f>
        <v>0</v>
      </c>
      <c r="M298" s="183">
        <f>PRODUCT('Rollen-Prozess-Matrix'!Q24,'Kompetenz-Prozess-Matrix'!L28)</f>
        <v>2</v>
      </c>
      <c r="N298" s="183">
        <f>PRODUCT('Rollen-Prozess-Matrix'!R24,'Kompetenz-Prozess-Matrix'!L28)</f>
        <v>0</v>
      </c>
      <c r="O298" s="183">
        <f>PRODUCT('Rollen-Prozess-Matrix'!S24,'Kompetenz-Prozess-Matrix'!L28)</f>
        <v>0</v>
      </c>
      <c r="P298" s="183">
        <f>PRODUCT('Rollen-Prozess-Matrix'!T24,'Kompetenz-Prozess-Matrix'!L28)</f>
        <v>0</v>
      </c>
      <c r="Q298" s="185">
        <f>PRODUCT('Rollen-Prozess-Matrix'!U24,'Kompetenz-Prozess-Matrix'!L28)</f>
        <v>0</v>
      </c>
    </row>
    <row r="299" spans="1:17" ht="38.25" hidden="1" outlineLevel="1" x14ac:dyDescent="0.35">
      <c r="A299" s="333"/>
      <c r="B299" s="339"/>
      <c r="C299" s="180" t="s">
        <v>223</v>
      </c>
      <c r="D299" s="182">
        <f>PRODUCT('Rollen-Prozess-Matrix'!H25,'Kompetenz-Prozess-Matrix'!L29)</f>
        <v>0</v>
      </c>
      <c r="E299" s="183">
        <f>PRODUCT('Rollen-Prozess-Matrix'!I25,'Kompetenz-Prozess-Matrix'!L29)</f>
        <v>1</v>
      </c>
      <c r="F299" s="183">
        <f>PRODUCT('Rollen-Prozess-Matrix'!J25,'Kompetenz-Prozess-Matrix'!L29)</f>
        <v>0</v>
      </c>
      <c r="G299" s="183">
        <f>PRODUCT('Rollen-Prozess-Matrix'!K25,'Kompetenz-Prozess-Matrix'!L29)</f>
        <v>0</v>
      </c>
      <c r="H299" s="183">
        <f>PRODUCT('Rollen-Prozess-Matrix'!L25,'Kompetenz-Prozess-Matrix'!L29)</f>
        <v>3</v>
      </c>
      <c r="I299" s="183">
        <f>PRODUCT('Rollen-Prozess-Matrix'!M25,'Kompetenz-Prozess-Matrix'!L29)</f>
        <v>0</v>
      </c>
      <c r="J299" s="183">
        <f>PRODUCT('Rollen-Prozess-Matrix'!N25,'Kompetenz-Prozess-Matrix'!L29)</f>
        <v>0</v>
      </c>
      <c r="K299" s="183">
        <f>PRODUCT('Rollen-Prozess-Matrix'!O25,'Kompetenz-Prozess-Matrix'!L29)</f>
        <v>1</v>
      </c>
      <c r="L299" s="183">
        <f>PRODUCT('Rollen-Prozess-Matrix'!P25,'Kompetenz-Prozess-Matrix'!L29)</f>
        <v>1</v>
      </c>
      <c r="M299" s="183">
        <f>PRODUCT('Rollen-Prozess-Matrix'!Q25,'Kompetenz-Prozess-Matrix'!L29)</f>
        <v>2</v>
      </c>
      <c r="N299" s="183">
        <f>PRODUCT('Rollen-Prozess-Matrix'!R25,'Kompetenz-Prozess-Matrix'!L29)</f>
        <v>0</v>
      </c>
      <c r="O299" s="183">
        <f>PRODUCT('Rollen-Prozess-Matrix'!S25,'Kompetenz-Prozess-Matrix'!L29)</f>
        <v>0</v>
      </c>
      <c r="P299" s="183">
        <f>PRODUCT('Rollen-Prozess-Matrix'!T25,'Kompetenz-Prozess-Matrix'!L29)</f>
        <v>0</v>
      </c>
      <c r="Q299" s="185">
        <f>PRODUCT('Rollen-Prozess-Matrix'!U25,'Kompetenz-Prozess-Matrix'!L29)</f>
        <v>0</v>
      </c>
    </row>
    <row r="300" spans="1:17" ht="38.25" hidden="1" outlineLevel="1" x14ac:dyDescent="0.35">
      <c r="A300" s="333"/>
      <c r="B300" s="339"/>
      <c r="C300" s="180" t="s">
        <v>229</v>
      </c>
      <c r="D300" s="182">
        <f>PRODUCT('Rollen-Prozess-Matrix'!H26,'Kompetenz-Prozess-Matrix'!L30)</f>
        <v>0</v>
      </c>
      <c r="E300" s="183">
        <f>PRODUCT('Rollen-Prozess-Matrix'!I26,'Kompetenz-Prozess-Matrix'!L30)</f>
        <v>2</v>
      </c>
      <c r="F300" s="183">
        <f>PRODUCT('Rollen-Prozess-Matrix'!J26,'Kompetenz-Prozess-Matrix'!L30)</f>
        <v>0</v>
      </c>
      <c r="G300" s="183">
        <f>PRODUCT('Rollen-Prozess-Matrix'!K26,'Kompetenz-Prozess-Matrix'!L30)</f>
        <v>0</v>
      </c>
      <c r="H300" s="183">
        <f>PRODUCT('Rollen-Prozess-Matrix'!L26,'Kompetenz-Prozess-Matrix'!L30)</f>
        <v>6</v>
      </c>
      <c r="I300" s="183">
        <f>PRODUCT('Rollen-Prozess-Matrix'!M26,'Kompetenz-Prozess-Matrix'!L30)</f>
        <v>2</v>
      </c>
      <c r="J300" s="183">
        <f>PRODUCT('Rollen-Prozess-Matrix'!N26,'Kompetenz-Prozess-Matrix'!L30)</f>
        <v>2</v>
      </c>
      <c r="K300" s="183">
        <f>PRODUCT('Rollen-Prozess-Matrix'!O26,'Kompetenz-Prozess-Matrix'!L30)</f>
        <v>0</v>
      </c>
      <c r="L300" s="183">
        <f>PRODUCT('Rollen-Prozess-Matrix'!P26,'Kompetenz-Prozess-Matrix'!L30)</f>
        <v>4</v>
      </c>
      <c r="M300" s="183">
        <f>PRODUCT('Rollen-Prozess-Matrix'!Q26,'Kompetenz-Prozess-Matrix'!L30)</f>
        <v>0</v>
      </c>
      <c r="N300" s="183">
        <f>PRODUCT('Rollen-Prozess-Matrix'!R26,'Kompetenz-Prozess-Matrix'!L30)</f>
        <v>0</v>
      </c>
      <c r="O300" s="183">
        <f>PRODUCT('Rollen-Prozess-Matrix'!S26,'Kompetenz-Prozess-Matrix'!L30)</f>
        <v>2</v>
      </c>
      <c r="P300" s="183">
        <f>PRODUCT('Rollen-Prozess-Matrix'!T26,'Kompetenz-Prozess-Matrix'!L30)</f>
        <v>0</v>
      </c>
      <c r="Q300" s="185">
        <f>PRODUCT('Rollen-Prozess-Matrix'!U26,'Kompetenz-Prozess-Matrix'!L30)</f>
        <v>0</v>
      </c>
    </row>
    <row r="301" spans="1:17" ht="38.25" hidden="1" outlineLevel="1" x14ac:dyDescent="0.35">
      <c r="A301" s="333"/>
      <c r="B301" s="339"/>
      <c r="C301" s="180" t="s">
        <v>235</v>
      </c>
      <c r="D301" s="182">
        <f>PRODUCT('Rollen-Prozess-Matrix'!H27,'Kompetenz-Prozess-Matrix'!L31)</f>
        <v>2</v>
      </c>
      <c r="E301" s="183">
        <f>PRODUCT('Rollen-Prozess-Matrix'!I27,'Kompetenz-Prozess-Matrix'!L31)</f>
        <v>2</v>
      </c>
      <c r="F301" s="183">
        <f>PRODUCT('Rollen-Prozess-Matrix'!J27,'Kompetenz-Prozess-Matrix'!L31)</f>
        <v>0</v>
      </c>
      <c r="G301" s="183">
        <f>PRODUCT('Rollen-Prozess-Matrix'!K27,'Kompetenz-Prozess-Matrix'!L31)</f>
        <v>0</v>
      </c>
      <c r="H301" s="183">
        <f>PRODUCT('Rollen-Prozess-Matrix'!L27,'Kompetenz-Prozess-Matrix'!L31)</f>
        <v>3</v>
      </c>
      <c r="I301" s="183">
        <f>PRODUCT('Rollen-Prozess-Matrix'!M27,'Kompetenz-Prozess-Matrix'!L31)</f>
        <v>0</v>
      </c>
      <c r="J301" s="183">
        <f>PRODUCT('Rollen-Prozess-Matrix'!N27,'Kompetenz-Prozess-Matrix'!L31)</f>
        <v>0</v>
      </c>
      <c r="K301" s="183">
        <f>PRODUCT('Rollen-Prozess-Matrix'!O27,'Kompetenz-Prozess-Matrix'!L31)</f>
        <v>2</v>
      </c>
      <c r="L301" s="183">
        <f>PRODUCT('Rollen-Prozess-Matrix'!P27,'Kompetenz-Prozess-Matrix'!L31)</f>
        <v>0</v>
      </c>
      <c r="M301" s="183">
        <f>PRODUCT('Rollen-Prozess-Matrix'!Q27,'Kompetenz-Prozess-Matrix'!L31)</f>
        <v>0</v>
      </c>
      <c r="N301" s="183">
        <f>PRODUCT('Rollen-Prozess-Matrix'!R27,'Kompetenz-Prozess-Matrix'!L31)</f>
        <v>2</v>
      </c>
      <c r="O301" s="183">
        <f>PRODUCT('Rollen-Prozess-Matrix'!S27,'Kompetenz-Prozess-Matrix'!L31)</f>
        <v>0</v>
      </c>
      <c r="P301" s="183">
        <f>PRODUCT('Rollen-Prozess-Matrix'!T27,'Kompetenz-Prozess-Matrix'!L31)</f>
        <v>0</v>
      </c>
      <c r="Q301" s="185">
        <f>PRODUCT('Rollen-Prozess-Matrix'!U27,'Kompetenz-Prozess-Matrix'!L31)</f>
        <v>0</v>
      </c>
    </row>
    <row r="302" spans="1:17" ht="38.25" hidden="1" outlineLevel="1" x14ac:dyDescent="0.35">
      <c r="A302" s="333"/>
      <c r="B302" s="339"/>
      <c r="C302" s="180" t="s">
        <v>242</v>
      </c>
      <c r="D302" s="182">
        <f>PRODUCT('Rollen-Prozess-Matrix'!H28,'Kompetenz-Prozess-Matrix'!L32)</f>
        <v>2</v>
      </c>
      <c r="E302" s="183">
        <f>PRODUCT('Rollen-Prozess-Matrix'!I28,'Kompetenz-Prozess-Matrix'!L32)</f>
        <v>2</v>
      </c>
      <c r="F302" s="183">
        <f>PRODUCT('Rollen-Prozess-Matrix'!J28,'Kompetenz-Prozess-Matrix'!L32)</f>
        <v>0</v>
      </c>
      <c r="G302" s="183">
        <f>PRODUCT('Rollen-Prozess-Matrix'!K28,'Kompetenz-Prozess-Matrix'!L32)</f>
        <v>0</v>
      </c>
      <c r="H302" s="183">
        <f>PRODUCT('Rollen-Prozess-Matrix'!L28,'Kompetenz-Prozess-Matrix'!L32)</f>
        <v>6</v>
      </c>
      <c r="I302" s="183">
        <f>PRODUCT('Rollen-Prozess-Matrix'!M28,'Kompetenz-Prozess-Matrix'!L32)</f>
        <v>0</v>
      </c>
      <c r="J302" s="183">
        <f>PRODUCT('Rollen-Prozess-Matrix'!N28,'Kompetenz-Prozess-Matrix'!L32)</f>
        <v>0</v>
      </c>
      <c r="K302" s="183">
        <f>PRODUCT('Rollen-Prozess-Matrix'!O28,'Kompetenz-Prozess-Matrix'!L32)</f>
        <v>0</v>
      </c>
      <c r="L302" s="183">
        <f>PRODUCT('Rollen-Prozess-Matrix'!P28,'Kompetenz-Prozess-Matrix'!L32)</f>
        <v>4</v>
      </c>
      <c r="M302" s="183">
        <f>PRODUCT('Rollen-Prozess-Matrix'!Q28,'Kompetenz-Prozess-Matrix'!L32)</f>
        <v>0</v>
      </c>
      <c r="N302" s="183">
        <f>PRODUCT('Rollen-Prozess-Matrix'!R28,'Kompetenz-Prozess-Matrix'!L32)</f>
        <v>0</v>
      </c>
      <c r="O302" s="183">
        <f>PRODUCT('Rollen-Prozess-Matrix'!S28,'Kompetenz-Prozess-Matrix'!L32)</f>
        <v>2</v>
      </c>
      <c r="P302" s="183">
        <f>PRODUCT('Rollen-Prozess-Matrix'!T28,'Kompetenz-Prozess-Matrix'!L32)</f>
        <v>0</v>
      </c>
      <c r="Q302" s="185">
        <f>PRODUCT('Rollen-Prozess-Matrix'!U28,'Kompetenz-Prozess-Matrix'!L32)</f>
        <v>0</v>
      </c>
    </row>
    <row r="303" spans="1:17" ht="38.25" hidden="1" outlineLevel="1" x14ac:dyDescent="0.35">
      <c r="A303" s="333"/>
      <c r="B303" s="339"/>
      <c r="C303" s="180" t="s">
        <v>248</v>
      </c>
      <c r="D303" s="182">
        <f>PRODUCT('Rollen-Prozess-Matrix'!H29,'Kompetenz-Prozess-Matrix'!L33)</f>
        <v>2</v>
      </c>
      <c r="E303" s="183">
        <f>PRODUCT('Rollen-Prozess-Matrix'!I29,'Kompetenz-Prozess-Matrix'!L33)</f>
        <v>0</v>
      </c>
      <c r="F303" s="183">
        <f>PRODUCT('Rollen-Prozess-Matrix'!J29,'Kompetenz-Prozess-Matrix'!L33)</f>
        <v>0</v>
      </c>
      <c r="G303" s="183">
        <f>PRODUCT('Rollen-Prozess-Matrix'!K29,'Kompetenz-Prozess-Matrix'!L33)</f>
        <v>0</v>
      </c>
      <c r="H303" s="183">
        <f>PRODUCT('Rollen-Prozess-Matrix'!L29,'Kompetenz-Prozess-Matrix'!L33)</f>
        <v>3</v>
      </c>
      <c r="I303" s="183">
        <f>PRODUCT('Rollen-Prozess-Matrix'!M29,'Kompetenz-Prozess-Matrix'!L33)</f>
        <v>1</v>
      </c>
      <c r="J303" s="183">
        <f>PRODUCT('Rollen-Prozess-Matrix'!N29,'Kompetenz-Prozess-Matrix'!L33)</f>
        <v>0</v>
      </c>
      <c r="K303" s="183">
        <f>PRODUCT('Rollen-Prozess-Matrix'!O29,'Kompetenz-Prozess-Matrix'!L33)</f>
        <v>0</v>
      </c>
      <c r="L303" s="183">
        <f>PRODUCT('Rollen-Prozess-Matrix'!P29,'Kompetenz-Prozess-Matrix'!L33)</f>
        <v>0</v>
      </c>
      <c r="M303" s="183">
        <f>PRODUCT('Rollen-Prozess-Matrix'!Q29,'Kompetenz-Prozess-Matrix'!L33)</f>
        <v>0</v>
      </c>
      <c r="N303" s="183">
        <f>PRODUCT('Rollen-Prozess-Matrix'!R29,'Kompetenz-Prozess-Matrix'!L33)</f>
        <v>1</v>
      </c>
      <c r="O303" s="183">
        <f>PRODUCT('Rollen-Prozess-Matrix'!S29,'Kompetenz-Prozess-Matrix'!L33)</f>
        <v>0</v>
      </c>
      <c r="P303" s="183">
        <f>PRODUCT('Rollen-Prozess-Matrix'!T29,'Kompetenz-Prozess-Matrix'!L33)</f>
        <v>0</v>
      </c>
      <c r="Q303" s="185">
        <f>PRODUCT('Rollen-Prozess-Matrix'!U29,'Kompetenz-Prozess-Matrix'!L33)</f>
        <v>0</v>
      </c>
    </row>
    <row r="304" spans="1:17" ht="38.25" hidden="1" outlineLevel="1" x14ac:dyDescent="0.35">
      <c r="A304" s="333"/>
      <c r="B304" s="339"/>
      <c r="C304" s="180" t="s">
        <v>255</v>
      </c>
      <c r="D304" s="182">
        <f>PRODUCT('Rollen-Prozess-Matrix'!H30,'Kompetenz-Prozess-Matrix'!L34)</f>
        <v>2</v>
      </c>
      <c r="E304" s="183">
        <f>PRODUCT('Rollen-Prozess-Matrix'!I30,'Kompetenz-Prozess-Matrix'!L34)</f>
        <v>0</v>
      </c>
      <c r="F304" s="183">
        <f>PRODUCT('Rollen-Prozess-Matrix'!J30,'Kompetenz-Prozess-Matrix'!L34)</f>
        <v>0</v>
      </c>
      <c r="G304" s="183">
        <f>PRODUCT('Rollen-Prozess-Matrix'!K30,'Kompetenz-Prozess-Matrix'!L34)</f>
        <v>0</v>
      </c>
      <c r="H304" s="183">
        <f>PRODUCT('Rollen-Prozess-Matrix'!L30,'Kompetenz-Prozess-Matrix'!L34)</f>
        <v>3</v>
      </c>
      <c r="I304" s="183">
        <f>PRODUCT('Rollen-Prozess-Matrix'!M30,'Kompetenz-Prozess-Matrix'!L34)</f>
        <v>1</v>
      </c>
      <c r="J304" s="183">
        <f>PRODUCT('Rollen-Prozess-Matrix'!N30,'Kompetenz-Prozess-Matrix'!L34)</f>
        <v>0</v>
      </c>
      <c r="K304" s="183">
        <f>PRODUCT('Rollen-Prozess-Matrix'!O30,'Kompetenz-Prozess-Matrix'!L34)</f>
        <v>0</v>
      </c>
      <c r="L304" s="183">
        <f>PRODUCT('Rollen-Prozess-Matrix'!P30,'Kompetenz-Prozess-Matrix'!L34)</f>
        <v>0</v>
      </c>
      <c r="M304" s="183">
        <f>PRODUCT('Rollen-Prozess-Matrix'!Q30,'Kompetenz-Prozess-Matrix'!L34)</f>
        <v>0</v>
      </c>
      <c r="N304" s="183">
        <f>PRODUCT('Rollen-Prozess-Matrix'!R30,'Kompetenz-Prozess-Matrix'!L34)</f>
        <v>2</v>
      </c>
      <c r="O304" s="183">
        <f>PRODUCT('Rollen-Prozess-Matrix'!S30,'Kompetenz-Prozess-Matrix'!L34)</f>
        <v>0</v>
      </c>
      <c r="P304" s="183">
        <f>PRODUCT('Rollen-Prozess-Matrix'!T30,'Kompetenz-Prozess-Matrix'!L34)</f>
        <v>0</v>
      </c>
      <c r="Q304" s="185">
        <f>PRODUCT('Rollen-Prozess-Matrix'!U30,'Kompetenz-Prozess-Matrix'!L34)</f>
        <v>0</v>
      </c>
    </row>
    <row r="305" spans="1:19" ht="38.25" hidden="1" outlineLevel="1" x14ac:dyDescent="0.35">
      <c r="A305" s="333"/>
      <c r="B305" s="339"/>
      <c r="C305" s="180" t="s">
        <v>261</v>
      </c>
      <c r="D305" s="182">
        <f>PRODUCT('Rollen-Prozess-Matrix'!H31,'Kompetenz-Prozess-Matrix'!L35)</f>
        <v>2</v>
      </c>
      <c r="E305" s="183">
        <f>PRODUCT('Rollen-Prozess-Matrix'!I31,'Kompetenz-Prozess-Matrix'!L35)</f>
        <v>0</v>
      </c>
      <c r="F305" s="183">
        <f>PRODUCT('Rollen-Prozess-Matrix'!J31,'Kompetenz-Prozess-Matrix'!L35)</f>
        <v>0</v>
      </c>
      <c r="G305" s="183">
        <f>PRODUCT('Rollen-Prozess-Matrix'!K31,'Kompetenz-Prozess-Matrix'!L35)</f>
        <v>0</v>
      </c>
      <c r="H305" s="183">
        <f>PRODUCT('Rollen-Prozess-Matrix'!L31,'Kompetenz-Prozess-Matrix'!L35)</f>
        <v>3</v>
      </c>
      <c r="I305" s="183">
        <f>PRODUCT('Rollen-Prozess-Matrix'!M31,'Kompetenz-Prozess-Matrix'!L35)</f>
        <v>0</v>
      </c>
      <c r="J305" s="183">
        <f>PRODUCT('Rollen-Prozess-Matrix'!N31,'Kompetenz-Prozess-Matrix'!L35)</f>
        <v>0</v>
      </c>
      <c r="K305" s="183">
        <f>PRODUCT('Rollen-Prozess-Matrix'!O31,'Kompetenz-Prozess-Matrix'!L35)</f>
        <v>0</v>
      </c>
      <c r="L305" s="183">
        <f>PRODUCT('Rollen-Prozess-Matrix'!P31,'Kompetenz-Prozess-Matrix'!L35)</f>
        <v>0</v>
      </c>
      <c r="M305" s="183">
        <f>PRODUCT('Rollen-Prozess-Matrix'!Q31,'Kompetenz-Prozess-Matrix'!L35)</f>
        <v>0</v>
      </c>
      <c r="N305" s="183">
        <f>PRODUCT('Rollen-Prozess-Matrix'!R31,'Kompetenz-Prozess-Matrix'!L35)</f>
        <v>1</v>
      </c>
      <c r="O305" s="183">
        <f>PRODUCT('Rollen-Prozess-Matrix'!S31,'Kompetenz-Prozess-Matrix'!L35)</f>
        <v>0</v>
      </c>
      <c r="P305" s="183">
        <f>PRODUCT('Rollen-Prozess-Matrix'!T31,'Kompetenz-Prozess-Matrix'!L35)</f>
        <v>0</v>
      </c>
      <c r="Q305" s="185">
        <f>PRODUCT('Rollen-Prozess-Matrix'!U31,'Kompetenz-Prozess-Matrix'!L35)</f>
        <v>0</v>
      </c>
    </row>
    <row r="306" spans="1:19" hidden="1" outlineLevel="1" x14ac:dyDescent="0.35">
      <c r="A306" s="333"/>
      <c r="B306" s="339"/>
      <c r="C306" s="180" t="s">
        <v>264</v>
      </c>
      <c r="D306" s="182">
        <f>PRODUCT('Rollen-Prozess-Matrix'!H32,'Kompetenz-Prozess-Matrix'!L36)</f>
        <v>0</v>
      </c>
      <c r="E306" s="183">
        <f>PRODUCT('Rollen-Prozess-Matrix'!I32,'Kompetenz-Prozess-Matrix'!L36)</f>
        <v>0</v>
      </c>
      <c r="F306" s="183">
        <f>PRODUCT('Rollen-Prozess-Matrix'!J32,'Kompetenz-Prozess-Matrix'!L36)</f>
        <v>0</v>
      </c>
      <c r="G306" s="183">
        <f>PRODUCT('Rollen-Prozess-Matrix'!K32,'Kompetenz-Prozess-Matrix'!L36)</f>
        <v>4</v>
      </c>
      <c r="H306" s="183">
        <f>PRODUCT('Rollen-Prozess-Matrix'!L32,'Kompetenz-Prozess-Matrix'!L36)</f>
        <v>2</v>
      </c>
      <c r="I306" s="183">
        <f>PRODUCT('Rollen-Prozess-Matrix'!M32,'Kompetenz-Prozess-Matrix'!L36)</f>
        <v>0</v>
      </c>
      <c r="J306" s="183">
        <f>PRODUCT('Rollen-Prozess-Matrix'!N32,'Kompetenz-Prozess-Matrix'!L36)</f>
        <v>0</v>
      </c>
      <c r="K306" s="183">
        <f>PRODUCT('Rollen-Prozess-Matrix'!O32,'Kompetenz-Prozess-Matrix'!L36)</f>
        <v>0</v>
      </c>
      <c r="L306" s="183">
        <f>PRODUCT('Rollen-Prozess-Matrix'!P32,'Kompetenz-Prozess-Matrix'!L36)</f>
        <v>0</v>
      </c>
      <c r="M306" s="183">
        <f>PRODUCT('Rollen-Prozess-Matrix'!Q32,'Kompetenz-Prozess-Matrix'!L36)</f>
        <v>0</v>
      </c>
      <c r="N306" s="183">
        <f>PRODUCT('Rollen-Prozess-Matrix'!R32,'Kompetenz-Prozess-Matrix'!L36)</f>
        <v>0</v>
      </c>
      <c r="O306" s="183">
        <f>PRODUCT('Rollen-Prozess-Matrix'!S32,'Kompetenz-Prozess-Matrix'!L36)</f>
        <v>0</v>
      </c>
      <c r="P306" s="183">
        <f>PRODUCT('Rollen-Prozess-Matrix'!T32,'Kompetenz-Prozess-Matrix'!L36)</f>
        <v>0</v>
      </c>
      <c r="Q306" s="185">
        <f>PRODUCT('Rollen-Prozess-Matrix'!U32,'Kompetenz-Prozess-Matrix'!L36)</f>
        <v>0</v>
      </c>
    </row>
    <row r="307" spans="1:19" hidden="1" outlineLevel="1" x14ac:dyDescent="0.35">
      <c r="A307" s="333"/>
      <c r="B307" s="339"/>
      <c r="C307" s="180" t="s">
        <v>266</v>
      </c>
      <c r="D307" s="182">
        <f>PRODUCT('Rollen-Prozess-Matrix'!H33,'Kompetenz-Prozess-Matrix'!L37)</f>
        <v>0</v>
      </c>
      <c r="E307" s="183">
        <f>PRODUCT('Rollen-Prozess-Matrix'!I33,'Kompetenz-Prozess-Matrix'!L37)</f>
        <v>0</v>
      </c>
      <c r="F307" s="183">
        <f>PRODUCT('Rollen-Prozess-Matrix'!J33,'Kompetenz-Prozess-Matrix'!L37)</f>
        <v>0</v>
      </c>
      <c r="G307" s="183">
        <f>PRODUCT('Rollen-Prozess-Matrix'!K33,'Kompetenz-Prozess-Matrix'!L37)</f>
        <v>0</v>
      </c>
      <c r="H307" s="183">
        <f>PRODUCT('Rollen-Prozess-Matrix'!L33,'Kompetenz-Prozess-Matrix'!L37)</f>
        <v>0</v>
      </c>
      <c r="I307" s="183">
        <f>PRODUCT('Rollen-Prozess-Matrix'!M33,'Kompetenz-Prozess-Matrix'!L37)</f>
        <v>0</v>
      </c>
      <c r="J307" s="183">
        <f>PRODUCT('Rollen-Prozess-Matrix'!N33,'Kompetenz-Prozess-Matrix'!L37)</f>
        <v>0</v>
      </c>
      <c r="K307" s="183">
        <f>PRODUCT('Rollen-Prozess-Matrix'!O33,'Kompetenz-Prozess-Matrix'!L37)</f>
        <v>0</v>
      </c>
      <c r="L307" s="183">
        <f>PRODUCT('Rollen-Prozess-Matrix'!P33,'Kompetenz-Prozess-Matrix'!L37)</f>
        <v>0</v>
      </c>
      <c r="M307" s="183">
        <f>PRODUCT('Rollen-Prozess-Matrix'!Q33,'Kompetenz-Prozess-Matrix'!L37)</f>
        <v>0</v>
      </c>
      <c r="N307" s="183">
        <f>PRODUCT('Rollen-Prozess-Matrix'!R33,'Kompetenz-Prozess-Matrix'!L37)</f>
        <v>0</v>
      </c>
      <c r="O307" s="183">
        <f>PRODUCT('Rollen-Prozess-Matrix'!S33,'Kompetenz-Prozess-Matrix'!L37)</f>
        <v>0</v>
      </c>
      <c r="P307" s="183">
        <f>PRODUCT('Rollen-Prozess-Matrix'!T33,'Kompetenz-Prozess-Matrix'!L37)</f>
        <v>0</v>
      </c>
      <c r="Q307" s="185">
        <f>PRODUCT('Rollen-Prozess-Matrix'!U33,'Kompetenz-Prozess-Matrix'!L37)</f>
        <v>0</v>
      </c>
    </row>
    <row r="308" spans="1:19" ht="13.15" hidden="1" outlineLevel="1" thickBot="1" x14ac:dyDescent="0.4">
      <c r="A308" s="334"/>
      <c r="B308" s="340"/>
      <c r="C308" s="181" t="s">
        <v>289</v>
      </c>
      <c r="D308" s="182">
        <f>PRODUCT('Rollen-Prozess-Matrix'!H34,'Kompetenz-Prozess-Matrix'!L38)</f>
        <v>0</v>
      </c>
      <c r="E308" s="183">
        <f>PRODUCT('Rollen-Prozess-Matrix'!I34,'Kompetenz-Prozess-Matrix'!L38)</f>
        <v>0</v>
      </c>
      <c r="F308" s="183">
        <f>PRODUCT('Rollen-Prozess-Matrix'!J34,'Kompetenz-Prozess-Matrix'!L38)</f>
        <v>0</v>
      </c>
      <c r="G308" s="183">
        <f>PRODUCT('Rollen-Prozess-Matrix'!K34,'Kompetenz-Prozess-Matrix'!L38)</f>
        <v>4</v>
      </c>
      <c r="H308" s="183">
        <f>PRODUCT('Rollen-Prozess-Matrix'!L34,'Kompetenz-Prozess-Matrix'!L38)</f>
        <v>0</v>
      </c>
      <c r="I308" s="183">
        <f>PRODUCT('Rollen-Prozess-Matrix'!M34,'Kompetenz-Prozess-Matrix'!L38)</f>
        <v>0</v>
      </c>
      <c r="J308" s="183">
        <f>PRODUCT('Rollen-Prozess-Matrix'!N34,'Kompetenz-Prozess-Matrix'!L38)</f>
        <v>0</v>
      </c>
      <c r="K308" s="183">
        <f>PRODUCT('Rollen-Prozess-Matrix'!O34,'Kompetenz-Prozess-Matrix'!L38)</f>
        <v>0</v>
      </c>
      <c r="L308" s="183">
        <f>PRODUCT('Rollen-Prozess-Matrix'!P34,'Kompetenz-Prozess-Matrix'!L38)</f>
        <v>0</v>
      </c>
      <c r="M308" s="183">
        <f>PRODUCT('Rollen-Prozess-Matrix'!Q34,'Kompetenz-Prozess-Matrix'!L38)</f>
        <v>0</v>
      </c>
      <c r="N308" s="183">
        <f>PRODUCT('Rollen-Prozess-Matrix'!R34,'Kompetenz-Prozess-Matrix'!L38)</f>
        <v>0</v>
      </c>
      <c r="O308" s="183">
        <f>PRODUCT('Rollen-Prozess-Matrix'!S34,'Kompetenz-Prozess-Matrix'!L38)</f>
        <v>0</v>
      </c>
      <c r="P308" s="183">
        <f>PRODUCT('Rollen-Prozess-Matrix'!T34,'Kompetenz-Prozess-Matrix'!L38)</f>
        <v>0</v>
      </c>
      <c r="Q308" s="185">
        <f>PRODUCT('Rollen-Prozess-Matrix'!U34,'Kompetenz-Prozess-Matrix'!L38)</f>
        <v>0</v>
      </c>
    </row>
    <row r="309" spans="1:19" ht="13.15" collapsed="1" thickBot="1" x14ac:dyDescent="0.4">
      <c r="A309" s="335" t="s">
        <v>70</v>
      </c>
      <c r="B309" s="338" t="s">
        <v>71</v>
      </c>
      <c r="C309" s="178"/>
      <c r="D309" s="184">
        <f>MAX(D310:D342)</f>
        <v>2</v>
      </c>
      <c r="E309" s="184">
        <f t="shared" ref="E309" si="105">MAX(E310:E342)</f>
        <v>4</v>
      </c>
      <c r="F309" s="184">
        <f t="shared" ref="F309" si="106">MAX(F310:F342)</f>
        <v>4</v>
      </c>
      <c r="G309" s="184">
        <f t="shared" ref="G309" si="107">MAX(G310:G342)</f>
        <v>4</v>
      </c>
      <c r="H309" s="184">
        <f t="shared" ref="H309" si="108">MAX(H310:H342)</f>
        <v>6</v>
      </c>
      <c r="I309" s="184">
        <f t="shared" ref="I309" si="109">MAX(I310:I342)</f>
        <v>4</v>
      </c>
      <c r="J309" s="184">
        <f t="shared" ref="J309" si="110">MAX(J310:J342)</f>
        <v>4</v>
      </c>
      <c r="K309" s="184">
        <f t="shared" ref="K309" si="111">MAX(K310:K342)</f>
        <v>2</v>
      </c>
      <c r="L309" s="184">
        <f t="shared" ref="L309" si="112">MAX(L310:L342)</f>
        <v>4</v>
      </c>
      <c r="M309" s="184">
        <f t="shared" ref="M309" si="113">MAX(M310:M342)</f>
        <v>4</v>
      </c>
      <c r="N309" s="184">
        <f t="shared" ref="N309" si="114">MAX(N310:N342)</f>
        <v>2</v>
      </c>
      <c r="O309" s="184">
        <f t="shared" ref="O309" si="115">MAX(O310:O342)</f>
        <v>2</v>
      </c>
      <c r="P309" s="184">
        <f t="shared" ref="P309" si="116">MAX(P310:P342)</f>
        <v>4</v>
      </c>
      <c r="Q309" s="199">
        <f t="shared" ref="Q309" si="117">MAX(Q310:Q342)</f>
        <v>2</v>
      </c>
      <c r="S309" s="213" t="s">
        <v>292</v>
      </c>
    </row>
    <row r="310" spans="1:19" hidden="1" outlineLevel="1" x14ac:dyDescent="0.35">
      <c r="A310" s="336"/>
      <c r="B310" s="339"/>
      <c r="C310" s="179" t="s">
        <v>123</v>
      </c>
      <c r="D310" s="182">
        <f>PRODUCT('Rollen-Prozess-Matrix'!H2,'Kompetenz-Prozess-Matrix'!M6)</f>
        <v>0</v>
      </c>
      <c r="E310" s="183">
        <f>PRODUCT('Rollen-Prozess-Matrix'!I2,'Kompetenz-Prozess-Matrix'!M6)</f>
        <v>0</v>
      </c>
      <c r="F310" s="183">
        <f>PRODUCT('Rollen-Prozess-Matrix'!J2,'Kompetenz-Prozess-Matrix'!M6)</f>
        <v>0</v>
      </c>
      <c r="G310" s="183">
        <f>PRODUCT('Rollen-Prozess-Matrix'!K2,'Kompetenz-Prozess-Matrix'!M6)</f>
        <v>0</v>
      </c>
      <c r="H310" s="183">
        <f>PRODUCT('Rollen-Prozess-Matrix'!L2,'Kompetenz-Prozess-Matrix'!M6)</f>
        <v>3</v>
      </c>
      <c r="I310" s="183">
        <f>PRODUCT('Rollen-Prozess-Matrix'!M2,'Kompetenz-Prozess-Matrix'!M6)</f>
        <v>1</v>
      </c>
      <c r="J310" s="183">
        <f>PRODUCT('Rollen-Prozess-Matrix'!N2,'Kompetenz-Prozess-Matrix'!M6)</f>
        <v>1</v>
      </c>
      <c r="K310" s="183">
        <f>PRODUCT('Rollen-Prozess-Matrix'!O2,'Kompetenz-Prozess-Matrix'!M6)</f>
        <v>2</v>
      </c>
      <c r="L310" s="183">
        <f>PRODUCT('Rollen-Prozess-Matrix'!P2,'Kompetenz-Prozess-Matrix'!M6)</f>
        <v>1</v>
      </c>
      <c r="M310" s="183">
        <f>PRODUCT('Rollen-Prozess-Matrix'!Q2,'Kompetenz-Prozess-Matrix'!M6)</f>
        <v>0</v>
      </c>
      <c r="N310" s="183">
        <f>PRODUCT('Rollen-Prozess-Matrix'!R2,'Kompetenz-Prozess-Matrix'!M6)</f>
        <v>0</v>
      </c>
      <c r="O310" s="183">
        <f>PRODUCT('Rollen-Prozess-Matrix'!S2,'Kompetenz-Prozess-Matrix'!M6)</f>
        <v>0</v>
      </c>
      <c r="P310" s="183">
        <f>PRODUCT('Rollen-Prozess-Matrix'!T2,'Kompetenz-Prozess-Matrix'!M6)</f>
        <v>0</v>
      </c>
      <c r="Q310" s="185">
        <f>PRODUCT('Rollen-Prozess-Matrix'!U2,'Kompetenz-Prozess-Matrix'!M6)</f>
        <v>0</v>
      </c>
    </row>
    <row r="311" spans="1:19" hidden="1" outlineLevel="1" x14ac:dyDescent="0.35">
      <c r="A311" s="336"/>
      <c r="B311" s="339"/>
      <c r="C311" s="180" t="s">
        <v>127</v>
      </c>
      <c r="D311" s="182">
        <f>PRODUCT('Rollen-Prozess-Matrix'!H3,'Kompetenz-Prozess-Matrix'!M7)</f>
        <v>0</v>
      </c>
      <c r="E311" s="183">
        <f>PRODUCT('Rollen-Prozess-Matrix'!I3,'Kompetenz-Prozess-Matrix'!M7)</f>
        <v>2</v>
      </c>
      <c r="F311" s="183">
        <f>PRODUCT('Rollen-Prozess-Matrix'!J3,'Kompetenz-Prozess-Matrix'!M7)</f>
        <v>1</v>
      </c>
      <c r="G311" s="183">
        <f>PRODUCT('Rollen-Prozess-Matrix'!K3,'Kompetenz-Prozess-Matrix'!M7)</f>
        <v>0</v>
      </c>
      <c r="H311" s="183">
        <f>PRODUCT('Rollen-Prozess-Matrix'!L3,'Kompetenz-Prozess-Matrix'!M7)</f>
        <v>3</v>
      </c>
      <c r="I311" s="183">
        <f>PRODUCT('Rollen-Prozess-Matrix'!M3,'Kompetenz-Prozess-Matrix'!M7)</f>
        <v>1</v>
      </c>
      <c r="J311" s="183">
        <f>PRODUCT('Rollen-Prozess-Matrix'!N3,'Kompetenz-Prozess-Matrix'!M7)</f>
        <v>0</v>
      </c>
      <c r="K311" s="183">
        <f>PRODUCT('Rollen-Prozess-Matrix'!O3,'Kompetenz-Prozess-Matrix'!M7)</f>
        <v>1</v>
      </c>
      <c r="L311" s="183">
        <f>PRODUCT('Rollen-Prozess-Matrix'!P3,'Kompetenz-Prozess-Matrix'!M7)</f>
        <v>0</v>
      </c>
      <c r="M311" s="183">
        <f>PRODUCT('Rollen-Prozess-Matrix'!Q3,'Kompetenz-Prozess-Matrix'!M7)</f>
        <v>0</v>
      </c>
      <c r="N311" s="183">
        <f>PRODUCT('Rollen-Prozess-Matrix'!R3,'Kompetenz-Prozess-Matrix'!M7)</f>
        <v>1</v>
      </c>
      <c r="O311" s="183">
        <f>PRODUCT('Rollen-Prozess-Matrix'!S3,'Kompetenz-Prozess-Matrix'!M7)</f>
        <v>0</v>
      </c>
      <c r="P311" s="183">
        <f>PRODUCT('Rollen-Prozess-Matrix'!T3,'Kompetenz-Prozess-Matrix'!M7)</f>
        <v>0</v>
      </c>
      <c r="Q311" s="185">
        <f>PRODUCT('Rollen-Prozess-Matrix'!U3,'Kompetenz-Prozess-Matrix'!M7)</f>
        <v>0</v>
      </c>
    </row>
    <row r="312" spans="1:19" ht="51" hidden="1" outlineLevel="1" x14ac:dyDescent="0.35">
      <c r="A312" s="336"/>
      <c r="B312" s="339"/>
      <c r="C312" s="180" t="s">
        <v>132</v>
      </c>
      <c r="D312" s="182">
        <f>PRODUCT('Rollen-Prozess-Matrix'!H4,'Kompetenz-Prozess-Matrix'!M8)</f>
        <v>0</v>
      </c>
      <c r="E312" s="183">
        <f>PRODUCT('Rollen-Prozess-Matrix'!I4,'Kompetenz-Prozess-Matrix'!M8)</f>
        <v>0</v>
      </c>
      <c r="F312" s="183">
        <f>PRODUCT('Rollen-Prozess-Matrix'!J4,'Kompetenz-Prozess-Matrix'!M8)</f>
        <v>0</v>
      </c>
      <c r="G312" s="183">
        <f>PRODUCT('Rollen-Prozess-Matrix'!K4,'Kompetenz-Prozess-Matrix'!M8)</f>
        <v>1</v>
      </c>
      <c r="H312" s="183">
        <f>PRODUCT('Rollen-Prozess-Matrix'!L4,'Kompetenz-Prozess-Matrix'!M8)</f>
        <v>3</v>
      </c>
      <c r="I312" s="183">
        <f>PRODUCT('Rollen-Prozess-Matrix'!M4,'Kompetenz-Prozess-Matrix'!M8)</f>
        <v>0</v>
      </c>
      <c r="J312" s="183">
        <f>PRODUCT('Rollen-Prozess-Matrix'!N4,'Kompetenz-Prozess-Matrix'!M8)</f>
        <v>0</v>
      </c>
      <c r="K312" s="183">
        <f>PRODUCT('Rollen-Prozess-Matrix'!O4,'Kompetenz-Prozess-Matrix'!M8)</f>
        <v>0</v>
      </c>
      <c r="L312" s="183">
        <f>PRODUCT('Rollen-Prozess-Matrix'!P4,'Kompetenz-Prozess-Matrix'!M8)</f>
        <v>0</v>
      </c>
      <c r="M312" s="183">
        <f>PRODUCT('Rollen-Prozess-Matrix'!Q4,'Kompetenz-Prozess-Matrix'!M8)</f>
        <v>0</v>
      </c>
      <c r="N312" s="183">
        <f>PRODUCT('Rollen-Prozess-Matrix'!R4,'Kompetenz-Prozess-Matrix'!M8)</f>
        <v>0</v>
      </c>
      <c r="O312" s="183">
        <f>PRODUCT('Rollen-Prozess-Matrix'!S4,'Kompetenz-Prozess-Matrix'!M8)</f>
        <v>0</v>
      </c>
      <c r="P312" s="183">
        <f>PRODUCT('Rollen-Prozess-Matrix'!T4,'Kompetenz-Prozess-Matrix'!M8)</f>
        <v>0</v>
      </c>
      <c r="Q312" s="185">
        <f>PRODUCT('Rollen-Prozess-Matrix'!U4,'Kompetenz-Prozess-Matrix'!M8)</f>
        <v>0</v>
      </c>
    </row>
    <row r="313" spans="1:19" ht="38.25" hidden="1" outlineLevel="1" x14ac:dyDescent="0.35">
      <c r="A313" s="336"/>
      <c r="B313" s="339"/>
      <c r="C313" s="180" t="s">
        <v>136</v>
      </c>
      <c r="D313" s="182">
        <f>PRODUCT('Rollen-Prozess-Matrix'!H5,'Kompetenz-Prozess-Matrix'!M9)</f>
        <v>0</v>
      </c>
      <c r="E313" s="183">
        <f>PRODUCT('Rollen-Prozess-Matrix'!I5,'Kompetenz-Prozess-Matrix'!M9)</f>
        <v>0</v>
      </c>
      <c r="F313" s="183">
        <f>PRODUCT('Rollen-Prozess-Matrix'!J5,'Kompetenz-Prozess-Matrix'!M9)</f>
        <v>0</v>
      </c>
      <c r="G313" s="183">
        <f>PRODUCT('Rollen-Prozess-Matrix'!K5,'Kompetenz-Prozess-Matrix'!M9)</f>
        <v>2</v>
      </c>
      <c r="H313" s="183">
        <f>PRODUCT('Rollen-Prozess-Matrix'!L5,'Kompetenz-Prozess-Matrix'!M9)</f>
        <v>3</v>
      </c>
      <c r="I313" s="183">
        <f>PRODUCT('Rollen-Prozess-Matrix'!M5,'Kompetenz-Prozess-Matrix'!M9)</f>
        <v>0</v>
      </c>
      <c r="J313" s="183">
        <f>PRODUCT('Rollen-Prozess-Matrix'!N5,'Kompetenz-Prozess-Matrix'!M9)</f>
        <v>0</v>
      </c>
      <c r="K313" s="183">
        <f>PRODUCT('Rollen-Prozess-Matrix'!O5,'Kompetenz-Prozess-Matrix'!M9)</f>
        <v>0</v>
      </c>
      <c r="L313" s="183">
        <f>PRODUCT('Rollen-Prozess-Matrix'!P5,'Kompetenz-Prozess-Matrix'!M9)</f>
        <v>0</v>
      </c>
      <c r="M313" s="183">
        <f>PRODUCT('Rollen-Prozess-Matrix'!Q5,'Kompetenz-Prozess-Matrix'!M9)</f>
        <v>0</v>
      </c>
      <c r="N313" s="183">
        <f>PRODUCT('Rollen-Prozess-Matrix'!R5,'Kompetenz-Prozess-Matrix'!M9)</f>
        <v>0</v>
      </c>
      <c r="O313" s="183">
        <f>PRODUCT('Rollen-Prozess-Matrix'!S5,'Kompetenz-Prozess-Matrix'!M9)</f>
        <v>0</v>
      </c>
      <c r="P313" s="183">
        <f>PRODUCT('Rollen-Prozess-Matrix'!T5,'Kompetenz-Prozess-Matrix'!M9)</f>
        <v>0</v>
      </c>
      <c r="Q313" s="185">
        <f>PRODUCT('Rollen-Prozess-Matrix'!U5,'Kompetenz-Prozess-Matrix'!M9)</f>
        <v>0</v>
      </c>
    </row>
    <row r="314" spans="1:19" ht="38.25" hidden="1" outlineLevel="1" x14ac:dyDescent="0.35">
      <c r="A314" s="336"/>
      <c r="B314" s="339"/>
      <c r="C314" s="180" t="s">
        <v>140</v>
      </c>
      <c r="D314" s="182">
        <f>PRODUCT('Rollen-Prozess-Matrix'!H6,'Kompetenz-Prozess-Matrix'!M10)</f>
        <v>0</v>
      </c>
      <c r="E314" s="183">
        <f>PRODUCT('Rollen-Prozess-Matrix'!I6,'Kompetenz-Prozess-Matrix'!M10)</f>
        <v>1</v>
      </c>
      <c r="F314" s="183">
        <f>PRODUCT('Rollen-Prozess-Matrix'!J6,'Kompetenz-Prozess-Matrix'!M10)</f>
        <v>1</v>
      </c>
      <c r="G314" s="183">
        <f>PRODUCT('Rollen-Prozess-Matrix'!K6,'Kompetenz-Prozess-Matrix'!M10)</f>
        <v>0</v>
      </c>
      <c r="H314" s="183">
        <f>PRODUCT('Rollen-Prozess-Matrix'!L6,'Kompetenz-Prozess-Matrix'!M10)</f>
        <v>3</v>
      </c>
      <c r="I314" s="183">
        <f>PRODUCT('Rollen-Prozess-Matrix'!M6,'Kompetenz-Prozess-Matrix'!M10)</f>
        <v>0</v>
      </c>
      <c r="J314" s="183">
        <f>PRODUCT('Rollen-Prozess-Matrix'!N6,'Kompetenz-Prozess-Matrix'!M10)</f>
        <v>0</v>
      </c>
      <c r="K314" s="183">
        <f>PRODUCT('Rollen-Prozess-Matrix'!O6,'Kompetenz-Prozess-Matrix'!M10)</f>
        <v>0</v>
      </c>
      <c r="L314" s="183">
        <f>PRODUCT('Rollen-Prozess-Matrix'!P6,'Kompetenz-Prozess-Matrix'!M10)</f>
        <v>0</v>
      </c>
      <c r="M314" s="183">
        <f>PRODUCT('Rollen-Prozess-Matrix'!Q6,'Kompetenz-Prozess-Matrix'!M10)</f>
        <v>0</v>
      </c>
      <c r="N314" s="183">
        <f>PRODUCT('Rollen-Prozess-Matrix'!R6,'Kompetenz-Prozess-Matrix'!M10)</f>
        <v>0</v>
      </c>
      <c r="O314" s="183">
        <f>PRODUCT('Rollen-Prozess-Matrix'!S6,'Kompetenz-Prozess-Matrix'!M10)</f>
        <v>0</v>
      </c>
      <c r="P314" s="183">
        <f>PRODUCT('Rollen-Prozess-Matrix'!T6,'Kompetenz-Prozess-Matrix'!M10)</f>
        <v>2</v>
      </c>
      <c r="Q314" s="185">
        <f>PRODUCT('Rollen-Prozess-Matrix'!U6,'Kompetenz-Prozess-Matrix'!M10)</f>
        <v>1</v>
      </c>
    </row>
    <row r="315" spans="1:19" ht="38.25" hidden="1" outlineLevel="1" x14ac:dyDescent="0.35">
      <c r="A315" s="336"/>
      <c r="B315" s="339"/>
      <c r="C315" s="180" t="s">
        <v>144</v>
      </c>
      <c r="D315" s="182">
        <f>PRODUCT('Rollen-Prozess-Matrix'!H7,'Kompetenz-Prozess-Matrix'!M11)</f>
        <v>0</v>
      </c>
      <c r="E315" s="183">
        <f>PRODUCT('Rollen-Prozess-Matrix'!I7,'Kompetenz-Prozess-Matrix'!M11)</f>
        <v>0</v>
      </c>
      <c r="F315" s="183">
        <f>PRODUCT('Rollen-Prozess-Matrix'!J7,'Kompetenz-Prozess-Matrix'!M11)</f>
        <v>0</v>
      </c>
      <c r="G315" s="183">
        <f>PRODUCT('Rollen-Prozess-Matrix'!K7,'Kompetenz-Prozess-Matrix'!M11)</f>
        <v>2</v>
      </c>
      <c r="H315" s="183">
        <f>PRODUCT('Rollen-Prozess-Matrix'!L7,'Kompetenz-Prozess-Matrix'!M11)</f>
        <v>3</v>
      </c>
      <c r="I315" s="183">
        <f>PRODUCT('Rollen-Prozess-Matrix'!M7,'Kompetenz-Prozess-Matrix'!M11)</f>
        <v>0</v>
      </c>
      <c r="J315" s="183">
        <f>PRODUCT('Rollen-Prozess-Matrix'!N7,'Kompetenz-Prozess-Matrix'!M11)</f>
        <v>0</v>
      </c>
      <c r="K315" s="183">
        <f>PRODUCT('Rollen-Prozess-Matrix'!O7,'Kompetenz-Prozess-Matrix'!M11)</f>
        <v>0</v>
      </c>
      <c r="L315" s="183">
        <f>PRODUCT('Rollen-Prozess-Matrix'!P7,'Kompetenz-Prozess-Matrix'!M11)</f>
        <v>0</v>
      </c>
      <c r="M315" s="183">
        <f>PRODUCT('Rollen-Prozess-Matrix'!Q7,'Kompetenz-Prozess-Matrix'!M11)</f>
        <v>0</v>
      </c>
      <c r="N315" s="183">
        <f>PRODUCT('Rollen-Prozess-Matrix'!R7,'Kompetenz-Prozess-Matrix'!M11)</f>
        <v>0</v>
      </c>
      <c r="O315" s="183">
        <f>PRODUCT('Rollen-Prozess-Matrix'!S7,'Kompetenz-Prozess-Matrix'!M11)</f>
        <v>0</v>
      </c>
      <c r="P315" s="183">
        <f>PRODUCT('Rollen-Prozess-Matrix'!T7,'Kompetenz-Prozess-Matrix'!M11)</f>
        <v>0</v>
      </c>
      <c r="Q315" s="185">
        <f>PRODUCT('Rollen-Prozess-Matrix'!U7,'Kompetenz-Prozess-Matrix'!M11)</f>
        <v>1</v>
      </c>
    </row>
    <row r="316" spans="1:19" ht="38.25" hidden="1" outlineLevel="1" x14ac:dyDescent="0.35">
      <c r="A316" s="336"/>
      <c r="B316" s="339"/>
      <c r="C316" s="180" t="s">
        <v>148</v>
      </c>
      <c r="D316" s="182">
        <f>PRODUCT('Rollen-Prozess-Matrix'!H8,'Kompetenz-Prozess-Matrix'!M12)</f>
        <v>0</v>
      </c>
      <c r="E316" s="183">
        <f>PRODUCT('Rollen-Prozess-Matrix'!I8,'Kompetenz-Prozess-Matrix'!M12)</f>
        <v>0</v>
      </c>
      <c r="F316" s="183">
        <f>PRODUCT('Rollen-Prozess-Matrix'!J8,'Kompetenz-Prozess-Matrix'!M12)</f>
        <v>0</v>
      </c>
      <c r="G316" s="183">
        <f>PRODUCT('Rollen-Prozess-Matrix'!K8,'Kompetenz-Prozess-Matrix'!M12)</f>
        <v>0</v>
      </c>
      <c r="H316" s="183">
        <f>PRODUCT('Rollen-Prozess-Matrix'!L8,'Kompetenz-Prozess-Matrix'!M12)</f>
        <v>3</v>
      </c>
      <c r="I316" s="183">
        <f>PRODUCT('Rollen-Prozess-Matrix'!M8,'Kompetenz-Prozess-Matrix'!M12)</f>
        <v>0</v>
      </c>
      <c r="J316" s="183">
        <f>PRODUCT('Rollen-Prozess-Matrix'!N8,'Kompetenz-Prozess-Matrix'!M12)</f>
        <v>0</v>
      </c>
      <c r="K316" s="183">
        <f>PRODUCT('Rollen-Prozess-Matrix'!O8,'Kompetenz-Prozess-Matrix'!M12)</f>
        <v>0</v>
      </c>
      <c r="L316" s="183">
        <f>PRODUCT('Rollen-Prozess-Matrix'!P8,'Kompetenz-Prozess-Matrix'!M12)</f>
        <v>1</v>
      </c>
      <c r="M316" s="183">
        <f>PRODUCT('Rollen-Prozess-Matrix'!Q8,'Kompetenz-Prozess-Matrix'!M12)</f>
        <v>0</v>
      </c>
      <c r="N316" s="183">
        <f>PRODUCT('Rollen-Prozess-Matrix'!R8,'Kompetenz-Prozess-Matrix'!M12)</f>
        <v>0</v>
      </c>
      <c r="O316" s="183">
        <f>PRODUCT('Rollen-Prozess-Matrix'!S8,'Kompetenz-Prozess-Matrix'!M12)</f>
        <v>2</v>
      </c>
      <c r="P316" s="183">
        <f>PRODUCT('Rollen-Prozess-Matrix'!T8,'Kompetenz-Prozess-Matrix'!M12)</f>
        <v>0</v>
      </c>
      <c r="Q316" s="185">
        <f>PRODUCT('Rollen-Prozess-Matrix'!U8,'Kompetenz-Prozess-Matrix'!M12)</f>
        <v>0</v>
      </c>
    </row>
    <row r="317" spans="1:19" ht="38.25" hidden="1" outlineLevel="1" x14ac:dyDescent="0.35">
      <c r="A317" s="336"/>
      <c r="B317" s="339"/>
      <c r="C317" s="180" t="s">
        <v>152</v>
      </c>
      <c r="D317" s="182">
        <f>PRODUCT('Rollen-Prozess-Matrix'!H9,'Kompetenz-Prozess-Matrix'!M13)</f>
        <v>0</v>
      </c>
      <c r="E317" s="183">
        <f>PRODUCT('Rollen-Prozess-Matrix'!I9,'Kompetenz-Prozess-Matrix'!M13)</f>
        <v>0</v>
      </c>
      <c r="F317" s="183">
        <f>PRODUCT('Rollen-Prozess-Matrix'!J9,'Kompetenz-Prozess-Matrix'!M13)</f>
        <v>0</v>
      </c>
      <c r="G317" s="183">
        <f>PRODUCT('Rollen-Prozess-Matrix'!K9,'Kompetenz-Prozess-Matrix'!M13)</f>
        <v>2</v>
      </c>
      <c r="H317" s="183">
        <f>PRODUCT('Rollen-Prozess-Matrix'!L9,'Kompetenz-Prozess-Matrix'!M13)</f>
        <v>3</v>
      </c>
      <c r="I317" s="183">
        <f>PRODUCT('Rollen-Prozess-Matrix'!M9,'Kompetenz-Prozess-Matrix'!M13)</f>
        <v>0</v>
      </c>
      <c r="J317" s="183">
        <f>PRODUCT('Rollen-Prozess-Matrix'!N9,'Kompetenz-Prozess-Matrix'!M13)</f>
        <v>0</v>
      </c>
      <c r="K317" s="183">
        <f>PRODUCT('Rollen-Prozess-Matrix'!O9,'Kompetenz-Prozess-Matrix'!M13)</f>
        <v>0</v>
      </c>
      <c r="L317" s="183">
        <f>PRODUCT('Rollen-Prozess-Matrix'!P9,'Kompetenz-Prozess-Matrix'!M13)</f>
        <v>0</v>
      </c>
      <c r="M317" s="183">
        <f>PRODUCT('Rollen-Prozess-Matrix'!Q9,'Kompetenz-Prozess-Matrix'!M13)</f>
        <v>0</v>
      </c>
      <c r="N317" s="183">
        <f>PRODUCT('Rollen-Prozess-Matrix'!R9,'Kompetenz-Prozess-Matrix'!M13)</f>
        <v>0</v>
      </c>
      <c r="O317" s="183">
        <f>PRODUCT('Rollen-Prozess-Matrix'!S9,'Kompetenz-Prozess-Matrix'!M13)</f>
        <v>0</v>
      </c>
      <c r="P317" s="183">
        <f>PRODUCT('Rollen-Prozess-Matrix'!T9,'Kompetenz-Prozess-Matrix'!M13)</f>
        <v>0</v>
      </c>
      <c r="Q317" s="185">
        <f>PRODUCT('Rollen-Prozess-Matrix'!U9,'Kompetenz-Prozess-Matrix'!M13)</f>
        <v>0</v>
      </c>
    </row>
    <row r="318" spans="1:19" ht="38.25" hidden="1" outlineLevel="1" x14ac:dyDescent="0.35">
      <c r="A318" s="336"/>
      <c r="B318" s="339"/>
      <c r="C318" s="180" t="s">
        <v>157</v>
      </c>
      <c r="D318" s="182">
        <f>PRODUCT('Rollen-Prozess-Matrix'!H10,'Kompetenz-Prozess-Matrix'!M14)</f>
        <v>0</v>
      </c>
      <c r="E318" s="183">
        <f>PRODUCT('Rollen-Prozess-Matrix'!I10,'Kompetenz-Prozess-Matrix'!M14)</f>
        <v>0</v>
      </c>
      <c r="F318" s="183">
        <f>PRODUCT('Rollen-Prozess-Matrix'!J10,'Kompetenz-Prozess-Matrix'!M14)</f>
        <v>4</v>
      </c>
      <c r="G318" s="183">
        <f>PRODUCT('Rollen-Prozess-Matrix'!K10,'Kompetenz-Prozess-Matrix'!M14)</f>
        <v>0</v>
      </c>
      <c r="H318" s="183">
        <f>PRODUCT('Rollen-Prozess-Matrix'!L10,'Kompetenz-Prozess-Matrix'!M14)</f>
        <v>6</v>
      </c>
      <c r="I318" s="183">
        <f>PRODUCT('Rollen-Prozess-Matrix'!M10,'Kompetenz-Prozess-Matrix'!M14)</f>
        <v>0</v>
      </c>
      <c r="J318" s="183">
        <f>PRODUCT('Rollen-Prozess-Matrix'!N10,'Kompetenz-Prozess-Matrix'!M14)</f>
        <v>0</v>
      </c>
      <c r="K318" s="183">
        <f>PRODUCT('Rollen-Prozess-Matrix'!O10,'Kompetenz-Prozess-Matrix'!M14)</f>
        <v>0</v>
      </c>
      <c r="L318" s="183">
        <f>PRODUCT('Rollen-Prozess-Matrix'!P10,'Kompetenz-Prozess-Matrix'!M14)</f>
        <v>0</v>
      </c>
      <c r="M318" s="183">
        <f>PRODUCT('Rollen-Prozess-Matrix'!Q10,'Kompetenz-Prozess-Matrix'!M14)</f>
        <v>0</v>
      </c>
      <c r="N318" s="183">
        <f>PRODUCT('Rollen-Prozess-Matrix'!R10,'Kompetenz-Prozess-Matrix'!M14)</f>
        <v>0</v>
      </c>
      <c r="O318" s="183">
        <f>PRODUCT('Rollen-Prozess-Matrix'!S10,'Kompetenz-Prozess-Matrix'!M14)</f>
        <v>0</v>
      </c>
      <c r="P318" s="183">
        <f>PRODUCT('Rollen-Prozess-Matrix'!T10,'Kompetenz-Prozess-Matrix'!M14)</f>
        <v>0</v>
      </c>
      <c r="Q318" s="185">
        <f>PRODUCT('Rollen-Prozess-Matrix'!U10,'Kompetenz-Prozess-Matrix'!M14)</f>
        <v>0</v>
      </c>
    </row>
    <row r="319" spans="1:19" ht="38.25" hidden="1" outlineLevel="1" x14ac:dyDescent="0.35">
      <c r="A319" s="336"/>
      <c r="B319" s="339"/>
      <c r="C319" s="180" t="s">
        <v>161</v>
      </c>
      <c r="D319" s="182">
        <f>PRODUCT('Rollen-Prozess-Matrix'!H11,'Kompetenz-Prozess-Matrix'!M15)</f>
        <v>0</v>
      </c>
      <c r="E319" s="183">
        <f>PRODUCT('Rollen-Prozess-Matrix'!I11,'Kompetenz-Prozess-Matrix'!M15)</f>
        <v>0</v>
      </c>
      <c r="F319" s="183">
        <f>PRODUCT('Rollen-Prozess-Matrix'!J11,'Kompetenz-Prozess-Matrix'!M15)</f>
        <v>4</v>
      </c>
      <c r="G319" s="183">
        <f>PRODUCT('Rollen-Prozess-Matrix'!K11,'Kompetenz-Prozess-Matrix'!M15)</f>
        <v>0</v>
      </c>
      <c r="H319" s="183">
        <f>PRODUCT('Rollen-Prozess-Matrix'!L11,'Kompetenz-Prozess-Matrix'!M15)</f>
        <v>6</v>
      </c>
      <c r="I319" s="183">
        <f>PRODUCT('Rollen-Prozess-Matrix'!M11,'Kompetenz-Prozess-Matrix'!M15)</f>
        <v>0</v>
      </c>
      <c r="J319" s="183">
        <f>PRODUCT('Rollen-Prozess-Matrix'!N11,'Kompetenz-Prozess-Matrix'!M15)</f>
        <v>0</v>
      </c>
      <c r="K319" s="183">
        <f>PRODUCT('Rollen-Prozess-Matrix'!O11,'Kompetenz-Prozess-Matrix'!M15)</f>
        <v>0</v>
      </c>
      <c r="L319" s="183">
        <f>PRODUCT('Rollen-Prozess-Matrix'!P11,'Kompetenz-Prozess-Matrix'!M15)</f>
        <v>0</v>
      </c>
      <c r="M319" s="183">
        <f>PRODUCT('Rollen-Prozess-Matrix'!Q11,'Kompetenz-Prozess-Matrix'!M15)</f>
        <v>0</v>
      </c>
      <c r="N319" s="183">
        <f>PRODUCT('Rollen-Prozess-Matrix'!R11,'Kompetenz-Prozess-Matrix'!M15)</f>
        <v>0</v>
      </c>
      <c r="O319" s="183">
        <f>PRODUCT('Rollen-Prozess-Matrix'!S11,'Kompetenz-Prozess-Matrix'!M15)</f>
        <v>0</v>
      </c>
      <c r="P319" s="183">
        <f>PRODUCT('Rollen-Prozess-Matrix'!T11,'Kompetenz-Prozess-Matrix'!M15)</f>
        <v>0</v>
      </c>
      <c r="Q319" s="185">
        <f>PRODUCT('Rollen-Prozess-Matrix'!U11,'Kompetenz-Prozess-Matrix'!M15)</f>
        <v>2</v>
      </c>
    </row>
    <row r="320" spans="1:19" ht="38.25" hidden="1" outlineLevel="1" x14ac:dyDescent="0.35">
      <c r="A320" s="336"/>
      <c r="B320" s="339"/>
      <c r="C320" s="180" t="s">
        <v>288</v>
      </c>
      <c r="D320" s="182">
        <f>PRODUCT('Rollen-Prozess-Matrix'!H12,'Kompetenz-Prozess-Matrix'!M16)</f>
        <v>0</v>
      </c>
      <c r="E320" s="183">
        <f>PRODUCT('Rollen-Prozess-Matrix'!I12,'Kompetenz-Prozess-Matrix'!M16)</f>
        <v>2</v>
      </c>
      <c r="F320" s="183">
        <f>PRODUCT('Rollen-Prozess-Matrix'!J12,'Kompetenz-Prozess-Matrix'!M16)</f>
        <v>2</v>
      </c>
      <c r="G320" s="183">
        <f>PRODUCT('Rollen-Prozess-Matrix'!K12,'Kompetenz-Prozess-Matrix'!M16)</f>
        <v>0</v>
      </c>
      <c r="H320" s="183">
        <f>PRODUCT('Rollen-Prozess-Matrix'!L12,'Kompetenz-Prozess-Matrix'!M16)</f>
        <v>3</v>
      </c>
      <c r="I320" s="183">
        <f>PRODUCT('Rollen-Prozess-Matrix'!M12,'Kompetenz-Prozess-Matrix'!M16)</f>
        <v>2</v>
      </c>
      <c r="J320" s="183">
        <f>PRODUCT('Rollen-Prozess-Matrix'!N12,'Kompetenz-Prozess-Matrix'!M16)</f>
        <v>1</v>
      </c>
      <c r="K320" s="183">
        <f>PRODUCT('Rollen-Prozess-Matrix'!O12,'Kompetenz-Prozess-Matrix'!M16)</f>
        <v>1</v>
      </c>
      <c r="L320" s="183">
        <f>PRODUCT('Rollen-Prozess-Matrix'!P12,'Kompetenz-Prozess-Matrix'!M16)</f>
        <v>1</v>
      </c>
      <c r="M320" s="183">
        <f>PRODUCT('Rollen-Prozess-Matrix'!Q12,'Kompetenz-Prozess-Matrix'!M16)</f>
        <v>0</v>
      </c>
      <c r="N320" s="183">
        <f>PRODUCT('Rollen-Prozess-Matrix'!R12,'Kompetenz-Prozess-Matrix'!M16)</f>
        <v>0</v>
      </c>
      <c r="O320" s="183">
        <f>PRODUCT('Rollen-Prozess-Matrix'!S12,'Kompetenz-Prozess-Matrix'!M16)</f>
        <v>0</v>
      </c>
      <c r="P320" s="183">
        <f>PRODUCT('Rollen-Prozess-Matrix'!T12,'Kompetenz-Prozess-Matrix'!M16)</f>
        <v>1</v>
      </c>
      <c r="Q320" s="185">
        <f>PRODUCT('Rollen-Prozess-Matrix'!U12,'Kompetenz-Prozess-Matrix'!M16)</f>
        <v>2</v>
      </c>
    </row>
    <row r="321" spans="1:17" ht="25.5" hidden="1" outlineLevel="1" x14ac:dyDescent="0.35">
      <c r="A321" s="336"/>
      <c r="B321" s="339"/>
      <c r="C321" s="180" t="s">
        <v>169</v>
      </c>
      <c r="D321" s="182">
        <f>PRODUCT('Rollen-Prozess-Matrix'!H13,'Kompetenz-Prozess-Matrix'!M17)</f>
        <v>0</v>
      </c>
      <c r="E321" s="183">
        <f>PRODUCT('Rollen-Prozess-Matrix'!I13,'Kompetenz-Prozess-Matrix'!M17)</f>
        <v>1</v>
      </c>
      <c r="F321" s="183">
        <f>PRODUCT('Rollen-Prozess-Matrix'!J13,'Kompetenz-Prozess-Matrix'!M17)</f>
        <v>2</v>
      </c>
      <c r="G321" s="183">
        <f>PRODUCT('Rollen-Prozess-Matrix'!K13,'Kompetenz-Prozess-Matrix'!M17)</f>
        <v>0</v>
      </c>
      <c r="H321" s="183">
        <f>PRODUCT('Rollen-Prozess-Matrix'!L13,'Kompetenz-Prozess-Matrix'!M17)</f>
        <v>3</v>
      </c>
      <c r="I321" s="183">
        <f>PRODUCT('Rollen-Prozess-Matrix'!M13,'Kompetenz-Prozess-Matrix'!M17)</f>
        <v>2</v>
      </c>
      <c r="J321" s="183">
        <f>PRODUCT('Rollen-Prozess-Matrix'!N13,'Kompetenz-Prozess-Matrix'!M17)</f>
        <v>1</v>
      </c>
      <c r="K321" s="183">
        <f>PRODUCT('Rollen-Prozess-Matrix'!O13,'Kompetenz-Prozess-Matrix'!M17)</f>
        <v>1</v>
      </c>
      <c r="L321" s="183">
        <f>PRODUCT('Rollen-Prozess-Matrix'!P13,'Kompetenz-Prozess-Matrix'!M17)</f>
        <v>0</v>
      </c>
      <c r="M321" s="183">
        <f>PRODUCT('Rollen-Prozess-Matrix'!Q13,'Kompetenz-Prozess-Matrix'!M17)</f>
        <v>0</v>
      </c>
      <c r="N321" s="183">
        <f>PRODUCT('Rollen-Prozess-Matrix'!R13,'Kompetenz-Prozess-Matrix'!M17)</f>
        <v>0</v>
      </c>
      <c r="O321" s="183">
        <f>PRODUCT('Rollen-Prozess-Matrix'!S13,'Kompetenz-Prozess-Matrix'!M17)</f>
        <v>1</v>
      </c>
      <c r="P321" s="183">
        <f>PRODUCT('Rollen-Prozess-Matrix'!T13,'Kompetenz-Prozess-Matrix'!M17)</f>
        <v>0</v>
      </c>
      <c r="Q321" s="185">
        <f>PRODUCT('Rollen-Prozess-Matrix'!U13,'Kompetenz-Prozess-Matrix'!M17)</f>
        <v>0</v>
      </c>
    </row>
    <row r="322" spans="1:17" ht="63.75" hidden="1" outlineLevel="1" x14ac:dyDescent="0.35">
      <c r="A322" s="336"/>
      <c r="B322" s="339"/>
      <c r="C322" s="180" t="s">
        <v>173</v>
      </c>
      <c r="D322" s="182">
        <f>PRODUCT('Rollen-Prozess-Matrix'!H14,'Kompetenz-Prozess-Matrix'!M18)</f>
        <v>0</v>
      </c>
      <c r="E322" s="183">
        <f>PRODUCT('Rollen-Prozess-Matrix'!I14,'Kompetenz-Prozess-Matrix'!M18)</f>
        <v>1</v>
      </c>
      <c r="F322" s="183">
        <f>PRODUCT('Rollen-Prozess-Matrix'!J14,'Kompetenz-Prozess-Matrix'!M18)</f>
        <v>2</v>
      </c>
      <c r="G322" s="183">
        <f>PRODUCT('Rollen-Prozess-Matrix'!K14,'Kompetenz-Prozess-Matrix'!M18)</f>
        <v>0</v>
      </c>
      <c r="H322" s="183">
        <f>PRODUCT('Rollen-Prozess-Matrix'!L14,'Kompetenz-Prozess-Matrix'!M18)</f>
        <v>3</v>
      </c>
      <c r="I322" s="183">
        <f>PRODUCT('Rollen-Prozess-Matrix'!M14,'Kompetenz-Prozess-Matrix'!M18)</f>
        <v>2</v>
      </c>
      <c r="J322" s="183">
        <f>PRODUCT('Rollen-Prozess-Matrix'!N14,'Kompetenz-Prozess-Matrix'!M18)</f>
        <v>1</v>
      </c>
      <c r="K322" s="183">
        <f>PRODUCT('Rollen-Prozess-Matrix'!O14,'Kompetenz-Prozess-Matrix'!M18)</f>
        <v>0</v>
      </c>
      <c r="L322" s="183">
        <f>PRODUCT('Rollen-Prozess-Matrix'!P14,'Kompetenz-Prozess-Matrix'!M18)</f>
        <v>1</v>
      </c>
      <c r="M322" s="183">
        <f>PRODUCT('Rollen-Prozess-Matrix'!Q14,'Kompetenz-Prozess-Matrix'!M18)</f>
        <v>0</v>
      </c>
      <c r="N322" s="183">
        <f>PRODUCT('Rollen-Prozess-Matrix'!R14,'Kompetenz-Prozess-Matrix'!M18)</f>
        <v>0</v>
      </c>
      <c r="O322" s="183">
        <f>PRODUCT('Rollen-Prozess-Matrix'!S14,'Kompetenz-Prozess-Matrix'!M18)</f>
        <v>0</v>
      </c>
      <c r="P322" s="183">
        <f>PRODUCT('Rollen-Prozess-Matrix'!T14,'Kompetenz-Prozess-Matrix'!M18)</f>
        <v>0</v>
      </c>
      <c r="Q322" s="185">
        <f>PRODUCT('Rollen-Prozess-Matrix'!U14,'Kompetenz-Prozess-Matrix'!M18)</f>
        <v>0</v>
      </c>
    </row>
    <row r="323" spans="1:17" ht="38.25" hidden="1" outlineLevel="1" x14ac:dyDescent="0.35">
      <c r="A323" s="336"/>
      <c r="B323" s="339"/>
      <c r="C323" s="180" t="s">
        <v>177</v>
      </c>
      <c r="D323" s="182">
        <f>PRODUCT('Rollen-Prozess-Matrix'!H15,'Kompetenz-Prozess-Matrix'!M19)</f>
        <v>0</v>
      </c>
      <c r="E323" s="183">
        <f>PRODUCT('Rollen-Prozess-Matrix'!I15,'Kompetenz-Prozess-Matrix'!M19)</f>
        <v>1</v>
      </c>
      <c r="F323" s="183">
        <f>PRODUCT('Rollen-Prozess-Matrix'!J15,'Kompetenz-Prozess-Matrix'!M19)</f>
        <v>2</v>
      </c>
      <c r="G323" s="183">
        <f>PRODUCT('Rollen-Prozess-Matrix'!K15,'Kompetenz-Prozess-Matrix'!M19)</f>
        <v>0</v>
      </c>
      <c r="H323" s="183">
        <f>PRODUCT('Rollen-Prozess-Matrix'!L15,'Kompetenz-Prozess-Matrix'!M19)</f>
        <v>3</v>
      </c>
      <c r="I323" s="183">
        <f>PRODUCT('Rollen-Prozess-Matrix'!M15,'Kompetenz-Prozess-Matrix'!M19)</f>
        <v>1</v>
      </c>
      <c r="J323" s="183">
        <f>PRODUCT('Rollen-Prozess-Matrix'!N15,'Kompetenz-Prozess-Matrix'!M19)</f>
        <v>1</v>
      </c>
      <c r="K323" s="183">
        <f>PRODUCT('Rollen-Prozess-Matrix'!O15,'Kompetenz-Prozess-Matrix'!M19)</f>
        <v>0</v>
      </c>
      <c r="L323" s="183">
        <f>PRODUCT('Rollen-Prozess-Matrix'!P15,'Kompetenz-Prozess-Matrix'!M19)</f>
        <v>1</v>
      </c>
      <c r="M323" s="183">
        <f>PRODUCT('Rollen-Prozess-Matrix'!Q15,'Kompetenz-Prozess-Matrix'!M19)</f>
        <v>0</v>
      </c>
      <c r="N323" s="183">
        <f>PRODUCT('Rollen-Prozess-Matrix'!R15,'Kompetenz-Prozess-Matrix'!M19)</f>
        <v>0</v>
      </c>
      <c r="O323" s="183">
        <f>PRODUCT('Rollen-Prozess-Matrix'!S15,'Kompetenz-Prozess-Matrix'!M19)</f>
        <v>0</v>
      </c>
      <c r="P323" s="183">
        <f>PRODUCT('Rollen-Prozess-Matrix'!T15,'Kompetenz-Prozess-Matrix'!M19)</f>
        <v>0</v>
      </c>
      <c r="Q323" s="185">
        <f>PRODUCT('Rollen-Prozess-Matrix'!U15,'Kompetenz-Prozess-Matrix'!M19)</f>
        <v>0</v>
      </c>
    </row>
    <row r="324" spans="1:17" hidden="1" outlineLevel="1" x14ac:dyDescent="0.35">
      <c r="A324" s="336"/>
      <c r="B324" s="339"/>
      <c r="C324" s="180" t="s">
        <v>181</v>
      </c>
      <c r="D324" s="182">
        <f>PRODUCT('Rollen-Prozess-Matrix'!H16,'Kompetenz-Prozess-Matrix'!M20)</f>
        <v>0</v>
      </c>
      <c r="E324" s="183">
        <f>PRODUCT('Rollen-Prozess-Matrix'!I16,'Kompetenz-Prozess-Matrix'!M20)</f>
        <v>0</v>
      </c>
      <c r="F324" s="183">
        <f>PRODUCT('Rollen-Prozess-Matrix'!J16,'Kompetenz-Prozess-Matrix'!M20)</f>
        <v>0</v>
      </c>
      <c r="G324" s="183">
        <f>PRODUCT('Rollen-Prozess-Matrix'!K16,'Kompetenz-Prozess-Matrix'!M20)</f>
        <v>0</v>
      </c>
      <c r="H324" s="183">
        <f>PRODUCT('Rollen-Prozess-Matrix'!L16,'Kompetenz-Prozess-Matrix'!M20)</f>
        <v>0</v>
      </c>
      <c r="I324" s="183">
        <f>PRODUCT('Rollen-Prozess-Matrix'!M16,'Kompetenz-Prozess-Matrix'!M20)</f>
        <v>0</v>
      </c>
      <c r="J324" s="183">
        <f>PRODUCT('Rollen-Prozess-Matrix'!N16,'Kompetenz-Prozess-Matrix'!M20)</f>
        <v>0</v>
      </c>
      <c r="K324" s="183">
        <f>PRODUCT('Rollen-Prozess-Matrix'!O16,'Kompetenz-Prozess-Matrix'!M20)</f>
        <v>0</v>
      </c>
      <c r="L324" s="183">
        <f>PRODUCT('Rollen-Prozess-Matrix'!P16,'Kompetenz-Prozess-Matrix'!M20)</f>
        <v>0</v>
      </c>
      <c r="M324" s="183">
        <f>PRODUCT('Rollen-Prozess-Matrix'!Q16,'Kompetenz-Prozess-Matrix'!M20)</f>
        <v>0</v>
      </c>
      <c r="N324" s="183">
        <f>PRODUCT('Rollen-Prozess-Matrix'!R16,'Kompetenz-Prozess-Matrix'!M20)</f>
        <v>0</v>
      </c>
      <c r="O324" s="183">
        <f>PRODUCT('Rollen-Prozess-Matrix'!S16,'Kompetenz-Prozess-Matrix'!M20)</f>
        <v>0</v>
      </c>
      <c r="P324" s="183">
        <f>PRODUCT('Rollen-Prozess-Matrix'!T16,'Kompetenz-Prozess-Matrix'!M20)</f>
        <v>0</v>
      </c>
      <c r="Q324" s="185">
        <f>PRODUCT('Rollen-Prozess-Matrix'!U16,'Kompetenz-Prozess-Matrix'!M20)</f>
        <v>0</v>
      </c>
    </row>
    <row r="325" spans="1:17" ht="38.25" hidden="1" outlineLevel="1" x14ac:dyDescent="0.35">
      <c r="A325" s="336"/>
      <c r="B325" s="339"/>
      <c r="C325" s="180" t="s">
        <v>185</v>
      </c>
      <c r="D325" s="182">
        <f>PRODUCT('Rollen-Prozess-Matrix'!H17,'Kompetenz-Prozess-Matrix'!M21)</f>
        <v>0</v>
      </c>
      <c r="E325" s="183">
        <f>PRODUCT('Rollen-Prozess-Matrix'!I17,'Kompetenz-Prozess-Matrix'!M21)</f>
        <v>1</v>
      </c>
      <c r="F325" s="183">
        <f>PRODUCT('Rollen-Prozess-Matrix'!J17,'Kompetenz-Prozess-Matrix'!M21)</f>
        <v>1</v>
      </c>
      <c r="G325" s="183">
        <f>PRODUCT('Rollen-Prozess-Matrix'!K17,'Kompetenz-Prozess-Matrix'!M21)</f>
        <v>0</v>
      </c>
      <c r="H325" s="183">
        <f>PRODUCT('Rollen-Prozess-Matrix'!L17,'Kompetenz-Prozess-Matrix'!M21)</f>
        <v>3</v>
      </c>
      <c r="I325" s="183">
        <f>PRODUCT('Rollen-Prozess-Matrix'!M17,'Kompetenz-Prozess-Matrix'!M21)</f>
        <v>0</v>
      </c>
      <c r="J325" s="183">
        <f>PRODUCT('Rollen-Prozess-Matrix'!N17,'Kompetenz-Prozess-Matrix'!M21)</f>
        <v>0</v>
      </c>
      <c r="K325" s="183">
        <f>PRODUCT('Rollen-Prozess-Matrix'!O17,'Kompetenz-Prozess-Matrix'!M21)</f>
        <v>0</v>
      </c>
      <c r="L325" s="183">
        <f>PRODUCT('Rollen-Prozess-Matrix'!P17,'Kompetenz-Prozess-Matrix'!M21)</f>
        <v>2</v>
      </c>
      <c r="M325" s="183">
        <f>PRODUCT('Rollen-Prozess-Matrix'!Q17,'Kompetenz-Prozess-Matrix'!M21)</f>
        <v>0</v>
      </c>
      <c r="N325" s="183">
        <f>PRODUCT('Rollen-Prozess-Matrix'!R17,'Kompetenz-Prozess-Matrix'!M21)</f>
        <v>0</v>
      </c>
      <c r="O325" s="183">
        <f>PRODUCT('Rollen-Prozess-Matrix'!S17,'Kompetenz-Prozess-Matrix'!M21)</f>
        <v>2</v>
      </c>
      <c r="P325" s="183">
        <f>PRODUCT('Rollen-Prozess-Matrix'!T17,'Kompetenz-Prozess-Matrix'!M21)</f>
        <v>0</v>
      </c>
      <c r="Q325" s="185">
        <f>PRODUCT('Rollen-Prozess-Matrix'!U17,'Kompetenz-Prozess-Matrix'!M21)</f>
        <v>0</v>
      </c>
    </row>
    <row r="326" spans="1:17" ht="51" hidden="1" outlineLevel="1" x14ac:dyDescent="0.35">
      <c r="A326" s="336"/>
      <c r="B326" s="339"/>
      <c r="C326" s="180" t="s">
        <v>190</v>
      </c>
      <c r="D326" s="182">
        <f>PRODUCT('Rollen-Prozess-Matrix'!H18,'Kompetenz-Prozess-Matrix'!M22)</f>
        <v>0</v>
      </c>
      <c r="E326" s="183">
        <f>PRODUCT('Rollen-Prozess-Matrix'!I18,'Kompetenz-Prozess-Matrix'!M22)</f>
        <v>4</v>
      </c>
      <c r="F326" s="183">
        <f>PRODUCT('Rollen-Prozess-Matrix'!J18,'Kompetenz-Prozess-Matrix'!M22)</f>
        <v>0</v>
      </c>
      <c r="G326" s="183">
        <f>PRODUCT('Rollen-Prozess-Matrix'!K18,'Kompetenz-Prozess-Matrix'!M22)</f>
        <v>0</v>
      </c>
      <c r="H326" s="183">
        <f>PRODUCT('Rollen-Prozess-Matrix'!L18,'Kompetenz-Prozess-Matrix'!M22)</f>
        <v>6</v>
      </c>
      <c r="I326" s="183">
        <f>PRODUCT('Rollen-Prozess-Matrix'!M18,'Kompetenz-Prozess-Matrix'!M22)</f>
        <v>0</v>
      </c>
      <c r="J326" s="183">
        <f>PRODUCT('Rollen-Prozess-Matrix'!N18,'Kompetenz-Prozess-Matrix'!M22)</f>
        <v>0</v>
      </c>
      <c r="K326" s="183">
        <f>PRODUCT('Rollen-Prozess-Matrix'!O18,'Kompetenz-Prozess-Matrix'!M22)</f>
        <v>0</v>
      </c>
      <c r="L326" s="183">
        <f>PRODUCT('Rollen-Prozess-Matrix'!P18,'Kompetenz-Prozess-Matrix'!M22)</f>
        <v>0</v>
      </c>
      <c r="M326" s="183">
        <f>PRODUCT('Rollen-Prozess-Matrix'!Q18,'Kompetenz-Prozess-Matrix'!M22)</f>
        <v>0</v>
      </c>
      <c r="N326" s="183">
        <f>PRODUCT('Rollen-Prozess-Matrix'!R18,'Kompetenz-Prozess-Matrix'!M22)</f>
        <v>0</v>
      </c>
      <c r="O326" s="183">
        <f>PRODUCT('Rollen-Prozess-Matrix'!S18,'Kompetenz-Prozess-Matrix'!M22)</f>
        <v>0</v>
      </c>
      <c r="P326" s="183">
        <f>PRODUCT('Rollen-Prozess-Matrix'!T18,'Kompetenz-Prozess-Matrix'!M22)</f>
        <v>4</v>
      </c>
      <c r="Q326" s="185">
        <f>PRODUCT('Rollen-Prozess-Matrix'!U18,'Kompetenz-Prozess-Matrix'!M22)</f>
        <v>2</v>
      </c>
    </row>
    <row r="327" spans="1:17" ht="63.75" hidden="1" outlineLevel="1" x14ac:dyDescent="0.35">
      <c r="A327" s="336"/>
      <c r="B327" s="339"/>
      <c r="C327" s="180" t="s">
        <v>194</v>
      </c>
      <c r="D327" s="182">
        <f>PRODUCT('Rollen-Prozess-Matrix'!H19,'Kompetenz-Prozess-Matrix'!M23)</f>
        <v>0</v>
      </c>
      <c r="E327" s="183">
        <f>PRODUCT('Rollen-Prozess-Matrix'!I19,'Kompetenz-Prozess-Matrix'!M23)</f>
        <v>4</v>
      </c>
      <c r="F327" s="183">
        <f>PRODUCT('Rollen-Prozess-Matrix'!J19,'Kompetenz-Prozess-Matrix'!M23)</f>
        <v>0</v>
      </c>
      <c r="G327" s="183">
        <f>PRODUCT('Rollen-Prozess-Matrix'!K19,'Kompetenz-Prozess-Matrix'!M23)</f>
        <v>0</v>
      </c>
      <c r="H327" s="183">
        <f>PRODUCT('Rollen-Prozess-Matrix'!L19,'Kompetenz-Prozess-Matrix'!M23)</f>
        <v>6</v>
      </c>
      <c r="I327" s="183">
        <f>PRODUCT('Rollen-Prozess-Matrix'!M19,'Kompetenz-Prozess-Matrix'!M23)</f>
        <v>2</v>
      </c>
      <c r="J327" s="183">
        <f>PRODUCT('Rollen-Prozess-Matrix'!N19,'Kompetenz-Prozess-Matrix'!M23)</f>
        <v>0</v>
      </c>
      <c r="K327" s="183">
        <f>PRODUCT('Rollen-Prozess-Matrix'!O19,'Kompetenz-Prozess-Matrix'!M23)</f>
        <v>0</v>
      </c>
      <c r="L327" s="183">
        <f>PRODUCT('Rollen-Prozess-Matrix'!P19,'Kompetenz-Prozess-Matrix'!M23)</f>
        <v>2</v>
      </c>
      <c r="M327" s="183">
        <f>PRODUCT('Rollen-Prozess-Matrix'!Q19,'Kompetenz-Prozess-Matrix'!M23)</f>
        <v>0</v>
      </c>
      <c r="N327" s="183">
        <f>PRODUCT('Rollen-Prozess-Matrix'!R19,'Kompetenz-Prozess-Matrix'!M23)</f>
        <v>0</v>
      </c>
      <c r="O327" s="183">
        <f>PRODUCT('Rollen-Prozess-Matrix'!S19,'Kompetenz-Prozess-Matrix'!M23)</f>
        <v>0</v>
      </c>
      <c r="P327" s="183">
        <f>PRODUCT('Rollen-Prozess-Matrix'!T19,'Kompetenz-Prozess-Matrix'!M23)</f>
        <v>0</v>
      </c>
      <c r="Q327" s="185">
        <f>PRODUCT('Rollen-Prozess-Matrix'!U19,'Kompetenz-Prozess-Matrix'!M23)</f>
        <v>0</v>
      </c>
    </row>
    <row r="328" spans="1:17" ht="63.75" hidden="1" outlineLevel="1" x14ac:dyDescent="0.35">
      <c r="A328" s="336"/>
      <c r="B328" s="339"/>
      <c r="C328" s="180" t="s">
        <v>201</v>
      </c>
      <c r="D328" s="182">
        <f>PRODUCT('Rollen-Prozess-Matrix'!H20,'Kompetenz-Prozess-Matrix'!M24)</f>
        <v>0</v>
      </c>
      <c r="E328" s="183">
        <f>PRODUCT('Rollen-Prozess-Matrix'!I20,'Kompetenz-Prozess-Matrix'!M24)</f>
        <v>4</v>
      </c>
      <c r="F328" s="183">
        <f>PRODUCT('Rollen-Prozess-Matrix'!J20,'Kompetenz-Prozess-Matrix'!M24)</f>
        <v>0</v>
      </c>
      <c r="G328" s="183">
        <f>PRODUCT('Rollen-Prozess-Matrix'!K20,'Kompetenz-Prozess-Matrix'!M24)</f>
        <v>0</v>
      </c>
      <c r="H328" s="183">
        <f>PRODUCT('Rollen-Prozess-Matrix'!L20,'Kompetenz-Prozess-Matrix'!M24)</f>
        <v>6</v>
      </c>
      <c r="I328" s="183">
        <f>PRODUCT('Rollen-Prozess-Matrix'!M20,'Kompetenz-Prozess-Matrix'!M24)</f>
        <v>4</v>
      </c>
      <c r="J328" s="183">
        <f>PRODUCT('Rollen-Prozess-Matrix'!N20,'Kompetenz-Prozess-Matrix'!M24)</f>
        <v>2</v>
      </c>
      <c r="K328" s="183">
        <f>PRODUCT('Rollen-Prozess-Matrix'!O20,'Kompetenz-Prozess-Matrix'!M24)</f>
        <v>0</v>
      </c>
      <c r="L328" s="183">
        <f>PRODUCT('Rollen-Prozess-Matrix'!P20,'Kompetenz-Prozess-Matrix'!M24)</f>
        <v>2</v>
      </c>
      <c r="M328" s="183">
        <f>PRODUCT('Rollen-Prozess-Matrix'!Q20,'Kompetenz-Prozess-Matrix'!M24)</f>
        <v>0</v>
      </c>
      <c r="N328" s="183">
        <f>PRODUCT('Rollen-Prozess-Matrix'!R20,'Kompetenz-Prozess-Matrix'!M24)</f>
        <v>0</v>
      </c>
      <c r="O328" s="183">
        <f>PRODUCT('Rollen-Prozess-Matrix'!S20,'Kompetenz-Prozess-Matrix'!M24)</f>
        <v>0</v>
      </c>
      <c r="P328" s="183">
        <f>PRODUCT('Rollen-Prozess-Matrix'!T20,'Kompetenz-Prozess-Matrix'!M24)</f>
        <v>0</v>
      </c>
      <c r="Q328" s="185">
        <f>PRODUCT('Rollen-Prozess-Matrix'!U20,'Kompetenz-Prozess-Matrix'!M24)</f>
        <v>0</v>
      </c>
    </row>
    <row r="329" spans="1:17" ht="51" hidden="1" outlineLevel="1" x14ac:dyDescent="0.35">
      <c r="A329" s="336"/>
      <c r="B329" s="339"/>
      <c r="C329" s="180" t="s">
        <v>205</v>
      </c>
      <c r="D329" s="182">
        <f>PRODUCT('Rollen-Prozess-Matrix'!H21,'Kompetenz-Prozess-Matrix'!M25)</f>
        <v>0</v>
      </c>
      <c r="E329" s="183">
        <f>PRODUCT('Rollen-Prozess-Matrix'!I21,'Kompetenz-Prozess-Matrix'!M25)</f>
        <v>2</v>
      </c>
      <c r="F329" s="183">
        <f>PRODUCT('Rollen-Prozess-Matrix'!J21,'Kompetenz-Prozess-Matrix'!M25)</f>
        <v>0</v>
      </c>
      <c r="G329" s="183">
        <f>PRODUCT('Rollen-Prozess-Matrix'!K21,'Kompetenz-Prozess-Matrix'!M25)</f>
        <v>0</v>
      </c>
      <c r="H329" s="183">
        <f>PRODUCT('Rollen-Prozess-Matrix'!L21,'Kompetenz-Prozess-Matrix'!M25)</f>
        <v>6</v>
      </c>
      <c r="I329" s="183">
        <f>PRODUCT('Rollen-Prozess-Matrix'!M21,'Kompetenz-Prozess-Matrix'!M25)</f>
        <v>4</v>
      </c>
      <c r="J329" s="183">
        <f>PRODUCT('Rollen-Prozess-Matrix'!N21,'Kompetenz-Prozess-Matrix'!M25)</f>
        <v>2</v>
      </c>
      <c r="K329" s="183">
        <f>PRODUCT('Rollen-Prozess-Matrix'!O21,'Kompetenz-Prozess-Matrix'!M25)</f>
        <v>0</v>
      </c>
      <c r="L329" s="183">
        <f>PRODUCT('Rollen-Prozess-Matrix'!P21,'Kompetenz-Prozess-Matrix'!M25)</f>
        <v>0</v>
      </c>
      <c r="M329" s="183">
        <f>PRODUCT('Rollen-Prozess-Matrix'!Q21,'Kompetenz-Prozess-Matrix'!M25)</f>
        <v>0</v>
      </c>
      <c r="N329" s="183">
        <f>PRODUCT('Rollen-Prozess-Matrix'!R21,'Kompetenz-Prozess-Matrix'!M25)</f>
        <v>0</v>
      </c>
      <c r="O329" s="183">
        <f>PRODUCT('Rollen-Prozess-Matrix'!S21,'Kompetenz-Prozess-Matrix'!M25)</f>
        <v>0</v>
      </c>
      <c r="P329" s="183">
        <f>PRODUCT('Rollen-Prozess-Matrix'!T21,'Kompetenz-Prozess-Matrix'!M25)</f>
        <v>0</v>
      </c>
      <c r="Q329" s="185">
        <f>PRODUCT('Rollen-Prozess-Matrix'!U21,'Kompetenz-Prozess-Matrix'!M25)</f>
        <v>0</v>
      </c>
    </row>
    <row r="330" spans="1:17" ht="38.25" hidden="1" outlineLevel="1" x14ac:dyDescent="0.35">
      <c r="A330" s="336"/>
      <c r="B330" s="339"/>
      <c r="C330" s="180" t="s">
        <v>209</v>
      </c>
      <c r="D330" s="182">
        <f>PRODUCT('Rollen-Prozess-Matrix'!H22,'Kompetenz-Prozess-Matrix'!M26)</f>
        <v>0</v>
      </c>
      <c r="E330" s="183">
        <f>PRODUCT('Rollen-Prozess-Matrix'!I22,'Kompetenz-Prozess-Matrix'!M26)</f>
        <v>2</v>
      </c>
      <c r="F330" s="183">
        <f>PRODUCT('Rollen-Prozess-Matrix'!J22,'Kompetenz-Prozess-Matrix'!M26)</f>
        <v>0</v>
      </c>
      <c r="G330" s="183">
        <f>PRODUCT('Rollen-Prozess-Matrix'!K22,'Kompetenz-Prozess-Matrix'!M26)</f>
        <v>0</v>
      </c>
      <c r="H330" s="183">
        <f>PRODUCT('Rollen-Prozess-Matrix'!L22,'Kompetenz-Prozess-Matrix'!M26)</f>
        <v>6</v>
      </c>
      <c r="I330" s="183">
        <f>PRODUCT('Rollen-Prozess-Matrix'!M22,'Kompetenz-Prozess-Matrix'!M26)</f>
        <v>4</v>
      </c>
      <c r="J330" s="183">
        <f>PRODUCT('Rollen-Prozess-Matrix'!N22,'Kompetenz-Prozess-Matrix'!M26)</f>
        <v>4</v>
      </c>
      <c r="K330" s="183">
        <f>PRODUCT('Rollen-Prozess-Matrix'!O22,'Kompetenz-Prozess-Matrix'!M26)</f>
        <v>0</v>
      </c>
      <c r="L330" s="183">
        <f>PRODUCT('Rollen-Prozess-Matrix'!P22,'Kompetenz-Prozess-Matrix'!M26)</f>
        <v>0</v>
      </c>
      <c r="M330" s="183">
        <f>PRODUCT('Rollen-Prozess-Matrix'!Q22,'Kompetenz-Prozess-Matrix'!M26)</f>
        <v>0</v>
      </c>
      <c r="N330" s="183">
        <f>PRODUCT('Rollen-Prozess-Matrix'!R22,'Kompetenz-Prozess-Matrix'!M26)</f>
        <v>0</v>
      </c>
      <c r="O330" s="183">
        <f>PRODUCT('Rollen-Prozess-Matrix'!S22,'Kompetenz-Prozess-Matrix'!M26)</f>
        <v>0</v>
      </c>
      <c r="P330" s="183">
        <f>PRODUCT('Rollen-Prozess-Matrix'!T22,'Kompetenz-Prozess-Matrix'!M26)</f>
        <v>0</v>
      </c>
      <c r="Q330" s="185">
        <f>PRODUCT('Rollen-Prozess-Matrix'!U22,'Kompetenz-Prozess-Matrix'!M26)</f>
        <v>0</v>
      </c>
    </row>
    <row r="331" spans="1:17" ht="38.25" hidden="1" outlineLevel="1" x14ac:dyDescent="0.35">
      <c r="A331" s="336"/>
      <c r="B331" s="339"/>
      <c r="C331" s="180" t="s">
        <v>213</v>
      </c>
      <c r="D331" s="182">
        <f>PRODUCT('Rollen-Prozess-Matrix'!H23,'Kompetenz-Prozess-Matrix'!M27)</f>
        <v>0</v>
      </c>
      <c r="E331" s="183">
        <f>PRODUCT('Rollen-Prozess-Matrix'!I23,'Kompetenz-Prozess-Matrix'!M27)</f>
        <v>0</v>
      </c>
      <c r="F331" s="183">
        <f>PRODUCT('Rollen-Prozess-Matrix'!J23,'Kompetenz-Prozess-Matrix'!M27)</f>
        <v>0</v>
      </c>
      <c r="G331" s="183">
        <f>PRODUCT('Rollen-Prozess-Matrix'!K23,'Kompetenz-Prozess-Matrix'!M27)</f>
        <v>0</v>
      </c>
      <c r="H331" s="183">
        <f>PRODUCT('Rollen-Prozess-Matrix'!L23,'Kompetenz-Prozess-Matrix'!M27)</f>
        <v>6</v>
      </c>
      <c r="I331" s="183">
        <f>PRODUCT('Rollen-Prozess-Matrix'!M23,'Kompetenz-Prozess-Matrix'!M27)</f>
        <v>2</v>
      </c>
      <c r="J331" s="183">
        <f>PRODUCT('Rollen-Prozess-Matrix'!N23,'Kompetenz-Prozess-Matrix'!M27)</f>
        <v>0</v>
      </c>
      <c r="K331" s="183">
        <f>PRODUCT('Rollen-Prozess-Matrix'!O23,'Kompetenz-Prozess-Matrix'!M27)</f>
        <v>0</v>
      </c>
      <c r="L331" s="183">
        <f>PRODUCT('Rollen-Prozess-Matrix'!P23,'Kompetenz-Prozess-Matrix'!M27)</f>
        <v>4</v>
      </c>
      <c r="M331" s="183">
        <f>PRODUCT('Rollen-Prozess-Matrix'!Q23,'Kompetenz-Prozess-Matrix'!M27)</f>
        <v>0</v>
      </c>
      <c r="N331" s="183">
        <f>PRODUCT('Rollen-Prozess-Matrix'!R23,'Kompetenz-Prozess-Matrix'!M27)</f>
        <v>0</v>
      </c>
      <c r="O331" s="183">
        <f>PRODUCT('Rollen-Prozess-Matrix'!S23,'Kompetenz-Prozess-Matrix'!M27)</f>
        <v>0</v>
      </c>
      <c r="P331" s="183">
        <f>PRODUCT('Rollen-Prozess-Matrix'!T23,'Kompetenz-Prozess-Matrix'!M27)</f>
        <v>0</v>
      </c>
      <c r="Q331" s="185">
        <f>PRODUCT('Rollen-Prozess-Matrix'!U23,'Kompetenz-Prozess-Matrix'!M27)</f>
        <v>0</v>
      </c>
    </row>
    <row r="332" spans="1:17" ht="38.25" hidden="1" outlineLevel="1" x14ac:dyDescent="0.35">
      <c r="A332" s="336"/>
      <c r="B332" s="339"/>
      <c r="C332" s="180" t="s">
        <v>217</v>
      </c>
      <c r="D332" s="182">
        <f>PRODUCT('Rollen-Prozess-Matrix'!H24,'Kompetenz-Prozess-Matrix'!M28)</f>
        <v>0</v>
      </c>
      <c r="E332" s="183">
        <f>PRODUCT('Rollen-Prozess-Matrix'!I24,'Kompetenz-Prozess-Matrix'!M28)</f>
        <v>0</v>
      </c>
      <c r="F332" s="183">
        <f>PRODUCT('Rollen-Prozess-Matrix'!J24,'Kompetenz-Prozess-Matrix'!M28)</f>
        <v>0</v>
      </c>
      <c r="G332" s="183">
        <f>PRODUCT('Rollen-Prozess-Matrix'!K24,'Kompetenz-Prozess-Matrix'!M28)</f>
        <v>0</v>
      </c>
      <c r="H332" s="183">
        <f>PRODUCT('Rollen-Prozess-Matrix'!L24,'Kompetenz-Prozess-Matrix'!M28)</f>
        <v>3</v>
      </c>
      <c r="I332" s="183">
        <f>PRODUCT('Rollen-Prozess-Matrix'!M24,'Kompetenz-Prozess-Matrix'!M28)</f>
        <v>0</v>
      </c>
      <c r="J332" s="183">
        <f>PRODUCT('Rollen-Prozess-Matrix'!N24,'Kompetenz-Prozess-Matrix'!M28)</f>
        <v>2</v>
      </c>
      <c r="K332" s="183">
        <f>PRODUCT('Rollen-Prozess-Matrix'!O24,'Kompetenz-Prozess-Matrix'!M28)</f>
        <v>2</v>
      </c>
      <c r="L332" s="183">
        <f>PRODUCT('Rollen-Prozess-Matrix'!P24,'Kompetenz-Prozess-Matrix'!M28)</f>
        <v>0</v>
      </c>
      <c r="M332" s="183">
        <f>PRODUCT('Rollen-Prozess-Matrix'!Q24,'Kompetenz-Prozess-Matrix'!M28)</f>
        <v>2</v>
      </c>
      <c r="N332" s="183">
        <f>PRODUCT('Rollen-Prozess-Matrix'!R24,'Kompetenz-Prozess-Matrix'!M28)</f>
        <v>0</v>
      </c>
      <c r="O332" s="183">
        <f>PRODUCT('Rollen-Prozess-Matrix'!S24,'Kompetenz-Prozess-Matrix'!M28)</f>
        <v>0</v>
      </c>
      <c r="P332" s="183">
        <f>PRODUCT('Rollen-Prozess-Matrix'!T24,'Kompetenz-Prozess-Matrix'!M28)</f>
        <v>0</v>
      </c>
      <c r="Q332" s="185">
        <f>PRODUCT('Rollen-Prozess-Matrix'!U24,'Kompetenz-Prozess-Matrix'!M28)</f>
        <v>0</v>
      </c>
    </row>
    <row r="333" spans="1:17" ht="38.25" hidden="1" outlineLevel="1" x14ac:dyDescent="0.35">
      <c r="A333" s="336"/>
      <c r="B333" s="339"/>
      <c r="C333" s="180" t="s">
        <v>223</v>
      </c>
      <c r="D333" s="182">
        <f>PRODUCT('Rollen-Prozess-Matrix'!H25,'Kompetenz-Prozess-Matrix'!M29)</f>
        <v>0</v>
      </c>
      <c r="E333" s="183">
        <f>PRODUCT('Rollen-Prozess-Matrix'!I25,'Kompetenz-Prozess-Matrix'!M29)</f>
        <v>2</v>
      </c>
      <c r="F333" s="183">
        <f>PRODUCT('Rollen-Prozess-Matrix'!J25,'Kompetenz-Prozess-Matrix'!M29)</f>
        <v>0</v>
      </c>
      <c r="G333" s="183">
        <f>PRODUCT('Rollen-Prozess-Matrix'!K25,'Kompetenz-Prozess-Matrix'!M29)</f>
        <v>0</v>
      </c>
      <c r="H333" s="183">
        <f>PRODUCT('Rollen-Prozess-Matrix'!L25,'Kompetenz-Prozess-Matrix'!M29)</f>
        <v>6</v>
      </c>
      <c r="I333" s="183">
        <f>PRODUCT('Rollen-Prozess-Matrix'!M25,'Kompetenz-Prozess-Matrix'!M29)</f>
        <v>0</v>
      </c>
      <c r="J333" s="183">
        <f>PRODUCT('Rollen-Prozess-Matrix'!N25,'Kompetenz-Prozess-Matrix'!M29)</f>
        <v>0</v>
      </c>
      <c r="K333" s="183">
        <f>PRODUCT('Rollen-Prozess-Matrix'!O25,'Kompetenz-Prozess-Matrix'!M29)</f>
        <v>2</v>
      </c>
      <c r="L333" s="183">
        <f>PRODUCT('Rollen-Prozess-Matrix'!P25,'Kompetenz-Prozess-Matrix'!M29)</f>
        <v>2</v>
      </c>
      <c r="M333" s="183">
        <f>PRODUCT('Rollen-Prozess-Matrix'!Q25,'Kompetenz-Prozess-Matrix'!M29)</f>
        <v>4</v>
      </c>
      <c r="N333" s="183">
        <f>PRODUCT('Rollen-Prozess-Matrix'!R25,'Kompetenz-Prozess-Matrix'!M29)</f>
        <v>0</v>
      </c>
      <c r="O333" s="183">
        <f>PRODUCT('Rollen-Prozess-Matrix'!S25,'Kompetenz-Prozess-Matrix'!M29)</f>
        <v>0</v>
      </c>
      <c r="P333" s="183">
        <f>PRODUCT('Rollen-Prozess-Matrix'!T25,'Kompetenz-Prozess-Matrix'!M29)</f>
        <v>0</v>
      </c>
      <c r="Q333" s="185">
        <f>PRODUCT('Rollen-Prozess-Matrix'!U25,'Kompetenz-Prozess-Matrix'!M29)</f>
        <v>0</v>
      </c>
    </row>
    <row r="334" spans="1:17" ht="38.25" hidden="1" outlineLevel="1" x14ac:dyDescent="0.35">
      <c r="A334" s="336"/>
      <c r="B334" s="339"/>
      <c r="C334" s="180" t="s">
        <v>229</v>
      </c>
      <c r="D334" s="182">
        <f>PRODUCT('Rollen-Prozess-Matrix'!H26,'Kompetenz-Prozess-Matrix'!M30)</f>
        <v>0</v>
      </c>
      <c r="E334" s="183">
        <f>PRODUCT('Rollen-Prozess-Matrix'!I26,'Kompetenz-Prozess-Matrix'!M30)</f>
        <v>2</v>
      </c>
      <c r="F334" s="183">
        <f>PRODUCT('Rollen-Prozess-Matrix'!J26,'Kompetenz-Prozess-Matrix'!M30)</f>
        <v>0</v>
      </c>
      <c r="G334" s="183">
        <f>PRODUCT('Rollen-Prozess-Matrix'!K26,'Kompetenz-Prozess-Matrix'!M30)</f>
        <v>0</v>
      </c>
      <c r="H334" s="183">
        <f>PRODUCT('Rollen-Prozess-Matrix'!L26,'Kompetenz-Prozess-Matrix'!M30)</f>
        <v>6</v>
      </c>
      <c r="I334" s="183">
        <f>PRODUCT('Rollen-Prozess-Matrix'!M26,'Kompetenz-Prozess-Matrix'!M30)</f>
        <v>2</v>
      </c>
      <c r="J334" s="183">
        <f>PRODUCT('Rollen-Prozess-Matrix'!N26,'Kompetenz-Prozess-Matrix'!M30)</f>
        <v>2</v>
      </c>
      <c r="K334" s="183">
        <f>PRODUCT('Rollen-Prozess-Matrix'!O26,'Kompetenz-Prozess-Matrix'!M30)</f>
        <v>0</v>
      </c>
      <c r="L334" s="183">
        <f>PRODUCT('Rollen-Prozess-Matrix'!P26,'Kompetenz-Prozess-Matrix'!M30)</f>
        <v>4</v>
      </c>
      <c r="M334" s="183">
        <f>PRODUCT('Rollen-Prozess-Matrix'!Q26,'Kompetenz-Prozess-Matrix'!M30)</f>
        <v>0</v>
      </c>
      <c r="N334" s="183">
        <f>PRODUCT('Rollen-Prozess-Matrix'!R26,'Kompetenz-Prozess-Matrix'!M30)</f>
        <v>0</v>
      </c>
      <c r="O334" s="183">
        <f>PRODUCT('Rollen-Prozess-Matrix'!S26,'Kompetenz-Prozess-Matrix'!M30)</f>
        <v>2</v>
      </c>
      <c r="P334" s="183">
        <f>PRODUCT('Rollen-Prozess-Matrix'!T26,'Kompetenz-Prozess-Matrix'!M30)</f>
        <v>0</v>
      </c>
      <c r="Q334" s="185">
        <f>PRODUCT('Rollen-Prozess-Matrix'!U26,'Kompetenz-Prozess-Matrix'!M30)</f>
        <v>0</v>
      </c>
    </row>
    <row r="335" spans="1:17" ht="38.25" hidden="1" outlineLevel="1" x14ac:dyDescent="0.35">
      <c r="A335" s="336"/>
      <c r="B335" s="339"/>
      <c r="C335" s="180" t="s">
        <v>235</v>
      </c>
      <c r="D335" s="182">
        <f>PRODUCT('Rollen-Prozess-Matrix'!H27,'Kompetenz-Prozess-Matrix'!M31)</f>
        <v>2</v>
      </c>
      <c r="E335" s="183">
        <f>PRODUCT('Rollen-Prozess-Matrix'!I27,'Kompetenz-Prozess-Matrix'!M31)</f>
        <v>2</v>
      </c>
      <c r="F335" s="183">
        <f>PRODUCT('Rollen-Prozess-Matrix'!J27,'Kompetenz-Prozess-Matrix'!M31)</f>
        <v>0</v>
      </c>
      <c r="G335" s="183">
        <f>PRODUCT('Rollen-Prozess-Matrix'!K27,'Kompetenz-Prozess-Matrix'!M31)</f>
        <v>0</v>
      </c>
      <c r="H335" s="183">
        <f>PRODUCT('Rollen-Prozess-Matrix'!L27,'Kompetenz-Prozess-Matrix'!M31)</f>
        <v>3</v>
      </c>
      <c r="I335" s="183">
        <f>PRODUCT('Rollen-Prozess-Matrix'!M27,'Kompetenz-Prozess-Matrix'!M31)</f>
        <v>0</v>
      </c>
      <c r="J335" s="183">
        <f>PRODUCT('Rollen-Prozess-Matrix'!N27,'Kompetenz-Prozess-Matrix'!M31)</f>
        <v>0</v>
      </c>
      <c r="K335" s="183">
        <f>PRODUCT('Rollen-Prozess-Matrix'!O27,'Kompetenz-Prozess-Matrix'!M31)</f>
        <v>2</v>
      </c>
      <c r="L335" s="183">
        <f>PRODUCT('Rollen-Prozess-Matrix'!P27,'Kompetenz-Prozess-Matrix'!M31)</f>
        <v>0</v>
      </c>
      <c r="M335" s="183">
        <f>PRODUCT('Rollen-Prozess-Matrix'!Q27,'Kompetenz-Prozess-Matrix'!M31)</f>
        <v>0</v>
      </c>
      <c r="N335" s="183">
        <f>PRODUCT('Rollen-Prozess-Matrix'!R27,'Kompetenz-Prozess-Matrix'!M31)</f>
        <v>2</v>
      </c>
      <c r="O335" s="183">
        <f>PRODUCT('Rollen-Prozess-Matrix'!S27,'Kompetenz-Prozess-Matrix'!M31)</f>
        <v>0</v>
      </c>
      <c r="P335" s="183">
        <f>PRODUCT('Rollen-Prozess-Matrix'!T27,'Kompetenz-Prozess-Matrix'!M31)</f>
        <v>0</v>
      </c>
      <c r="Q335" s="185">
        <f>PRODUCT('Rollen-Prozess-Matrix'!U27,'Kompetenz-Prozess-Matrix'!M31)</f>
        <v>0</v>
      </c>
    </row>
    <row r="336" spans="1:17" ht="38.25" hidden="1" outlineLevel="1" x14ac:dyDescent="0.35">
      <c r="A336" s="336"/>
      <c r="B336" s="339"/>
      <c r="C336" s="180" t="s">
        <v>242</v>
      </c>
      <c r="D336" s="182">
        <f>PRODUCT('Rollen-Prozess-Matrix'!H28,'Kompetenz-Prozess-Matrix'!M32)</f>
        <v>2</v>
      </c>
      <c r="E336" s="183">
        <f>PRODUCT('Rollen-Prozess-Matrix'!I28,'Kompetenz-Prozess-Matrix'!M32)</f>
        <v>2</v>
      </c>
      <c r="F336" s="183">
        <f>PRODUCT('Rollen-Prozess-Matrix'!J28,'Kompetenz-Prozess-Matrix'!M32)</f>
        <v>0</v>
      </c>
      <c r="G336" s="183">
        <f>PRODUCT('Rollen-Prozess-Matrix'!K28,'Kompetenz-Prozess-Matrix'!M32)</f>
        <v>0</v>
      </c>
      <c r="H336" s="183">
        <f>PRODUCT('Rollen-Prozess-Matrix'!L28,'Kompetenz-Prozess-Matrix'!M32)</f>
        <v>6</v>
      </c>
      <c r="I336" s="183">
        <f>PRODUCT('Rollen-Prozess-Matrix'!M28,'Kompetenz-Prozess-Matrix'!M32)</f>
        <v>0</v>
      </c>
      <c r="J336" s="183">
        <f>PRODUCT('Rollen-Prozess-Matrix'!N28,'Kompetenz-Prozess-Matrix'!M32)</f>
        <v>0</v>
      </c>
      <c r="K336" s="183">
        <f>PRODUCT('Rollen-Prozess-Matrix'!O28,'Kompetenz-Prozess-Matrix'!M32)</f>
        <v>0</v>
      </c>
      <c r="L336" s="183">
        <f>PRODUCT('Rollen-Prozess-Matrix'!P28,'Kompetenz-Prozess-Matrix'!M32)</f>
        <v>4</v>
      </c>
      <c r="M336" s="183">
        <f>PRODUCT('Rollen-Prozess-Matrix'!Q28,'Kompetenz-Prozess-Matrix'!M32)</f>
        <v>0</v>
      </c>
      <c r="N336" s="183">
        <f>PRODUCT('Rollen-Prozess-Matrix'!R28,'Kompetenz-Prozess-Matrix'!M32)</f>
        <v>0</v>
      </c>
      <c r="O336" s="183">
        <f>PRODUCT('Rollen-Prozess-Matrix'!S28,'Kompetenz-Prozess-Matrix'!M32)</f>
        <v>2</v>
      </c>
      <c r="P336" s="183">
        <f>PRODUCT('Rollen-Prozess-Matrix'!T28,'Kompetenz-Prozess-Matrix'!M32)</f>
        <v>0</v>
      </c>
      <c r="Q336" s="185">
        <f>PRODUCT('Rollen-Prozess-Matrix'!U28,'Kompetenz-Prozess-Matrix'!M32)</f>
        <v>0</v>
      </c>
    </row>
    <row r="337" spans="1:19" ht="38.25" hidden="1" outlineLevel="1" x14ac:dyDescent="0.35">
      <c r="A337" s="336"/>
      <c r="B337" s="339"/>
      <c r="C337" s="180" t="s">
        <v>248</v>
      </c>
      <c r="D337" s="182">
        <f>PRODUCT('Rollen-Prozess-Matrix'!H29,'Kompetenz-Prozess-Matrix'!M33)</f>
        <v>2</v>
      </c>
      <c r="E337" s="183">
        <f>PRODUCT('Rollen-Prozess-Matrix'!I29,'Kompetenz-Prozess-Matrix'!M33)</f>
        <v>0</v>
      </c>
      <c r="F337" s="183">
        <f>PRODUCT('Rollen-Prozess-Matrix'!J29,'Kompetenz-Prozess-Matrix'!M33)</f>
        <v>0</v>
      </c>
      <c r="G337" s="183">
        <f>PRODUCT('Rollen-Prozess-Matrix'!K29,'Kompetenz-Prozess-Matrix'!M33)</f>
        <v>0</v>
      </c>
      <c r="H337" s="183">
        <f>PRODUCT('Rollen-Prozess-Matrix'!L29,'Kompetenz-Prozess-Matrix'!M33)</f>
        <v>3</v>
      </c>
      <c r="I337" s="183">
        <f>PRODUCT('Rollen-Prozess-Matrix'!M29,'Kompetenz-Prozess-Matrix'!M33)</f>
        <v>1</v>
      </c>
      <c r="J337" s="183">
        <f>PRODUCT('Rollen-Prozess-Matrix'!N29,'Kompetenz-Prozess-Matrix'!M33)</f>
        <v>0</v>
      </c>
      <c r="K337" s="183">
        <f>PRODUCT('Rollen-Prozess-Matrix'!O29,'Kompetenz-Prozess-Matrix'!M33)</f>
        <v>0</v>
      </c>
      <c r="L337" s="183">
        <f>PRODUCT('Rollen-Prozess-Matrix'!P29,'Kompetenz-Prozess-Matrix'!M33)</f>
        <v>0</v>
      </c>
      <c r="M337" s="183">
        <f>PRODUCT('Rollen-Prozess-Matrix'!Q29,'Kompetenz-Prozess-Matrix'!M33)</f>
        <v>0</v>
      </c>
      <c r="N337" s="183">
        <f>PRODUCT('Rollen-Prozess-Matrix'!R29,'Kompetenz-Prozess-Matrix'!M33)</f>
        <v>1</v>
      </c>
      <c r="O337" s="183">
        <f>PRODUCT('Rollen-Prozess-Matrix'!S29,'Kompetenz-Prozess-Matrix'!M33)</f>
        <v>0</v>
      </c>
      <c r="P337" s="183">
        <f>PRODUCT('Rollen-Prozess-Matrix'!T29,'Kompetenz-Prozess-Matrix'!M33)</f>
        <v>0</v>
      </c>
      <c r="Q337" s="185">
        <f>PRODUCT('Rollen-Prozess-Matrix'!U29,'Kompetenz-Prozess-Matrix'!M33)</f>
        <v>0</v>
      </c>
    </row>
    <row r="338" spans="1:19" ht="38.25" hidden="1" outlineLevel="1" x14ac:dyDescent="0.35">
      <c r="A338" s="336"/>
      <c r="B338" s="339"/>
      <c r="C338" s="180" t="s">
        <v>255</v>
      </c>
      <c r="D338" s="182">
        <f>PRODUCT('Rollen-Prozess-Matrix'!H30,'Kompetenz-Prozess-Matrix'!M34)</f>
        <v>2</v>
      </c>
      <c r="E338" s="183">
        <f>PRODUCT('Rollen-Prozess-Matrix'!I30,'Kompetenz-Prozess-Matrix'!M34)</f>
        <v>0</v>
      </c>
      <c r="F338" s="183">
        <f>PRODUCT('Rollen-Prozess-Matrix'!J30,'Kompetenz-Prozess-Matrix'!M34)</f>
        <v>0</v>
      </c>
      <c r="G338" s="183">
        <f>PRODUCT('Rollen-Prozess-Matrix'!K30,'Kompetenz-Prozess-Matrix'!M34)</f>
        <v>0</v>
      </c>
      <c r="H338" s="183">
        <f>PRODUCT('Rollen-Prozess-Matrix'!L30,'Kompetenz-Prozess-Matrix'!M34)</f>
        <v>3</v>
      </c>
      <c r="I338" s="183">
        <f>PRODUCT('Rollen-Prozess-Matrix'!M30,'Kompetenz-Prozess-Matrix'!M34)</f>
        <v>1</v>
      </c>
      <c r="J338" s="183">
        <f>PRODUCT('Rollen-Prozess-Matrix'!N30,'Kompetenz-Prozess-Matrix'!M34)</f>
        <v>0</v>
      </c>
      <c r="K338" s="183">
        <f>PRODUCT('Rollen-Prozess-Matrix'!O30,'Kompetenz-Prozess-Matrix'!M34)</f>
        <v>0</v>
      </c>
      <c r="L338" s="183">
        <f>PRODUCT('Rollen-Prozess-Matrix'!P30,'Kompetenz-Prozess-Matrix'!M34)</f>
        <v>0</v>
      </c>
      <c r="M338" s="183">
        <f>PRODUCT('Rollen-Prozess-Matrix'!Q30,'Kompetenz-Prozess-Matrix'!M34)</f>
        <v>0</v>
      </c>
      <c r="N338" s="183">
        <f>PRODUCT('Rollen-Prozess-Matrix'!R30,'Kompetenz-Prozess-Matrix'!M34)</f>
        <v>2</v>
      </c>
      <c r="O338" s="183">
        <f>PRODUCT('Rollen-Prozess-Matrix'!S30,'Kompetenz-Prozess-Matrix'!M34)</f>
        <v>0</v>
      </c>
      <c r="P338" s="183">
        <f>PRODUCT('Rollen-Prozess-Matrix'!T30,'Kompetenz-Prozess-Matrix'!M34)</f>
        <v>0</v>
      </c>
      <c r="Q338" s="185">
        <f>PRODUCT('Rollen-Prozess-Matrix'!U30,'Kompetenz-Prozess-Matrix'!M34)</f>
        <v>0</v>
      </c>
    </row>
    <row r="339" spans="1:19" ht="38.25" hidden="1" outlineLevel="1" x14ac:dyDescent="0.35">
      <c r="A339" s="336"/>
      <c r="B339" s="339"/>
      <c r="C339" s="180" t="s">
        <v>261</v>
      </c>
      <c r="D339" s="182">
        <f>PRODUCT('Rollen-Prozess-Matrix'!H31,'Kompetenz-Prozess-Matrix'!M35)</f>
        <v>2</v>
      </c>
      <c r="E339" s="183">
        <f>PRODUCT('Rollen-Prozess-Matrix'!I31,'Kompetenz-Prozess-Matrix'!M35)</f>
        <v>0</v>
      </c>
      <c r="F339" s="183">
        <f>PRODUCT('Rollen-Prozess-Matrix'!J31,'Kompetenz-Prozess-Matrix'!M35)</f>
        <v>0</v>
      </c>
      <c r="G339" s="183">
        <f>PRODUCT('Rollen-Prozess-Matrix'!K31,'Kompetenz-Prozess-Matrix'!M35)</f>
        <v>0</v>
      </c>
      <c r="H339" s="183">
        <f>PRODUCT('Rollen-Prozess-Matrix'!L31,'Kompetenz-Prozess-Matrix'!M35)</f>
        <v>3</v>
      </c>
      <c r="I339" s="183">
        <f>PRODUCT('Rollen-Prozess-Matrix'!M31,'Kompetenz-Prozess-Matrix'!M35)</f>
        <v>0</v>
      </c>
      <c r="J339" s="183">
        <f>PRODUCT('Rollen-Prozess-Matrix'!N31,'Kompetenz-Prozess-Matrix'!M35)</f>
        <v>0</v>
      </c>
      <c r="K339" s="183">
        <f>PRODUCT('Rollen-Prozess-Matrix'!O31,'Kompetenz-Prozess-Matrix'!M35)</f>
        <v>0</v>
      </c>
      <c r="L339" s="183">
        <f>PRODUCT('Rollen-Prozess-Matrix'!P31,'Kompetenz-Prozess-Matrix'!M35)</f>
        <v>0</v>
      </c>
      <c r="M339" s="183">
        <f>PRODUCT('Rollen-Prozess-Matrix'!Q31,'Kompetenz-Prozess-Matrix'!M35)</f>
        <v>0</v>
      </c>
      <c r="N339" s="183">
        <f>PRODUCT('Rollen-Prozess-Matrix'!R31,'Kompetenz-Prozess-Matrix'!M35)</f>
        <v>1</v>
      </c>
      <c r="O339" s="183">
        <f>PRODUCT('Rollen-Prozess-Matrix'!S31,'Kompetenz-Prozess-Matrix'!M35)</f>
        <v>0</v>
      </c>
      <c r="P339" s="183">
        <f>PRODUCT('Rollen-Prozess-Matrix'!T31,'Kompetenz-Prozess-Matrix'!M35)</f>
        <v>0</v>
      </c>
      <c r="Q339" s="185">
        <f>PRODUCT('Rollen-Prozess-Matrix'!U31,'Kompetenz-Prozess-Matrix'!M35)</f>
        <v>0</v>
      </c>
    </row>
    <row r="340" spans="1:19" hidden="1" outlineLevel="1" x14ac:dyDescent="0.35">
      <c r="A340" s="336"/>
      <c r="B340" s="339"/>
      <c r="C340" s="180" t="s">
        <v>264</v>
      </c>
      <c r="D340" s="182">
        <f>PRODUCT('Rollen-Prozess-Matrix'!H32,'Kompetenz-Prozess-Matrix'!M36)</f>
        <v>0</v>
      </c>
      <c r="E340" s="183">
        <f>PRODUCT('Rollen-Prozess-Matrix'!I32,'Kompetenz-Prozess-Matrix'!M36)</f>
        <v>0</v>
      </c>
      <c r="F340" s="183">
        <f>PRODUCT('Rollen-Prozess-Matrix'!J32,'Kompetenz-Prozess-Matrix'!M36)</f>
        <v>0</v>
      </c>
      <c r="G340" s="183">
        <f>PRODUCT('Rollen-Prozess-Matrix'!K32,'Kompetenz-Prozess-Matrix'!M36)</f>
        <v>2</v>
      </c>
      <c r="H340" s="183">
        <f>PRODUCT('Rollen-Prozess-Matrix'!L32,'Kompetenz-Prozess-Matrix'!M36)</f>
        <v>1</v>
      </c>
      <c r="I340" s="183">
        <f>PRODUCT('Rollen-Prozess-Matrix'!M32,'Kompetenz-Prozess-Matrix'!M36)</f>
        <v>0</v>
      </c>
      <c r="J340" s="183">
        <f>PRODUCT('Rollen-Prozess-Matrix'!N32,'Kompetenz-Prozess-Matrix'!M36)</f>
        <v>0</v>
      </c>
      <c r="K340" s="183">
        <f>PRODUCT('Rollen-Prozess-Matrix'!O32,'Kompetenz-Prozess-Matrix'!M36)</f>
        <v>0</v>
      </c>
      <c r="L340" s="183">
        <f>PRODUCT('Rollen-Prozess-Matrix'!P32,'Kompetenz-Prozess-Matrix'!M36)</f>
        <v>0</v>
      </c>
      <c r="M340" s="183">
        <f>PRODUCT('Rollen-Prozess-Matrix'!Q32,'Kompetenz-Prozess-Matrix'!M36)</f>
        <v>0</v>
      </c>
      <c r="N340" s="183">
        <f>PRODUCT('Rollen-Prozess-Matrix'!R32,'Kompetenz-Prozess-Matrix'!M36)</f>
        <v>0</v>
      </c>
      <c r="O340" s="183">
        <f>PRODUCT('Rollen-Prozess-Matrix'!S32,'Kompetenz-Prozess-Matrix'!M36)</f>
        <v>0</v>
      </c>
      <c r="P340" s="183">
        <f>PRODUCT('Rollen-Prozess-Matrix'!T32,'Kompetenz-Prozess-Matrix'!M36)</f>
        <v>0</v>
      </c>
      <c r="Q340" s="185">
        <f>PRODUCT('Rollen-Prozess-Matrix'!U32,'Kompetenz-Prozess-Matrix'!M36)</f>
        <v>0</v>
      </c>
    </row>
    <row r="341" spans="1:19" hidden="1" outlineLevel="1" x14ac:dyDescent="0.35">
      <c r="A341" s="336"/>
      <c r="B341" s="339"/>
      <c r="C341" s="180" t="s">
        <v>266</v>
      </c>
      <c r="D341" s="182">
        <f>PRODUCT('Rollen-Prozess-Matrix'!H33,'Kompetenz-Prozess-Matrix'!M37)</f>
        <v>0</v>
      </c>
      <c r="E341" s="183">
        <f>PRODUCT('Rollen-Prozess-Matrix'!I33,'Kompetenz-Prozess-Matrix'!M37)</f>
        <v>0</v>
      </c>
      <c r="F341" s="183">
        <f>PRODUCT('Rollen-Prozess-Matrix'!J33,'Kompetenz-Prozess-Matrix'!M37)</f>
        <v>4</v>
      </c>
      <c r="G341" s="183">
        <f>PRODUCT('Rollen-Prozess-Matrix'!K33,'Kompetenz-Prozess-Matrix'!M37)</f>
        <v>4</v>
      </c>
      <c r="H341" s="183">
        <f>PRODUCT('Rollen-Prozess-Matrix'!L33,'Kompetenz-Prozess-Matrix'!M37)</f>
        <v>0</v>
      </c>
      <c r="I341" s="183">
        <f>PRODUCT('Rollen-Prozess-Matrix'!M33,'Kompetenz-Prozess-Matrix'!M37)</f>
        <v>4</v>
      </c>
      <c r="J341" s="183">
        <f>PRODUCT('Rollen-Prozess-Matrix'!N33,'Kompetenz-Prozess-Matrix'!M37)</f>
        <v>2</v>
      </c>
      <c r="K341" s="183">
        <f>PRODUCT('Rollen-Prozess-Matrix'!O33,'Kompetenz-Prozess-Matrix'!M37)</f>
        <v>0</v>
      </c>
      <c r="L341" s="183">
        <f>PRODUCT('Rollen-Prozess-Matrix'!P33,'Kompetenz-Prozess-Matrix'!M37)</f>
        <v>2</v>
      </c>
      <c r="M341" s="183">
        <f>PRODUCT('Rollen-Prozess-Matrix'!Q33,'Kompetenz-Prozess-Matrix'!M37)</f>
        <v>0</v>
      </c>
      <c r="N341" s="183">
        <f>PRODUCT('Rollen-Prozess-Matrix'!R33,'Kompetenz-Prozess-Matrix'!M37)</f>
        <v>0</v>
      </c>
      <c r="O341" s="183">
        <f>PRODUCT('Rollen-Prozess-Matrix'!S33,'Kompetenz-Prozess-Matrix'!M37)</f>
        <v>0</v>
      </c>
      <c r="P341" s="183">
        <f>PRODUCT('Rollen-Prozess-Matrix'!T33,'Kompetenz-Prozess-Matrix'!M37)</f>
        <v>0</v>
      </c>
      <c r="Q341" s="185">
        <f>PRODUCT('Rollen-Prozess-Matrix'!U33,'Kompetenz-Prozess-Matrix'!M37)</f>
        <v>0</v>
      </c>
    </row>
    <row r="342" spans="1:19" ht="13.15" hidden="1" outlineLevel="1" thickBot="1" x14ac:dyDescent="0.4">
      <c r="A342" s="336"/>
      <c r="B342" s="340"/>
      <c r="C342" s="181" t="s">
        <v>289</v>
      </c>
      <c r="D342" s="182">
        <f>PRODUCT('Rollen-Prozess-Matrix'!H34,'Kompetenz-Prozess-Matrix'!M38)</f>
        <v>0</v>
      </c>
      <c r="E342" s="183">
        <f>PRODUCT('Rollen-Prozess-Matrix'!I34,'Kompetenz-Prozess-Matrix'!M38)</f>
        <v>0</v>
      </c>
      <c r="F342" s="183">
        <f>PRODUCT('Rollen-Prozess-Matrix'!J34,'Kompetenz-Prozess-Matrix'!M38)</f>
        <v>0</v>
      </c>
      <c r="G342" s="183">
        <f>PRODUCT('Rollen-Prozess-Matrix'!K34,'Kompetenz-Prozess-Matrix'!M38)</f>
        <v>4</v>
      </c>
      <c r="H342" s="183">
        <f>PRODUCT('Rollen-Prozess-Matrix'!L34,'Kompetenz-Prozess-Matrix'!M38)</f>
        <v>0</v>
      </c>
      <c r="I342" s="183">
        <f>PRODUCT('Rollen-Prozess-Matrix'!M34,'Kompetenz-Prozess-Matrix'!M38)</f>
        <v>0</v>
      </c>
      <c r="J342" s="183">
        <f>PRODUCT('Rollen-Prozess-Matrix'!N34,'Kompetenz-Prozess-Matrix'!M38)</f>
        <v>0</v>
      </c>
      <c r="K342" s="183">
        <f>PRODUCT('Rollen-Prozess-Matrix'!O34,'Kompetenz-Prozess-Matrix'!M38)</f>
        <v>0</v>
      </c>
      <c r="L342" s="183">
        <f>PRODUCT('Rollen-Prozess-Matrix'!P34,'Kompetenz-Prozess-Matrix'!M38)</f>
        <v>0</v>
      </c>
      <c r="M342" s="183">
        <f>PRODUCT('Rollen-Prozess-Matrix'!Q34,'Kompetenz-Prozess-Matrix'!M38)</f>
        <v>0</v>
      </c>
      <c r="N342" s="183">
        <f>PRODUCT('Rollen-Prozess-Matrix'!R34,'Kompetenz-Prozess-Matrix'!M38)</f>
        <v>0</v>
      </c>
      <c r="O342" s="183">
        <f>PRODUCT('Rollen-Prozess-Matrix'!S34,'Kompetenz-Prozess-Matrix'!M38)</f>
        <v>0</v>
      </c>
      <c r="P342" s="183">
        <f>PRODUCT('Rollen-Prozess-Matrix'!T34,'Kompetenz-Prozess-Matrix'!M38)</f>
        <v>0</v>
      </c>
      <c r="Q342" s="185">
        <f>PRODUCT('Rollen-Prozess-Matrix'!U34,'Kompetenz-Prozess-Matrix'!M38)</f>
        <v>0</v>
      </c>
    </row>
    <row r="343" spans="1:19" ht="12.6" customHeight="1" collapsed="1" thickBot="1" x14ac:dyDescent="0.4">
      <c r="A343" s="336"/>
      <c r="B343" s="338" t="s">
        <v>74</v>
      </c>
      <c r="C343" s="178"/>
      <c r="D343" s="184">
        <f>MAX(D344:D376)</f>
        <v>4</v>
      </c>
      <c r="E343" s="184">
        <f t="shared" ref="E343" si="118">MAX(E344:E376)</f>
        <v>4</v>
      </c>
      <c r="F343" s="184">
        <f t="shared" ref="F343" si="119">MAX(F344:F376)</f>
        <v>4</v>
      </c>
      <c r="G343" s="184">
        <f t="shared" ref="G343" si="120">MAX(G344:G376)</f>
        <v>4</v>
      </c>
      <c r="H343" s="184">
        <f t="shared" ref="H343" si="121">MAX(H344:H376)</f>
        <v>6</v>
      </c>
      <c r="I343" s="184">
        <f t="shared" ref="I343" si="122">MAX(I344:I376)</f>
        <v>4</v>
      </c>
      <c r="J343" s="184">
        <f t="shared" ref="J343" si="123">MAX(J344:J376)</f>
        <v>2</v>
      </c>
      <c r="K343" s="184">
        <f t="shared" ref="K343" si="124">MAX(K344:K376)</f>
        <v>4</v>
      </c>
      <c r="L343" s="184">
        <f t="shared" ref="L343" si="125">MAX(L344:L376)</f>
        <v>2</v>
      </c>
      <c r="M343" s="184">
        <f t="shared" ref="M343" si="126">MAX(M344:M376)</f>
        <v>4</v>
      </c>
      <c r="N343" s="184">
        <f t="shared" ref="N343" si="127">MAX(N344:N376)</f>
        <v>4</v>
      </c>
      <c r="O343" s="184">
        <f t="shared" ref="O343" si="128">MAX(O344:O376)</f>
        <v>2</v>
      </c>
      <c r="P343" s="184">
        <f t="shared" ref="P343" si="129">MAX(P344:P376)</f>
        <v>4</v>
      </c>
      <c r="Q343" s="199">
        <f t="shared" ref="Q343" si="130">MAX(Q344:Q376)</f>
        <v>2</v>
      </c>
      <c r="S343">
        <v>1</v>
      </c>
    </row>
    <row r="344" spans="1:19" outlineLevel="1" x14ac:dyDescent="0.35">
      <c r="A344" s="336"/>
      <c r="B344" s="339"/>
      <c r="C344" s="179" t="s">
        <v>123</v>
      </c>
      <c r="D344" s="182">
        <f>PRODUCT('Rollen-Prozess-Matrix'!H2,'Kompetenz-Prozess-Matrix'!N6)</f>
        <v>0</v>
      </c>
      <c r="E344" s="183">
        <f>PRODUCT('Rollen-Prozess-Matrix'!I2,'Kompetenz-Prozess-Matrix'!N6)</f>
        <v>0</v>
      </c>
      <c r="F344" s="183">
        <f>PRODUCT('Rollen-Prozess-Matrix'!J2,'Kompetenz-Prozess-Matrix'!N6)</f>
        <v>0</v>
      </c>
      <c r="G344" s="183">
        <f>PRODUCT('Rollen-Prozess-Matrix'!K2,'Kompetenz-Prozess-Matrix'!N6)</f>
        <v>0</v>
      </c>
      <c r="H344" s="183">
        <f>PRODUCT('Rollen-Prozess-Matrix'!L2,'Kompetenz-Prozess-Matrix'!N6)</f>
        <v>6</v>
      </c>
      <c r="I344" s="183">
        <f>PRODUCT('Rollen-Prozess-Matrix'!M2,'Kompetenz-Prozess-Matrix'!N6)</f>
        <v>2</v>
      </c>
      <c r="J344" s="183">
        <f>PRODUCT('Rollen-Prozess-Matrix'!N2,'Kompetenz-Prozess-Matrix'!N6)</f>
        <v>2</v>
      </c>
      <c r="K344" s="183">
        <f>PRODUCT('Rollen-Prozess-Matrix'!O2,'Kompetenz-Prozess-Matrix'!N6)</f>
        <v>4</v>
      </c>
      <c r="L344" s="183">
        <f>PRODUCT('Rollen-Prozess-Matrix'!P2,'Kompetenz-Prozess-Matrix'!N6)</f>
        <v>2</v>
      </c>
      <c r="M344" s="183">
        <f>PRODUCT('Rollen-Prozess-Matrix'!Q2,'Kompetenz-Prozess-Matrix'!N6)</f>
        <v>0</v>
      </c>
      <c r="N344" s="183">
        <f>PRODUCT('Rollen-Prozess-Matrix'!R2,'Kompetenz-Prozess-Matrix'!N6)</f>
        <v>0</v>
      </c>
      <c r="O344" s="183">
        <f>PRODUCT('Rollen-Prozess-Matrix'!S2,'Kompetenz-Prozess-Matrix'!N6)</f>
        <v>0</v>
      </c>
      <c r="P344" s="183">
        <f>PRODUCT('Rollen-Prozess-Matrix'!T2,'Kompetenz-Prozess-Matrix'!N6)</f>
        <v>0</v>
      </c>
      <c r="Q344" s="185">
        <f>PRODUCT('Rollen-Prozess-Matrix'!U2,'Kompetenz-Prozess-Matrix'!N6)</f>
        <v>0</v>
      </c>
    </row>
    <row r="345" spans="1:19" outlineLevel="1" x14ac:dyDescent="0.35">
      <c r="A345" s="336"/>
      <c r="B345" s="339"/>
      <c r="C345" s="180" t="s">
        <v>127</v>
      </c>
      <c r="D345" s="182">
        <f>PRODUCT('Rollen-Prozess-Matrix'!H3,'Kompetenz-Prozess-Matrix'!N7)</f>
        <v>0</v>
      </c>
      <c r="E345" s="183">
        <f>PRODUCT('Rollen-Prozess-Matrix'!I3,'Kompetenz-Prozess-Matrix'!N7)</f>
        <v>4</v>
      </c>
      <c r="F345" s="183">
        <f>PRODUCT('Rollen-Prozess-Matrix'!J3,'Kompetenz-Prozess-Matrix'!N7)</f>
        <v>2</v>
      </c>
      <c r="G345" s="183">
        <f>PRODUCT('Rollen-Prozess-Matrix'!K3,'Kompetenz-Prozess-Matrix'!N7)</f>
        <v>0</v>
      </c>
      <c r="H345" s="183">
        <f>PRODUCT('Rollen-Prozess-Matrix'!L3,'Kompetenz-Prozess-Matrix'!N7)</f>
        <v>6</v>
      </c>
      <c r="I345" s="183">
        <f>PRODUCT('Rollen-Prozess-Matrix'!M3,'Kompetenz-Prozess-Matrix'!N7)</f>
        <v>2</v>
      </c>
      <c r="J345" s="183">
        <f>PRODUCT('Rollen-Prozess-Matrix'!N3,'Kompetenz-Prozess-Matrix'!N7)</f>
        <v>0</v>
      </c>
      <c r="K345" s="183">
        <f>PRODUCT('Rollen-Prozess-Matrix'!O3,'Kompetenz-Prozess-Matrix'!N7)</f>
        <v>2</v>
      </c>
      <c r="L345" s="183">
        <f>PRODUCT('Rollen-Prozess-Matrix'!P3,'Kompetenz-Prozess-Matrix'!N7)</f>
        <v>0</v>
      </c>
      <c r="M345" s="183">
        <f>PRODUCT('Rollen-Prozess-Matrix'!Q3,'Kompetenz-Prozess-Matrix'!N7)</f>
        <v>0</v>
      </c>
      <c r="N345" s="183">
        <f>PRODUCT('Rollen-Prozess-Matrix'!R3,'Kompetenz-Prozess-Matrix'!N7)</f>
        <v>2</v>
      </c>
      <c r="O345" s="183">
        <f>PRODUCT('Rollen-Prozess-Matrix'!S3,'Kompetenz-Prozess-Matrix'!N7)</f>
        <v>0</v>
      </c>
      <c r="P345" s="183">
        <f>PRODUCT('Rollen-Prozess-Matrix'!T3,'Kompetenz-Prozess-Matrix'!N7)</f>
        <v>0</v>
      </c>
      <c r="Q345" s="185">
        <f>PRODUCT('Rollen-Prozess-Matrix'!U3,'Kompetenz-Prozess-Matrix'!N7)</f>
        <v>0</v>
      </c>
    </row>
    <row r="346" spans="1:19" ht="51" outlineLevel="1" x14ac:dyDescent="0.35">
      <c r="A346" s="336"/>
      <c r="B346" s="339"/>
      <c r="C346" s="180" t="s">
        <v>132</v>
      </c>
      <c r="D346" s="182">
        <f>PRODUCT('Rollen-Prozess-Matrix'!H4,'Kompetenz-Prozess-Matrix'!N8)</f>
        <v>0</v>
      </c>
      <c r="E346" s="183">
        <f>PRODUCT('Rollen-Prozess-Matrix'!I4,'Kompetenz-Prozess-Matrix'!N8)</f>
        <v>0</v>
      </c>
      <c r="F346" s="183">
        <f>PRODUCT('Rollen-Prozess-Matrix'!J4,'Kompetenz-Prozess-Matrix'!N8)</f>
        <v>0</v>
      </c>
      <c r="G346" s="183">
        <f>PRODUCT('Rollen-Prozess-Matrix'!K4,'Kompetenz-Prozess-Matrix'!N8)</f>
        <v>0</v>
      </c>
      <c r="H346" s="183">
        <f>PRODUCT('Rollen-Prozess-Matrix'!L4,'Kompetenz-Prozess-Matrix'!N8)</f>
        <v>0</v>
      </c>
      <c r="I346" s="183">
        <f>PRODUCT('Rollen-Prozess-Matrix'!M4,'Kompetenz-Prozess-Matrix'!N8)</f>
        <v>0</v>
      </c>
      <c r="J346" s="183">
        <f>PRODUCT('Rollen-Prozess-Matrix'!N4,'Kompetenz-Prozess-Matrix'!N8)</f>
        <v>0</v>
      </c>
      <c r="K346" s="183">
        <f>PRODUCT('Rollen-Prozess-Matrix'!O4,'Kompetenz-Prozess-Matrix'!N8)</f>
        <v>0</v>
      </c>
      <c r="L346" s="183">
        <f>PRODUCT('Rollen-Prozess-Matrix'!P4,'Kompetenz-Prozess-Matrix'!N8)</f>
        <v>0</v>
      </c>
      <c r="M346" s="183">
        <f>PRODUCT('Rollen-Prozess-Matrix'!Q4,'Kompetenz-Prozess-Matrix'!N8)</f>
        <v>0</v>
      </c>
      <c r="N346" s="183">
        <f>PRODUCT('Rollen-Prozess-Matrix'!R4,'Kompetenz-Prozess-Matrix'!N8)</f>
        <v>0</v>
      </c>
      <c r="O346" s="183">
        <f>PRODUCT('Rollen-Prozess-Matrix'!S4,'Kompetenz-Prozess-Matrix'!N8)</f>
        <v>0</v>
      </c>
      <c r="P346" s="183">
        <f>PRODUCT('Rollen-Prozess-Matrix'!T4,'Kompetenz-Prozess-Matrix'!N8)</f>
        <v>0</v>
      </c>
      <c r="Q346" s="185">
        <f>PRODUCT('Rollen-Prozess-Matrix'!U4,'Kompetenz-Prozess-Matrix'!N8)</f>
        <v>0</v>
      </c>
    </row>
    <row r="347" spans="1:19" ht="38.25" outlineLevel="1" x14ac:dyDescent="0.35">
      <c r="A347" s="336"/>
      <c r="B347" s="339"/>
      <c r="C347" s="180" t="s">
        <v>136</v>
      </c>
      <c r="D347" s="182">
        <f>PRODUCT('Rollen-Prozess-Matrix'!H5,'Kompetenz-Prozess-Matrix'!N9)</f>
        <v>0</v>
      </c>
      <c r="E347" s="183">
        <f>PRODUCT('Rollen-Prozess-Matrix'!I5,'Kompetenz-Prozess-Matrix'!N9)</f>
        <v>0</v>
      </c>
      <c r="F347" s="183">
        <f>PRODUCT('Rollen-Prozess-Matrix'!J5,'Kompetenz-Prozess-Matrix'!N9)</f>
        <v>0</v>
      </c>
      <c r="G347" s="183">
        <f>PRODUCT('Rollen-Prozess-Matrix'!K5,'Kompetenz-Prozess-Matrix'!N9)</f>
        <v>2</v>
      </c>
      <c r="H347" s="183">
        <f>PRODUCT('Rollen-Prozess-Matrix'!L5,'Kompetenz-Prozess-Matrix'!N9)</f>
        <v>3</v>
      </c>
      <c r="I347" s="183">
        <f>PRODUCT('Rollen-Prozess-Matrix'!M5,'Kompetenz-Prozess-Matrix'!N9)</f>
        <v>0</v>
      </c>
      <c r="J347" s="183">
        <f>PRODUCT('Rollen-Prozess-Matrix'!N5,'Kompetenz-Prozess-Matrix'!N9)</f>
        <v>0</v>
      </c>
      <c r="K347" s="183">
        <f>PRODUCT('Rollen-Prozess-Matrix'!O5,'Kompetenz-Prozess-Matrix'!N9)</f>
        <v>0</v>
      </c>
      <c r="L347" s="183">
        <f>PRODUCT('Rollen-Prozess-Matrix'!P5,'Kompetenz-Prozess-Matrix'!N9)</f>
        <v>0</v>
      </c>
      <c r="M347" s="183">
        <f>PRODUCT('Rollen-Prozess-Matrix'!Q5,'Kompetenz-Prozess-Matrix'!N9)</f>
        <v>0</v>
      </c>
      <c r="N347" s="183">
        <f>PRODUCT('Rollen-Prozess-Matrix'!R5,'Kompetenz-Prozess-Matrix'!N9)</f>
        <v>0</v>
      </c>
      <c r="O347" s="183">
        <f>PRODUCT('Rollen-Prozess-Matrix'!S5,'Kompetenz-Prozess-Matrix'!N9)</f>
        <v>0</v>
      </c>
      <c r="P347" s="183">
        <f>PRODUCT('Rollen-Prozess-Matrix'!T5,'Kompetenz-Prozess-Matrix'!N9)</f>
        <v>0</v>
      </c>
      <c r="Q347" s="185">
        <f>PRODUCT('Rollen-Prozess-Matrix'!U5,'Kompetenz-Prozess-Matrix'!N9)</f>
        <v>0</v>
      </c>
    </row>
    <row r="348" spans="1:19" ht="38.25" outlineLevel="1" x14ac:dyDescent="0.35">
      <c r="A348" s="336"/>
      <c r="B348" s="339"/>
      <c r="C348" s="180" t="s">
        <v>140</v>
      </c>
      <c r="D348" s="182">
        <f>PRODUCT('Rollen-Prozess-Matrix'!H6,'Kompetenz-Prozess-Matrix'!N10)</f>
        <v>0</v>
      </c>
      <c r="E348" s="183">
        <f>PRODUCT('Rollen-Prozess-Matrix'!I6,'Kompetenz-Prozess-Matrix'!N10)</f>
        <v>1</v>
      </c>
      <c r="F348" s="183">
        <f>PRODUCT('Rollen-Prozess-Matrix'!J6,'Kompetenz-Prozess-Matrix'!N10)</f>
        <v>1</v>
      </c>
      <c r="G348" s="183">
        <f>PRODUCT('Rollen-Prozess-Matrix'!K6,'Kompetenz-Prozess-Matrix'!N10)</f>
        <v>0</v>
      </c>
      <c r="H348" s="183">
        <f>PRODUCT('Rollen-Prozess-Matrix'!L6,'Kompetenz-Prozess-Matrix'!N10)</f>
        <v>3</v>
      </c>
      <c r="I348" s="183">
        <f>PRODUCT('Rollen-Prozess-Matrix'!M6,'Kompetenz-Prozess-Matrix'!N10)</f>
        <v>0</v>
      </c>
      <c r="J348" s="183">
        <f>PRODUCT('Rollen-Prozess-Matrix'!N6,'Kompetenz-Prozess-Matrix'!N10)</f>
        <v>0</v>
      </c>
      <c r="K348" s="183">
        <f>PRODUCT('Rollen-Prozess-Matrix'!O6,'Kompetenz-Prozess-Matrix'!N10)</f>
        <v>0</v>
      </c>
      <c r="L348" s="183">
        <f>PRODUCT('Rollen-Prozess-Matrix'!P6,'Kompetenz-Prozess-Matrix'!N10)</f>
        <v>0</v>
      </c>
      <c r="M348" s="183">
        <f>PRODUCT('Rollen-Prozess-Matrix'!Q6,'Kompetenz-Prozess-Matrix'!N10)</f>
        <v>0</v>
      </c>
      <c r="N348" s="183">
        <f>PRODUCT('Rollen-Prozess-Matrix'!R6,'Kompetenz-Prozess-Matrix'!N10)</f>
        <v>0</v>
      </c>
      <c r="O348" s="183">
        <f>PRODUCT('Rollen-Prozess-Matrix'!S6,'Kompetenz-Prozess-Matrix'!N10)</f>
        <v>0</v>
      </c>
      <c r="P348" s="183">
        <f>PRODUCT('Rollen-Prozess-Matrix'!T6,'Kompetenz-Prozess-Matrix'!N10)</f>
        <v>2</v>
      </c>
      <c r="Q348" s="185">
        <f>PRODUCT('Rollen-Prozess-Matrix'!U6,'Kompetenz-Prozess-Matrix'!N10)</f>
        <v>1</v>
      </c>
    </row>
    <row r="349" spans="1:19" ht="38.25" outlineLevel="1" x14ac:dyDescent="0.35">
      <c r="A349" s="336"/>
      <c r="B349" s="339"/>
      <c r="C349" s="180" t="s">
        <v>144</v>
      </c>
      <c r="D349" s="182">
        <f>PRODUCT('Rollen-Prozess-Matrix'!H7,'Kompetenz-Prozess-Matrix'!N11)</f>
        <v>0</v>
      </c>
      <c r="E349" s="183">
        <f>PRODUCT('Rollen-Prozess-Matrix'!I7,'Kompetenz-Prozess-Matrix'!N11)</f>
        <v>0</v>
      </c>
      <c r="F349" s="183">
        <f>PRODUCT('Rollen-Prozess-Matrix'!J7,'Kompetenz-Prozess-Matrix'!N11)</f>
        <v>0</v>
      </c>
      <c r="G349" s="183">
        <f>PRODUCT('Rollen-Prozess-Matrix'!K7,'Kompetenz-Prozess-Matrix'!N11)</f>
        <v>2</v>
      </c>
      <c r="H349" s="183">
        <f>PRODUCT('Rollen-Prozess-Matrix'!L7,'Kompetenz-Prozess-Matrix'!N11)</f>
        <v>3</v>
      </c>
      <c r="I349" s="183">
        <f>PRODUCT('Rollen-Prozess-Matrix'!M7,'Kompetenz-Prozess-Matrix'!N11)</f>
        <v>0</v>
      </c>
      <c r="J349" s="183">
        <f>PRODUCT('Rollen-Prozess-Matrix'!N7,'Kompetenz-Prozess-Matrix'!N11)</f>
        <v>0</v>
      </c>
      <c r="K349" s="183">
        <f>PRODUCT('Rollen-Prozess-Matrix'!O7,'Kompetenz-Prozess-Matrix'!N11)</f>
        <v>0</v>
      </c>
      <c r="L349" s="183">
        <f>PRODUCT('Rollen-Prozess-Matrix'!P7,'Kompetenz-Prozess-Matrix'!N11)</f>
        <v>0</v>
      </c>
      <c r="M349" s="183">
        <f>PRODUCT('Rollen-Prozess-Matrix'!Q7,'Kompetenz-Prozess-Matrix'!N11)</f>
        <v>0</v>
      </c>
      <c r="N349" s="183">
        <f>PRODUCT('Rollen-Prozess-Matrix'!R7,'Kompetenz-Prozess-Matrix'!N11)</f>
        <v>0</v>
      </c>
      <c r="O349" s="183">
        <f>PRODUCT('Rollen-Prozess-Matrix'!S7,'Kompetenz-Prozess-Matrix'!N11)</f>
        <v>0</v>
      </c>
      <c r="P349" s="183">
        <f>PRODUCT('Rollen-Prozess-Matrix'!T7,'Kompetenz-Prozess-Matrix'!N11)</f>
        <v>0</v>
      </c>
      <c r="Q349" s="185">
        <f>PRODUCT('Rollen-Prozess-Matrix'!U7,'Kompetenz-Prozess-Matrix'!N11)</f>
        <v>1</v>
      </c>
    </row>
    <row r="350" spans="1:19" ht="38.25" outlineLevel="1" x14ac:dyDescent="0.35">
      <c r="A350" s="336"/>
      <c r="B350" s="339"/>
      <c r="C350" s="180" t="s">
        <v>148</v>
      </c>
      <c r="D350" s="182">
        <f>PRODUCT('Rollen-Prozess-Matrix'!H8,'Kompetenz-Prozess-Matrix'!N12)</f>
        <v>0</v>
      </c>
      <c r="E350" s="183">
        <f>PRODUCT('Rollen-Prozess-Matrix'!I8,'Kompetenz-Prozess-Matrix'!N12)</f>
        <v>0</v>
      </c>
      <c r="F350" s="183">
        <f>PRODUCT('Rollen-Prozess-Matrix'!J8,'Kompetenz-Prozess-Matrix'!N12)</f>
        <v>0</v>
      </c>
      <c r="G350" s="183">
        <f>PRODUCT('Rollen-Prozess-Matrix'!K8,'Kompetenz-Prozess-Matrix'!N12)</f>
        <v>0</v>
      </c>
      <c r="H350" s="183">
        <f>PRODUCT('Rollen-Prozess-Matrix'!L8,'Kompetenz-Prozess-Matrix'!N12)</f>
        <v>3</v>
      </c>
      <c r="I350" s="183">
        <f>PRODUCT('Rollen-Prozess-Matrix'!M8,'Kompetenz-Prozess-Matrix'!N12)</f>
        <v>0</v>
      </c>
      <c r="J350" s="183">
        <f>PRODUCT('Rollen-Prozess-Matrix'!N8,'Kompetenz-Prozess-Matrix'!N12)</f>
        <v>0</v>
      </c>
      <c r="K350" s="183">
        <f>PRODUCT('Rollen-Prozess-Matrix'!O8,'Kompetenz-Prozess-Matrix'!N12)</f>
        <v>0</v>
      </c>
      <c r="L350" s="183">
        <f>PRODUCT('Rollen-Prozess-Matrix'!P8,'Kompetenz-Prozess-Matrix'!N12)</f>
        <v>1</v>
      </c>
      <c r="M350" s="183">
        <f>PRODUCT('Rollen-Prozess-Matrix'!Q8,'Kompetenz-Prozess-Matrix'!N12)</f>
        <v>0</v>
      </c>
      <c r="N350" s="183">
        <f>PRODUCT('Rollen-Prozess-Matrix'!R8,'Kompetenz-Prozess-Matrix'!N12)</f>
        <v>0</v>
      </c>
      <c r="O350" s="183">
        <f>PRODUCT('Rollen-Prozess-Matrix'!S8,'Kompetenz-Prozess-Matrix'!N12)</f>
        <v>2</v>
      </c>
      <c r="P350" s="183">
        <f>PRODUCT('Rollen-Prozess-Matrix'!T8,'Kompetenz-Prozess-Matrix'!N12)</f>
        <v>0</v>
      </c>
      <c r="Q350" s="185">
        <f>PRODUCT('Rollen-Prozess-Matrix'!U8,'Kompetenz-Prozess-Matrix'!N12)</f>
        <v>0</v>
      </c>
    </row>
    <row r="351" spans="1:19" ht="38.25" outlineLevel="1" x14ac:dyDescent="0.35">
      <c r="A351" s="336"/>
      <c r="B351" s="339"/>
      <c r="C351" s="180" t="s">
        <v>152</v>
      </c>
      <c r="D351" s="182">
        <f>PRODUCT('Rollen-Prozess-Matrix'!H9,'Kompetenz-Prozess-Matrix'!N13)</f>
        <v>0</v>
      </c>
      <c r="E351" s="183">
        <f>PRODUCT('Rollen-Prozess-Matrix'!I9,'Kompetenz-Prozess-Matrix'!N13)</f>
        <v>0</v>
      </c>
      <c r="F351" s="183">
        <f>PRODUCT('Rollen-Prozess-Matrix'!J9,'Kompetenz-Prozess-Matrix'!N13)</f>
        <v>0</v>
      </c>
      <c r="G351" s="183">
        <f>PRODUCT('Rollen-Prozess-Matrix'!K9,'Kompetenz-Prozess-Matrix'!N13)</f>
        <v>2</v>
      </c>
      <c r="H351" s="183">
        <f>PRODUCT('Rollen-Prozess-Matrix'!L9,'Kompetenz-Prozess-Matrix'!N13)</f>
        <v>3</v>
      </c>
      <c r="I351" s="183">
        <f>PRODUCT('Rollen-Prozess-Matrix'!M9,'Kompetenz-Prozess-Matrix'!N13)</f>
        <v>0</v>
      </c>
      <c r="J351" s="183">
        <f>PRODUCT('Rollen-Prozess-Matrix'!N9,'Kompetenz-Prozess-Matrix'!N13)</f>
        <v>0</v>
      </c>
      <c r="K351" s="183">
        <f>PRODUCT('Rollen-Prozess-Matrix'!O9,'Kompetenz-Prozess-Matrix'!N13)</f>
        <v>0</v>
      </c>
      <c r="L351" s="183">
        <f>PRODUCT('Rollen-Prozess-Matrix'!P9,'Kompetenz-Prozess-Matrix'!N13)</f>
        <v>0</v>
      </c>
      <c r="M351" s="183">
        <f>PRODUCT('Rollen-Prozess-Matrix'!Q9,'Kompetenz-Prozess-Matrix'!N13)</f>
        <v>0</v>
      </c>
      <c r="N351" s="183">
        <f>PRODUCT('Rollen-Prozess-Matrix'!R9,'Kompetenz-Prozess-Matrix'!N13)</f>
        <v>0</v>
      </c>
      <c r="O351" s="183">
        <f>PRODUCT('Rollen-Prozess-Matrix'!S9,'Kompetenz-Prozess-Matrix'!N13)</f>
        <v>0</v>
      </c>
      <c r="P351" s="183">
        <f>PRODUCT('Rollen-Prozess-Matrix'!T9,'Kompetenz-Prozess-Matrix'!N13)</f>
        <v>0</v>
      </c>
      <c r="Q351" s="185">
        <f>PRODUCT('Rollen-Prozess-Matrix'!U9,'Kompetenz-Prozess-Matrix'!N13)</f>
        <v>0</v>
      </c>
    </row>
    <row r="352" spans="1:19" ht="38.25" outlineLevel="1" x14ac:dyDescent="0.35">
      <c r="A352" s="336"/>
      <c r="B352" s="339"/>
      <c r="C352" s="180" t="s">
        <v>157</v>
      </c>
      <c r="D352" s="182">
        <f>PRODUCT('Rollen-Prozess-Matrix'!H10,'Kompetenz-Prozess-Matrix'!N14)</f>
        <v>0</v>
      </c>
      <c r="E352" s="183">
        <f>PRODUCT('Rollen-Prozess-Matrix'!I10,'Kompetenz-Prozess-Matrix'!N14)</f>
        <v>0</v>
      </c>
      <c r="F352" s="183">
        <f>PRODUCT('Rollen-Prozess-Matrix'!J10,'Kompetenz-Prozess-Matrix'!N14)</f>
        <v>4</v>
      </c>
      <c r="G352" s="183">
        <f>PRODUCT('Rollen-Prozess-Matrix'!K10,'Kompetenz-Prozess-Matrix'!N14)</f>
        <v>0</v>
      </c>
      <c r="H352" s="183">
        <f>PRODUCT('Rollen-Prozess-Matrix'!L10,'Kompetenz-Prozess-Matrix'!N14)</f>
        <v>6</v>
      </c>
      <c r="I352" s="183">
        <f>PRODUCT('Rollen-Prozess-Matrix'!M10,'Kompetenz-Prozess-Matrix'!N14)</f>
        <v>0</v>
      </c>
      <c r="J352" s="183">
        <f>PRODUCT('Rollen-Prozess-Matrix'!N10,'Kompetenz-Prozess-Matrix'!N14)</f>
        <v>0</v>
      </c>
      <c r="K352" s="183">
        <f>PRODUCT('Rollen-Prozess-Matrix'!O10,'Kompetenz-Prozess-Matrix'!N14)</f>
        <v>0</v>
      </c>
      <c r="L352" s="183">
        <f>PRODUCT('Rollen-Prozess-Matrix'!P10,'Kompetenz-Prozess-Matrix'!N14)</f>
        <v>0</v>
      </c>
      <c r="M352" s="183">
        <f>PRODUCT('Rollen-Prozess-Matrix'!Q10,'Kompetenz-Prozess-Matrix'!N14)</f>
        <v>0</v>
      </c>
      <c r="N352" s="183">
        <f>PRODUCT('Rollen-Prozess-Matrix'!R10,'Kompetenz-Prozess-Matrix'!N14)</f>
        <v>0</v>
      </c>
      <c r="O352" s="183">
        <f>PRODUCT('Rollen-Prozess-Matrix'!S10,'Kompetenz-Prozess-Matrix'!N14)</f>
        <v>0</v>
      </c>
      <c r="P352" s="183">
        <f>PRODUCT('Rollen-Prozess-Matrix'!T10,'Kompetenz-Prozess-Matrix'!N14)</f>
        <v>0</v>
      </c>
      <c r="Q352" s="185">
        <f>PRODUCT('Rollen-Prozess-Matrix'!U10,'Kompetenz-Prozess-Matrix'!N14)</f>
        <v>0</v>
      </c>
    </row>
    <row r="353" spans="1:17" ht="38.25" outlineLevel="1" x14ac:dyDescent="0.35">
      <c r="A353" s="336"/>
      <c r="B353" s="339"/>
      <c r="C353" s="180" t="s">
        <v>161</v>
      </c>
      <c r="D353" s="182">
        <f>PRODUCT('Rollen-Prozess-Matrix'!H11,'Kompetenz-Prozess-Matrix'!N15)</f>
        <v>0</v>
      </c>
      <c r="E353" s="183">
        <f>PRODUCT('Rollen-Prozess-Matrix'!I11,'Kompetenz-Prozess-Matrix'!N15)</f>
        <v>0</v>
      </c>
      <c r="F353" s="183">
        <f>PRODUCT('Rollen-Prozess-Matrix'!J11,'Kompetenz-Prozess-Matrix'!N15)</f>
        <v>4</v>
      </c>
      <c r="G353" s="183">
        <f>PRODUCT('Rollen-Prozess-Matrix'!K11,'Kompetenz-Prozess-Matrix'!N15)</f>
        <v>0</v>
      </c>
      <c r="H353" s="183">
        <f>PRODUCT('Rollen-Prozess-Matrix'!L11,'Kompetenz-Prozess-Matrix'!N15)</f>
        <v>6</v>
      </c>
      <c r="I353" s="183">
        <f>PRODUCT('Rollen-Prozess-Matrix'!M11,'Kompetenz-Prozess-Matrix'!N15)</f>
        <v>0</v>
      </c>
      <c r="J353" s="183">
        <f>PRODUCT('Rollen-Prozess-Matrix'!N11,'Kompetenz-Prozess-Matrix'!N15)</f>
        <v>0</v>
      </c>
      <c r="K353" s="183">
        <f>PRODUCT('Rollen-Prozess-Matrix'!O11,'Kompetenz-Prozess-Matrix'!N15)</f>
        <v>0</v>
      </c>
      <c r="L353" s="183">
        <f>PRODUCT('Rollen-Prozess-Matrix'!P11,'Kompetenz-Prozess-Matrix'!N15)</f>
        <v>0</v>
      </c>
      <c r="M353" s="183">
        <f>PRODUCT('Rollen-Prozess-Matrix'!Q11,'Kompetenz-Prozess-Matrix'!N15)</f>
        <v>0</v>
      </c>
      <c r="N353" s="183">
        <f>PRODUCT('Rollen-Prozess-Matrix'!R11,'Kompetenz-Prozess-Matrix'!N15)</f>
        <v>0</v>
      </c>
      <c r="O353" s="183">
        <f>PRODUCT('Rollen-Prozess-Matrix'!S11,'Kompetenz-Prozess-Matrix'!N15)</f>
        <v>0</v>
      </c>
      <c r="P353" s="183">
        <f>PRODUCT('Rollen-Prozess-Matrix'!T11,'Kompetenz-Prozess-Matrix'!N15)</f>
        <v>0</v>
      </c>
      <c r="Q353" s="185">
        <f>PRODUCT('Rollen-Prozess-Matrix'!U11,'Kompetenz-Prozess-Matrix'!N15)</f>
        <v>2</v>
      </c>
    </row>
    <row r="354" spans="1:17" ht="38.25" outlineLevel="1" x14ac:dyDescent="0.35">
      <c r="A354" s="336"/>
      <c r="B354" s="339"/>
      <c r="C354" s="180" t="s">
        <v>288</v>
      </c>
      <c r="D354" s="182">
        <f>PRODUCT('Rollen-Prozess-Matrix'!H12,'Kompetenz-Prozess-Matrix'!N16)</f>
        <v>0</v>
      </c>
      <c r="E354" s="183">
        <f>PRODUCT('Rollen-Prozess-Matrix'!I12,'Kompetenz-Prozess-Matrix'!N16)</f>
        <v>2</v>
      </c>
      <c r="F354" s="183">
        <f>PRODUCT('Rollen-Prozess-Matrix'!J12,'Kompetenz-Prozess-Matrix'!N16)</f>
        <v>2</v>
      </c>
      <c r="G354" s="183">
        <f>PRODUCT('Rollen-Prozess-Matrix'!K12,'Kompetenz-Prozess-Matrix'!N16)</f>
        <v>0</v>
      </c>
      <c r="H354" s="183">
        <f>PRODUCT('Rollen-Prozess-Matrix'!L12,'Kompetenz-Prozess-Matrix'!N16)</f>
        <v>3</v>
      </c>
      <c r="I354" s="183">
        <f>PRODUCT('Rollen-Prozess-Matrix'!M12,'Kompetenz-Prozess-Matrix'!N16)</f>
        <v>2</v>
      </c>
      <c r="J354" s="183">
        <f>PRODUCT('Rollen-Prozess-Matrix'!N12,'Kompetenz-Prozess-Matrix'!N16)</f>
        <v>1</v>
      </c>
      <c r="K354" s="183">
        <f>PRODUCT('Rollen-Prozess-Matrix'!O12,'Kompetenz-Prozess-Matrix'!N16)</f>
        <v>1</v>
      </c>
      <c r="L354" s="183">
        <f>PRODUCT('Rollen-Prozess-Matrix'!P12,'Kompetenz-Prozess-Matrix'!N16)</f>
        <v>1</v>
      </c>
      <c r="M354" s="183">
        <f>PRODUCT('Rollen-Prozess-Matrix'!Q12,'Kompetenz-Prozess-Matrix'!N16)</f>
        <v>0</v>
      </c>
      <c r="N354" s="183">
        <f>PRODUCT('Rollen-Prozess-Matrix'!R12,'Kompetenz-Prozess-Matrix'!N16)</f>
        <v>0</v>
      </c>
      <c r="O354" s="183">
        <f>PRODUCT('Rollen-Prozess-Matrix'!S12,'Kompetenz-Prozess-Matrix'!N16)</f>
        <v>0</v>
      </c>
      <c r="P354" s="183">
        <f>PRODUCT('Rollen-Prozess-Matrix'!T12,'Kompetenz-Prozess-Matrix'!N16)</f>
        <v>1</v>
      </c>
      <c r="Q354" s="185">
        <f>PRODUCT('Rollen-Prozess-Matrix'!U12,'Kompetenz-Prozess-Matrix'!N16)</f>
        <v>2</v>
      </c>
    </row>
    <row r="355" spans="1:17" ht="25.5" outlineLevel="1" x14ac:dyDescent="0.35">
      <c r="A355" s="336"/>
      <c r="B355" s="339"/>
      <c r="C355" s="180" t="s">
        <v>169</v>
      </c>
      <c r="D355" s="182">
        <f>PRODUCT('Rollen-Prozess-Matrix'!H13,'Kompetenz-Prozess-Matrix'!N17)</f>
        <v>0</v>
      </c>
      <c r="E355" s="183">
        <f>PRODUCT('Rollen-Prozess-Matrix'!I13,'Kompetenz-Prozess-Matrix'!N17)</f>
        <v>1</v>
      </c>
      <c r="F355" s="183">
        <f>PRODUCT('Rollen-Prozess-Matrix'!J13,'Kompetenz-Prozess-Matrix'!N17)</f>
        <v>2</v>
      </c>
      <c r="G355" s="183">
        <f>PRODUCT('Rollen-Prozess-Matrix'!K13,'Kompetenz-Prozess-Matrix'!N17)</f>
        <v>0</v>
      </c>
      <c r="H355" s="183">
        <f>PRODUCT('Rollen-Prozess-Matrix'!L13,'Kompetenz-Prozess-Matrix'!N17)</f>
        <v>3</v>
      </c>
      <c r="I355" s="183">
        <f>PRODUCT('Rollen-Prozess-Matrix'!M13,'Kompetenz-Prozess-Matrix'!N17)</f>
        <v>2</v>
      </c>
      <c r="J355" s="183">
        <f>PRODUCT('Rollen-Prozess-Matrix'!N13,'Kompetenz-Prozess-Matrix'!N17)</f>
        <v>1</v>
      </c>
      <c r="K355" s="183">
        <f>PRODUCT('Rollen-Prozess-Matrix'!O13,'Kompetenz-Prozess-Matrix'!N17)</f>
        <v>1</v>
      </c>
      <c r="L355" s="183">
        <f>PRODUCT('Rollen-Prozess-Matrix'!P13,'Kompetenz-Prozess-Matrix'!N17)</f>
        <v>0</v>
      </c>
      <c r="M355" s="183">
        <f>PRODUCT('Rollen-Prozess-Matrix'!Q13,'Kompetenz-Prozess-Matrix'!N17)</f>
        <v>0</v>
      </c>
      <c r="N355" s="183">
        <f>PRODUCT('Rollen-Prozess-Matrix'!R13,'Kompetenz-Prozess-Matrix'!N17)</f>
        <v>0</v>
      </c>
      <c r="O355" s="183">
        <f>PRODUCT('Rollen-Prozess-Matrix'!S13,'Kompetenz-Prozess-Matrix'!N17)</f>
        <v>1</v>
      </c>
      <c r="P355" s="183">
        <f>PRODUCT('Rollen-Prozess-Matrix'!T13,'Kompetenz-Prozess-Matrix'!N17)</f>
        <v>0</v>
      </c>
      <c r="Q355" s="185">
        <f>PRODUCT('Rollen-Prozess-Matrix'!U13,'Kompetenz-Prozess-Matrix'!N17)</f>
        <v>0</v>
      </c>
    </row>
    <row r="356" spans="1:17" ht="63.75" outlineLevel="1" x14ac:dyDescent="0.35">
      <c r="A356" s="336"/>
      <c r="B356" s="339"/>
      <c r="C356" s="180" t="s">
        <v>173</v>
      </c>
      <c r="D356" s="182">
        <f>PRODUCT('Rollen-Prozess-Matrix'!H14,'Kompetenz-Prozess-Matrix'!N18)</f>
        <v>0</v>
      </c>
      <c r="E356" s="183">
        <f>PRODUCT('Rollen-Prozess-Matrix'!I14,'Kompetenz-Prozess-Matrix'!N18)</f>
        <v>1</v>
      </c>
      <c r="F356" s="183">
        <f>PRODUCT('Rollen-Prozess-Matrix'!J14,'Kompetenz-Prozess-Matrix'!N18)</f>
        <v>2</v>
      </c>
      <c r="G356" s="183">
        <f>PRODUCT('Rollen-Prozess-Matrix'!K14,'Kompetenz-Prozess-Matrix'!N18)</f>
        <v>0</v>
      </c>
      <c r="H356" s="183">
        <f>PRODUCT('Rollen-Prozess-Matrix'!L14,'Kompetenz-Prozess-Matrix'!N18)</f>
        <v>3</v>
      </c>
      <c r="I356" s="183">
        <f>PRODUCT('Rollen-Prozess-Matrix'!M14,'Kompetenz-Prozess-Matrix'!N18)</f>
        <v>2</v>
      </c>
      <c r="J356" s="183">
        <f>PRODUCT('Rollen-Prozess-Matrix'!N14,'Kompetenz-Prozess-Matrix'!N18)</f>
        <v>1</v>
      </c>
      <c r="K356" s="183">
        <f>PRODUCT('Rollen-Prozess-Matrix'!O14,'Kompetenz-Prozess-Matrix'!N18)</f>
        <v>0</v>
      </c>
      <c r="L356" s="183">
        <f>PRODUCT('Rollen-Prozess-Matrix'!P14,'Kompetenz-Prozess-Matrix'!N18)</f>
        <v>1</v>
      </c>
      <c r="M356" s="183">
        <f>PRODUCT('Rollen-Prozess-Matrix'!Q14,'Kompetenz-Prozess-Matrix'!N18)</f>
        <v>0</v>
      </c>
      <c r="N356" s="183">
        <f>PRODUCT('Rollen-Prozess-Matrix'!R14,'Kompetenz-Prozess-Matrix'!N18)</f>
        <v>0</v>
      </c>
      <c r="O356" s="183">
        <f>PRODUCT('Rollen-Prozess-Matrix'!S14,'Kompetenz-Prozess-Matrix'!N18)</f>
        <v>0</v>
      </c>
      <c r="P356" s="183">
        <f>PRODUCT('Rollen-Prozess-Matrix'!T14,'Kompetenz-Prozess-Matrix'!N18)</f>
        <v>0</v>
      </c>
      <c r="Q356" s="185">
        <f>PRODUCT('Rollen-Prozess-Matrix'!U14,'Kompetenz-Prozess-Matrix'!N18)</f>
        <v>0</v>
      </c>
    </row>
    <row r="357" spans="1:17" ht="38.25" outlineLevel="1" x14ac:dyDescent="0.35">
      <c r="A357" s="336"/>
      <c r="B357" s="339"/>
      <c r="C357" s="180" t="s">
        <v>177</v>
      </c>
      <c r="D357" s="182">
        <f>PRODUCT('Rollen-Prozess-Matrix'!H15,'Kompetenz-Prozess-Matrix'!N19)</f>
        <v>0</v>
      </c>
      <c r="E357" s="183">
        <f>PRODUCT('Rollen-Prozess-Matrix'!I15,'Kompetenz-Prozess-Matrix'!N19)</f>
        <v>1</v>
      </c>
      <c r="F357" s="183">
        <f>PRODUCT('Rollen-Prozess-Matrix'!J15,'Kompetenz-Prozess-Matrix'!N19)</f>
        <v>2</v>
      </c>
      <c r="G357" s="183">
        <f>PRODUCT('Rollen-Prozess-Matrix'!K15,'Kompetenz-Prozess-Matrix'!N19)</f>
        <v>0</v>
      </c>
      <c r="H357" s="183">
        <f>PRODUCT('Rollen-Prozess-Matrix'!L15,'Kompetenz-Prozess-Matrix'!N19)</f>
        <v>3</v>
      </c>
      <c r="I357" s="183">
        <f>PRODUCT('Rollen-Prozess-Matrix'!M15,'Kompetenz-Prozess-Matrix'!N19)</f>
        <v>1</v>
      </c>
      <c r="J357" s="183">
        <f>PRODUCT('Rollen-Prozess-Matrix'!N15,'Kompetenz-Prozess-Matrix'!N19)</f>
        <v>1</v>
      </c>
      <c r="K357" s="183">
        <f>PRODUCT('Rollen-Prozess-Matrix'!O15,'Kompetenz-Prozess-Matrix'!N19)</f>
        <v>0</v>
      </c>
      <c r="L357" s="183">
        <f>PRODUCT('Rollen-Prozess-Matrix'!P15,'Kompetenz-Prozess-Matrix'!N19)</f>
        <v>1</v>
      </c>
      <c r="M357" s="183">
        <f>PRODUCT('Rollen-Prozess-Matrix'!Q15,'Kompetenz-Prozess-Matrix'!N19)</f>
        <v>0</v>
      </c>
      <c r="N357" s="183">
        <f>PRODUCT('Rollen-Prozess-Matrix'!R15,'Kompetenz-Prozess-Matrix'!N19)</f>
        <v>0</v>
      </c>
      <c r="O357" s="183">
        <f>PRODUCT('Rollen-Prozess-Matrix'!S15,'Kompetenz-Prozess-Matrix'!N19)</f>
        <v>0</v>
      </c>
      <c r="P357" s="183">
        <f>PRODUCT('Rollen-Prozess-Matrix'!T15,'Kompetenz-Prozess-Matrix'!N19)</f>
        <v>0</v>
      </c>
      <c r="Q357" s="185">
        <f>PRODUCT('Rollen-Prozess-Matrix'!U15,'Kompetenz-Prozess-Matrix'!N19)</f>
        <v>0</v>
      </c>
    </row>
    <row r="358" spans="1:17" outlineLevel="1" x14ac:dyDescent="0.35">
      <c r="A358" s="336"/>
      <c r="B358" s="339"/>
      <c r="C358" s="180" t="s">
        <v>181</v>
      </c>
      <c r="D358" s="182">
        <f>PRODUCT('Rollen-Prozess-Matrix'!H16,'Kompetenz-Prozess-Matrix'!N20)</f>
        <v>0</v>
      </c>
      <c r="E358" s="183">
        <f>PRODUCT('Rollen-Prozess-Matrix'!I16,'Kompetenz-Prozess-Matrix'!N20)</f>
        <v>0</v>
      </c>
      <c r="F358" s="183">
        <f>PRODUCT('Rollen-Prozess-Matrix'!J16,'Kompetenz-Prozess-Matrix'!N20)</f>
        <v>0</v>
      </c>
      <c r="G358" s="183">
        <f>PRODUCT('Rollen-Prozess-Matrix'!K16,'Kompetenz-Prozess-Matrix'!N20)</f>
        <v>0</v>
      </c>
      <c r="H358" s="183">
        <f>PRODUCT('Rollen-Prozess-Matrix'!L16,'Kompetenz-Prozess-Matrix'!N20)</f>
        <v>0</v>
      </c>
      <c r="I358" s="183">
        <f>PRODUCT('Rollen-Prozess-Matrix'!M16,'Kompetenz-Prozess-Matrix'!N20)</f>
        <v>0</v>
      </c>
      <c r="J358" s="183">
        <f>PRODUCT('Rollen-Prozess-Matrix'!N16,'Kompetenz-Prozess-Matrix'!N20)</f>
        <v>0</v>
      </c>
      <c r="K358" s="183">
        <f>PRODUCT('Rollen-Prozess-Matrix'!O16,'Kompetenz-Prozess-Matrix'!N20)</f>
        <v>0</v>
      </c>
      <c r="L358" s="183">
        <f>PRODUCT('Rollen-Prozess-Matrix'!P16,'Kompetenz-Prozess-Matrix'!N20)</f>
        <v>0</v>
      </c>
      <c r="M358" s="183">
        <f>PRODUCT('Rollen-Prozess-Matrix'!Q16,'Kompetenz-Prozess-Matrix'!N20)</f>
        <v>0</v>
      </c>
      <c r="N358" s="183">
        <f>PRODUCT('Rollen-Prozess-Matrix'!R16,'Kompetenz-Prozess-Matrix'!N20)</f>
        <v>0</v>
      </c>
      <c r="O358" s="183">
        <f>PRODUCT('Rollen-Prozess-Matrix'!S16,'Kompetenz-Prozess-Matrix'!N20)</f>
        <v>0</v>
      </c>
      <c r="P358" s="183">
        <f>PRODUCT('Rollen-Prozess-Matrix'!T16,'Kompetenz-Prozess-Matrix'!N20)</f>
        <v>0</v>
      </c>
      <c r="Q358" s="185">
        <f>PRODUCT('Rollen-Prozess-Matrix'!U16,'Kompetenz-Prozess-Matrix'!N20)</f>
        <v>0</v>
      </c>
    </row>
    <row r="359" spans="1:17" ht="38.25" outlineLevel="1" x14ac:dyDescent="0.35">
      <c r="A359" s="336"/>
      <c r="B359" s="339"/>
      <c r="C359" s="180" t="s">
        <v>185</v>
      </c>
      <c r="D359" s="182">
        <f>PRODUCT('Rollen-Prozess-Matrix'!H17,'Kompetenz-Prozess-Matrix'!N21)</f>
        <v>0</v>
      </c>
      <c r="E359" s="183">
        <f>PRODUCT('Rollen-Prozess-Matrix'!I17,'Kompetenz-Prozess-Matrix'!N21)</f>
        <v>1</v>
      </c>
      <c r="F359" s="183">
        <f>PRODUCT('Rollen-Prozess-Matrix'!J17,'Kompetenz-Prozess-Matrix'!N21)</f>
        <v>1</v>
      </c>
      <c r="G359" s="183">
        <f>PRODUCT('Rollen-Prozess-Matrix'!K17,'Kompetenz-Prozess-Matrix'!N21)</f>
        <v>0</v>
      </c>
      <c r="H359" s="183">
        <f>PRODUCT('Rollen-Prozess-Matrix'!L17,'Kompetenz-Prozess-Matrix'!N21)</f>
        <v>3</v>
      </c>
      <c r="I359" s="183">
        <f>PRODUCT('Rollen-Prozess-Matrix'!M17,'Kompetenz-Prozess-Matrix'!N21)</f>
        <v>0</v>
      </c>
      <c r="J359" s="183">
        <f>PRODUCT('Rollen-Prozess-Matrix'!N17,'Kompetenz-Prozess-Matrix'!N21)</f>
        <v>0</v>
      </c>
      <c r="K359" s="183">
        <f>PRODUCT('Rollen-Prozess-Matrix'!O17,'Kompetenz-Prozess-Matrix'!N21)</f>
        <v>0</v>
      </c>
      <c r="L359" s="183">
        <f>PRODUCT('Rollen-Prozess-Matrix'!P17,'Kompetenz-Prozess-Matrix'!N21)</f>
        <v>2</v>
      </c>
      <c r="M359" s="183">
        <f>PRODUCT('Rollen-Prozess-Matrix'!Q17,'Kompetenz-Prozess-Matrix'!N21)</f>
        <v>0</v>
      </c>
      <c r="N359" s="183">
        <f>PRODUCT('Rollen-Prozess-Matrix'!R17,'Kompetenz-Prozess-Matrix'!N21)</f>
        <v>0</v>
      </c>
      <c r="O359" s="183">
        <f>PRODUCT('Rollen-Prozess-Matrix'!S17,'Kompetenz-Prozess-Matrix'!N21)</f>
        <v>2</v>
      </c>
      <c r="P359" s="183">
        <f>PRODUCT('Rollen-Prozess-Matrix'!T17,'Kompetenz-Prozess-Matrix'!N21)</f>
        <v>0</v>
      </c>
      <c r="Q359" s="185">
        <f>PRODUCT('Rollen-Prozess-Matrix'!U17,'Kompetenz-Prozess-Matrix'!N21)</f>
        <v>0</v>
      </c>
    </row>
    <row r="360" spans="1:17" ht="51" outlineLevel="1" x14ac:dyDescent="0.35">
      <c r="A360" s="336"/>
      <c r="B360" s="339"/>
      <c r="C360" s="180" t="s">
        <v>190</v>
      </c>
      <c r="D360" s="182">
        <f>PRODUCT('Rollen-Prozess-Matrix'!H18,'Kompetenz-Prozess-Matrix'!N22)</f>
        <v>0</v>
      </c>
      <c r="E360" s="183">
        <f>PRODUCT('Rollen-Prozess-Matrix'!I18,'Kompetenz-Prozess-Matrix'!N22)</f>
        <v>4</v>
      </c>
      <c r="F360" s="183">
        <f>PRODUCT('Rollen-Prozess-Matrix'!J18,'Kompetenz-Prozess-Matrix'!N22)</f>
        <v>0</v>
      </c>
      <c r="G360" s="183">
        <f>PRODUCT('Rollen-Prozess-Matrix'!K18,'Kompetenz-Prozess-Matrix'!N22)</f>
        <v>0</v>
      </c>
      <c r="H360" s="183">
        <f>PRODUCT('Rollen-Prozess-Matrix'!L18,'Kompetenz-Prozess-Matrix'!N22)</f>
        <v>6</v>
      </c>
      <c r="I360" s="183">
        <f>PRODUCT('Rollen-Prozess-Matrix'!M18,'Kompetenz-Prozess-Matrix'!N22)</f>
        <v>0</v>
      </c>
      <c r="J360" s="183">
        <f>PRODUCT('Rollen-Prozess-Matrix'!N18,'Kompetenz-Prozess-Matrix'!N22)</f>
        <v>0</v>
      </c>
      <c r="K360" s="183">
        <f>PRODUCT('Rollen-Prozess-Matrix'!O18,'Kompetenz-Prozess-Matrix'!N22)</f>
        <v>0</v>
      </c>
      <c r="L360" s="183">
        <f>PRODUCT('Rollen-Prozess-Matrix'!P18,'Kompetenz-Prozess-Matrix'!N22)</f>
        <v>0</v>
      </c>
      <c r="M360" s="183">
        <f>PRODUCT('Rollen-Prozess-Matrix'!Q18,'Kompetenz-Prozess-Matrix'!N22)</f>
        <v>0</v>
      </c>
      <c r="N360" s="183">
        <f>PRODUCT('Rollen-Prozess-Matrix'!R18,'Kompetenz-Prozess-Matrix'!N22)</f>
        <v>0</v>
      </c>
      <c r="O360" s="183">
        <f>PRODUCT('Rollen-Prozess-Matrix'!S18,'Kompetenz-Prozess-Matrix'!N22)</f>
        <v>0</v>
      </c>
      <c r="P360" s="183">
        <f>PRODUCT('Rollen-Prozess-Matrix'!T18,'Kompetenz-Prozess-Matrix'!N22)</f>
        <v>4</v>
      </c>
      <c r="Q360" s="185">
        <f>PRODUCT('Rollen-Prozess-Matrix'!U18,'Kompetenz-Prozess-Matrix'!N22)</f>
        <v>2</v>
      </c>
    </row>
    <row r="361" spans="1:17" ht="63.75" outlineLevel="1" x14ac:dyDescent="0.35">
      <c r="A361" s="336"/>
      <c r="B361" s="339"/>
      <c r="C361" s="180" t="s">
        <v>194</v>
      </c>
      <c r="D361" s="182">
        <f>PRODUCT('Rollen-Prozess-Matrix'!H19,'Kompetenz-Prozess-Matrix'!N23)</f>
        <v>0</v>
      </c>
      <c r="E361" s="183">
        <f>PRODUCT('Rollen-Prozess-Matrix'!I19,'Kompetenz-Prozess-Matrix'!N23)</f>
        <v>4</v>
      </c>
      <c r="F361" s="183">
        <f>PRODUCT('Rollen-Prozess-Matrix'!J19,'Kompetenz-Prozess-Matrix'!N23)</f>
        <v>0</v>
      </c>
      <c r="G361" s="183">
        <f>PRODUCT('Rollen-Prozess-Matrix'!K19,'Kompetenz-Prozess-Matrix'!N23)</f>
        <v>0</v>
      </c>
      <c r="H361" s="183">
        <f>PRODUCT('Rollen-Prozess-Matrix'!L19,'Kompetenz-Prozess-Matrix'!N23)</f>
        <v>6</v>
      </c>
      <c r="I361" s="183">
        <f>PRODUCT('Rollen-Prozess-Matrix'!M19,'Kompetenz-Prozess-Matrix'!N23)</f>
        <v>2</v>
      </c>
      <c r="J361" s="183">
        <f>PRODUCT('Rollen-Prozess-Matrix'!N19,'Kompetenz-Prozess-Matrix'!N23)</f>
        <v>0</v>
      </c>
      <c r="K361" s="183">
        <f>PRODUCT('Rollen-Prozess-Matrix'!O19,'Kompetenz-Prozess-Matrix'!N23)</f>
        <v>0</v>
      </c>
      <c r="L361" s="183">
        <f>PRODUCT('Rollen-Prozess-Matrix'!P19,'Kompetenz-Prozess-Matrix'!N23)</f>
        <v>2</v>
      </c>
      <c r="M361" s="183">
        <f>PRODUCT('Rollen-Prozess-Matrix'!Q19,'Kompetenz-Prozess-Matrix'!N23)</f>
        <v>0</v>
      </c>
      <c r="N361" s="183">
        <f>PRODUCT('Rollen-Prozess-Matrix'!R19,'Kompetenz-Prozess-Matrix'!N23)</f>
        <v>0</v>
      </c>
      <c r="O361" s="183">
        <f>PRODUCT('Rollen-Prozess-Matrix'!S19,'Kompetenz-Prozess-Matrix'!N23)</f>
        <v>0</v>
      </c>
      <c r="P361" s="183">
        <f>PRODUCT('Rollen-Prozess-Matrix'!T19,'Kompetenz-Prozess-Matrix'!N23)</f>
        <v>0</v>
      </c>
      <c r="Q361" s="185">
        <f>PRODUCT('Rollen-Prozess-Matrix'!U19,'Kompetenz-Prozess-Matrix'!N23)</f>
        <v>0</v>
      </c>
    </row>
    <row r="362" spans="1:17" ht="63.75" outlineLevel="1" x14ac:dyDescent="0.35">
      <c r="A362" s="336"/>
      <c r="B362" s="339"/>
      <c r="C362" s="180" t="s">
        <v>201</v>
      </c>
      <c r="D362" s="182">
        <f>PRODUCT('Rollen-Prozess-Matrix'!H20,'Kompetenz-Prozess-Matrix'!N24)</f>
        <v>0</v>
      </c>
      <c r="E362" s="183">
        <f>PRODUCT('Rollen-Prozess-Matrix'!I20,'Kompetenz-Prozess-Matrix'!N24)</f>
        <v>4</v>
      </c>
      <c r="F362" s="183">
        <f>PRODUCT('Rollen-Prozess-Matrix'!J20,'Kompetenz-Prozess-Matrix'!N24)</f>
        <v>0</v>
      </c>
      <c r="G362" s="183">
        <f>PRODUCT('Rollen-Prozess-Matrix'!K20,'Kompetenz-Prozess-Matrix'!N24)</f>
        <v>0</v>
      </c>
      <c r="H362" s="183">
        <f>PRODUCT('Rollen-Prozess-Matrix'!L20,'Kompetenz-Prozess-Matrix'!N24)</f>
        <v>6</v>
      </c>
      <c r="I362" s="183">
        <f>PRODUCT('Rollen-Prozess-Matrix'!M20,'Kompetenz-Prozess-Matrix'!N24)</f>
        <v>4</v>
      </c>
      <c r="J362" s="183">
        <f>PRODUCT('Rollen-Prozess-Matrix'!N20,'Kompetenz-Prozess-Matrix'!N24)</f>
        <v>2</v>
      </c>
      <c r="K362" s="183">
        <f>PRODUCT('Rollen-Prozess-Matrix'!O20,'Kompetenz-Prozess-Matrix'!N24)</f>
        <v>0</v>
      </c>
      <c r="L362" s="183">
        <f>PRODUCT('Rollen-Prozess-Matrix'!P20,'Kompetenz-Prozess-Matrix'!N24)</f>
        <v>2</v>
      </c>
      <c r="M362" s="183">
        <f>PRODUCT('Rollen-Prozess-Matrix'!Q20,'Kompetenz-Prozess-Matrix'!N24)</f>
        <v>0</v>
      </c>
      <c r="N362" s="183">
        <f>PRODUCT('Rollen-Prozess-Matrix'!R20,'Kompetenz-Prozess-Matrix'!N24)</f>
        <v>0</v>
      </c>
      <c r="O362" s="183">
        <f>PRODUCT('Rollen-Prozess-Matrix'!S20,'Kompetenz-Prozess-Matrix'!N24)</f>
        <v>0</v>
      </c>
      <c r="P362" s="183">
        <f>PRODUCT('Rollen-Prozess-Matrix'!T20,'Kompetenz-Prozess-Matrix'!N24)</f>
        <v>0</v>
      </c>
      <c r="Q362" s="185">
        <f>PRODUCT('Rollen-Prozess-Matrix'!U20,'Kompetenz-Prozess-Matrix'!N24)</f>
        <v>0</v>
      </c>
    </row>
    <row r="363" spans="1:17" ht="51" outlineLevel="1" x14ac:dyDescent="0.35">
      <c r="A363" s="336"/>
      <c r="B363" s="339"/>
      <c r="C363" s="180" t="s">
        <v>205</v>
      </c>
      <c r="D363" s="182">
        <f>PRODUCT('Rollen-Prozess-Matrix'!H21,'Kompetenz-Prozess-Matrix'!N25)</f>
        <v>0</v>
      </c>
      <c r="E363" s="183">
        <f>PRODUCT('Rollen-Prozess-Matrix'!I21,'Kompetenz-Prozess-Matrix'!N25)</f>
        <v>2</v>
      </c>
      <c r="F363" s="183">
        <f>PRODUCT('Rollen-Prozess-Matrix'!J21,'Kompetenz-Prozess-Matrix'!N25)</f>
        <v>0</v>
      </c>
      <c r="G363" s="183">
        <f>PRODUCT('Rollen-Prozess-Matrix'!K21,'Kompetenz-Prozess-Matrix'!N25)</f>
        <v>0</v>
      </c>
      <c r="H363" s="183">
        <f>PRODUCT('Rollen-Prozess-Matrix'!L21,'Kompetenz-Prozess-Matrix'!N25)</f>
        <v>6</v>
      </c>
      <c r="I363" s="183">
        <f>PRODUCT('Rollen-Prozess-Matrix'!M21,'Kompetenz-Prozess-Matrix'!N25)</f>
        <v>4</v>
      </c>
      <c r="J363" s="183">
        <f>PRODUCT('Rollen-Prozess-Matrix'!N21,'Kompetenz-Prozess-Matrix'!N25)</f>
        <v>2</v>
      </c>
      <c r="K363" s="183">
        <f>PRODUCT('Rollen-Prozess-Matrix'!O21,'Kompetenz-Prozess-Matrix'!N25)</f>
        <v>0</v>
      </c>
      <c r="L363" s="183">
        <f>PRODUCT('Rollen-Prozess-Matrix'!P21,'Kompetenz-Prozess-Matrix'!N25)</f>
        <v>0</v>
      </c>
      <c r="M363" s="183">
        <f>PRODUCT('Rollen-Prozess-Matrix'!Q21,'Kompetenz-Prozess-Matrix'!N25)</f>
        <v>0</v>
      </c>
      <c r="N363" s="183">
        <f>PRODUCT('Rollen-Prozess-Matrix'!R21,'Kompetenz-Prozess-Matrix'!N25)</f>
        <v>0</v>
      </c>
      <c r="O363" s="183">
        <f>PRODUCT('Rollen-Prozess-Matrix'!S21,'Kompetenz-Prozess-Matrix'!N25)</f>
        <v>0</v>
      </c>
      <c r="P363" s="183">
        <f>PRODUCT('Rollen-Prozess-Matrix'!T21,'Kompetenz-Prozess-Matrix'!N25)</f>
        <v>0</v>
      </c>
      <c r="Q363" s="185">
        <f>PRODUCT('Rollen-Prozess-Matrix'!U21,'Kompetenz-Prozess-Matrix'!N25)</f>
        <v>0</v>
      </c>
    </row>
    <row r="364" spans="1:17" ht="38.25" outlineLevel="1" x14ac:dyDescent="0.35">
      <c r="A364" s="336"/>
      <c r="B364" s="339"/>
      <c r="C364" s="180" t="s">
        <v>209</v>
      </c>
      <c r="D364" s="182">
        <f>PRODUCT('Rollen-Prozess-Matrix'!H22,'Kompetenz-Prozess-Matrix'!N26)</f>
        <v>0</v>
      </c>
      <c r="E364" s="183">
        <f>PRODUCT('Rollen-Prozess-Matrix'!I22,'Kompetenz-Prozess-Matrix'!N26)</f>
        <v>1</v>
      </c>
      <c r="F364" s="183">
        <f>PRODUCT('Rollen-Prozess-Matrix'!J22,'Kompetenz-Prozess-Matrix'!N26)</f>
        <v>0</v>
      </c>
      <c r="G364" s="183">
        <f>PRODUCT('Rollen-Prozess-Matrix'!K22,'Kompetenz-Prozess-Matrix'!N26)</f>
        <v>0</v>
      </c>
      <c r="H364" s="183">
        <f>PRODUCT('Rollen-Prozess-Matrix'!L22,'Kompetenz-Prozess-Matrix'!N26)</f>
        <v>3</v>
      </c>
      <c r="I364" s="183">
        <f>PRODUCT('Rollen-Prozess-Matrix'!M22,'Kompetenz-Prozess-Matrix'!N26)</f>
        <v>2</v>
      </c>
      <c r="J364" s="183">
        <f>PRODUCT('Rollen-Prozess-Matrix'!N22,'Kompetenz-Prozess-Matrix'!N26)</f>
        <v>2</v>
      </c>
      <c r="K364" s="183">
        <f>PRODUCT('Rollen-Prozess-Matrix'!O22,'Kompetenz-Prozess-Matrix'!N26)</f>
        <v>0</v>
      </c>
      <c r="L364" s="183">
        <f>PRODUCT('Rollen-Prozess-Matrix'!P22,'Kompetenz-Prozess-Matrix'!N26)</f>
        <v>0</v>
      </c>
      <c r="M364" s="183">
        <f>PRODUCT('Rollen-Prozess-Matrix'!Q22,'Kompetenz-Prozess-Matrix'!N26)</f>
        <v>0</v>
      </c>
      <c r="N364" s="183">
        <f>PRODUCT('Rollen-Prozess-Matrix'!R22,'Kompetenz-Prozess-Matrix'!N26)</f>
        <v>0</v>
      </c>
      <c r="O364" s="183">
        <f>PRODUCT('Rollen-Prozess-Matrix'!S22,'Kompetenz-Prozess-Matrix'!N26)</f>
        <v>0</v>
      </c>
      <c r="P364" s="183">
        <f>PRODUCT('Rollen-Prozess-Matrix'!T22,'Kompetenz-Prozess-Matrix'!N26)</f>
        <v>0</v>
      </c>
      <c r="Q364" s="185">
        <f>PRODUCT('Rollen-Prozess-Matrix'!U22,'Kompetenz-Prozess-Matrix'!N26)</f>
        <v>0</v>
      </c>
    </row>
    <row r="365" spans="1:17" ht="38.25" outlineLevel="1" x14ac:dyDescent="0.35">
      <c r="A365" s="336"/>
      <c r="B365" s="339"/>
      <c r="C365" s="180" t="s">
        <v>213</v>
      </c>
      <c r="D365" s="182">
        <f>PRODUCT('Rollen-Prozess-Matrix'!H23,'Kompetenz-Prozess-Matrix'!N27)</f>
        <v>0</v>
      </c>
      <c r="E365" s="183">
        <f>PRODUCT('Rollen-Prozess-Matrix'!I23,'Kompetenz-Prozess-Matrix'!N27)</f>
        <v>0</v>
      </c>
      <c r="F365" s="183">
        <f>PRODUCT('Rollen-Prozess-Matrix'!J23,'Kompetenz-Prozess-Matrix'!N27)</f>
        <v>0</v>
      </c>
      <c r="G365" s="183">
        <f>PRODUCT('Rollen-Prozess-Matrix'!K23,'Kompetenz-Prozess-Matrix'!N27)</f>
        <v>0</v>
      </c>
      <c r="H365" s="183">
        <f>PRODUCT('Rollen-Prozess-Matrix'!L23,'Kompetenz-Prozess-Matrix'!N27)</f>
        <v>3</v>
      </c>
      <c r="I365" s="183">
        <f>PRODUCT('Rollen-Prozess-Matrix'!M23,'Kompetenz-Prozess-Matrix'!N27)</f>
        <v>1</v>
      </c>
      <c r="J365" s="183">
        <f>PRODUCT('Rollen-Prozess-Matrix'!N23,'Kompetenz-Prozess-Matrix'!N27)</f>
        <v>0</v>
      </c>
      <c r="K365" s="183">
        <f>PRODUCT('Rollen-Prozess-Matrix'!O23,'Kompetenz-Prozess-Matrix'!N27)</f>
        <v>0</v>
      </c>
      <c r="L365" s="183">
        <f>PRODUCT('Rollen-Prozess-Matrix'!P23,'Kompetenz-Prozess-Matrix'!N27)</f>
        <v>2</v>
      </c>
      <c r="M365" s="183">
        <f>PRODUCT('Rollen-Prozess-Matrix'!Q23,'Kompetenz-Prozess-Matrix'!N27)</f>
        <v>0</v>
      </c>
      <c r="N365" s="183">
        <f>PRODUCT('Rollen-Prozess-Matrix'!R23,'Kompetenz-Prozess-Matrix'!N27)</f>
        <v>0</v>
      </c>
      <c r="O365" s="183">
        <f>PRODUCT('Rollen-Prozess-Matrix'!S23,'Kompetenz-Prozess-Matrix'!N27)</f>
        <v>0</v>
      </c>
      <c r="P365" s="183">
        <f>PRODUCT('Rollen-Prozess-Matrix'!T23,'Kompetenz-Prozess-Matrix'!N27)</f>
        <v>0</v>
      </c>
      <c r="Q365" s="185">
        <f>PRODUCT('Rollen-Prozess-Matrix'!U23,'Kompetenz-Prozess-Matrix'!N27)</f>
        <v>0</v>
      </c>
    </row>
    <row r="366" spans="1:17" ht="38.25" outlineLevel="1" x14ac:dyDescent="0.35">
      <c r="A366" s="336"/>
      <c r="B366" s="339"/>
      <c r="C366" s="180" t="s">
        <v>217</v>
      </c>
      <c r="D366" s="182">
        <f>PRODUCT('Rollen-Prozess-Matrix'!H24,'Kompetenz-Prozess-Matrix'!N28)</f>
        <v>0</v>
      </c>
      <c r="E366" s="183">
        <f>PRODUCT('Rollen-Prozess-Matrix'!I24,'Kompetenz-Prozess-Matrix'!N28)</f>
        <v>0</v>
      </c>
      <c r="F366" s="183">
        <f>PRODUCT('Rollen-Prozess-Matrix'!J24,'Kompetenz-Prozess-Matrix'!N28)</f>
        <v>0</v>
      </c>
      <c r="G366" s="183">
        <f>PRODUCT('Rollen-Prozess-Matrix'!K24,'Kompetenz-Prozess-Matrix'!N28)</f>
        <v>0</v>
      </c>
      <c r="H366" s="183">
        <f>PRODUCT('Rollen-Prozess-Matrix'!L24,'Kompetenz-Prozess-Matrix'!N28)</f>
        <v>3</v>
      </c>
      <c r="I366" s="183">
        <f>PRODUCT('Rollen-Prozess-Matrix'!M24,'Kompetenz-Prozess-Matrix'!N28)</f>
        <v>0</v>
      </c>
      <c r="J366" s="183">
        <f>PRODUCT('Rollen-Prozess-Matrix'!N24,'Kompetenz-Prozess-Matrix'!N28)</f>
        <v>2</v>
      </c>
      <c r="K366" s="183">
        <f>PRODUCT('Rollen-Prozess-Matrix'!O24,'Kompetenz-Prozess-Matrix'!N28)</f>
        <v>2</v>
      </c>
      <c r="L366" s="183">
        <f>PRODUCT('Rollen-Prozess-Matrix'!P24,'Kompetenz-Prozess-Matrix'!N28)</f>
        <v>0</v>
      </c>
      <c r="M366" s="183">
        <f>PRODUCT('Rollen-Prozess-Matrix'!Q24,'Kompetenz-Prozess-Matrix'!N28)</f>
        <v>2</v>
      </c>
      <c r="N366" s="183">
        <f>PRODUCT('Rollen-Prozess-Matrix'!R24,'Kompetenz-Prozess-Matrix'!N28)</f>
        <v>0</v>
      </c>
      <c r="O366" s="183">
        <f>PRODUCT('Rollen-Prozess-Matrix'!S24,'Kompetenz-Prozess-Matrix'!N28)</f>
        <v>0</v>
      </c>
      <c r="P366" s="183">
        <f>PRODUCT('Rollen-Prozess-Matrix'!T24,'Kompetenz-Prozess-Matrix'!N28)</f>
        <v>0</v>
      </c>
      <c r="Q366" s="185">
        <f>PRODUCT('Rollen-Prozess-Matrix'!U24,'Kompetenz-Prozess-Matrix'!N28)</f>
        <v>0</v>
      </c>
    </row>
    <row r="367" spans="1:17" ht="38.25" outlineLevel="1" x14ac:dyDescent="0.35">
      <c r="A367" s="336"/>
      <c r="B367" s="339"/>
      <c r="C367" s="180" t="s">
        <v>223</v>
      </c>
      <c r="D367" s="182">
        <f>PRODUCT('Rollen-Prozess-Matrix'!H25,'Kompetenz-Prozess-Matrix'!N29)</f>
        <v>0</v>
      </c>
      <c r="E367" s="183">
        <f>PRODUCT('Rollen-Prozess-Matrix'!I25,'Kompetenz-Prozess-Matrix'!N29)</f>
        <v>2</v>
      </c>
      <c r="F367" s="183">
        <f>PRODUCT('Rollen-Prozess-Matrix'!J25,'Kompetenz-Prozess-Matrix'!N29)</f>
        <v>0</v>
      </c>
      <c r="G367" s="183">
        <f>PRODUCT('Rollen-Prozess-Matrix'!K25,'Kompetenz-Prozess-Matrix'!N29)</f>
        <v>0</v>
      </c>
      <c r="H367" s="183">
        <f>PRODUCT('Rollen-Prozess-Matrix'!L25,'Kompetenz-Prozess-Matrix'!N29)</f>
        <v>6</v>
      </c>
      <c r="I367" s="183">
        <f>PRODUCT('Rollen-Prozess-Matrix'!M25,'Kompetenz-Prozess-Matrix'!N29)</f>
        <v>0</v>
      </c>
      <c r="J367" s="183">
        <f>PRODUCT('Rollen-Prozess-Matrix'!N25,'Kompetenz-Prozess-Matrix'!N29)</f>
        <v>0</v>
      </c>
      <c r="K367" s="183">
        <f>PRODUCT('Rollen-Prozess-Matrix'!O25,'Kompetenz-Prozess-Matrix'!N29)</f>
        <v>2</v>
      </c>
      <c r="L367" s="183">
        <f>PRODUCT('Rollen-Prozess-Matrix'!P25,'Kompetenz-Prozess-Matrix'!N29)</f>
        <v>2</v>
      </c>
      <c r="M367" s="183">
        <f>PRODUCT('Rollen-Prozess-Matrix'!Q25,'Kompetenz-Prozess-Matrix'!N29)</f>
        <v>4</v>
      </c>
      <c r="N367" s="183">
        <f>PRODUCT('Rollen-Prozess-Matrix'!R25,'Kompetenz-Prozess-Matrix'!N29)</f>
        <v>0</v>
      </c>
      <c r="O367" s="183">
        <f>PRODUCT('Rollen-Prozess-Matrix'!S25,'Kompetenz-Prozess-Matrix'!N29)</f>
        <v>0</v>
      </c>
      <c r="P367" s="183">
        <f>PRODUCT('Rollen-Prozess-Matrix'!T25,'Kompetenz-Prozess-Matrix'!N29)</f>
        <v>0</v>
      </c>
      <c r="Q367" s="185">
        <f>PRODUCT('Rollen-Prozess-Matrix'!U25,'Kompetenz-Prozess-Matrix'!N29)</f>
        <v>0</v>
      </c>
    </row>
    <row r="368" spans="1:17" ht="38.25" outlineLevel="1" x14ac:dyDescent="0.35">
      <c r="A368" s="336"/>
      <c r="B368" s="339"/>
      <c r="C368" s="180" t="s">
        <v>229</v>
      </c>
      <c r="D368" s="182">
        <f>PRODUCT('Rollen-Prozess-Matrix'!H26,'Kompetenz-Prozess-Matrix'!N30)</f>
        <v>0</v>
      </c>
      <c r="E368" s="183">
        <f>PRODUCT('Rollen-Prozess-Matrix'!I26,'Kompetenz-Prozess-Matrix'!N30)</f>
        <v>1</v>
      </c>
      <c r="F368" s="183">
        <f>PRODUCT('Rollen-Prozess-Matrix'!J26,'Kompetenz-Prozess-Matrix'!N30)</f>
        <v>0</v>
      </c>
      <c r="G368" s="183">
        <f>PRODUCT('Rollen-Prozess-Matrix'!K26,'Kompetenz-Prozess-Matrix'!N30)</f>
        <v>0</v>
      </c>
      <c r="H368" s="183">
        <f>PRODUCT('Rollen-Prozess-Matrix'!L26,'Kompetenz-Prozess-Matrix'!N30)</f>
        <v>3</v>
      </c>
      <c r="I368" s="183">
        <f>PRODUCT('Rollen-Prozess-Matrix'!M26,'Kompetenz-Prozess-Matrix'!N30)</f>
        <v>1</v>
      </c>
      <c r="J368" s="183">
        <f>PRODUCT('Rollen-Prozess-Matrix'!N26,'Kompetenz-Prozess-Matrix'!N30)</f>
        <v>1</v>
      </c>
      <c r="K368" s="183">
        <f>PRODUCT('Rollen-Prozess-Matrix'!O26,'Kompetenz-Prozess-Matrix'!N30)</f>
        <v>0</v>
      </c>
      <c r="L368" s="183">
        <f>PRODUCT('Rollen-Prozess-Matrix'!P26,'Kompetenz-Prozess-Matrix'!N30)</f>
        <v>2</v>
      </c>
      <c r="M368" s="183">
        <f>PRODUCT('Rollen-Prozess-Matrix'!Q26,'Kompetenz-Prozess-Matrix'!N30)</f>
        <v>0</v>
      </c>
      <c r="N368" s="183">
        <f>PRODUCT('Rollen-Prozess-Matrix'!R26,'Kompetenz-Prozess-Matrix'!N30)</f>
        <v>0</v>
      </c>
      <c r="O368" s="183">
        <f>PRODUCT('Rollen-Prozess-Matrix'!S26,'Kompetenz-Prozess-Matrix'!N30)</f>
        <v>1</v>
      </c>
      <c r="P368" s="183">
        <f>PRODUCT('Rollen-Prozess-Matrix'!T26,'Kompetenz-Prozess-Matrix'!N30)</f>
        <v>0</v>
      </c>
      <c r="Q368" s="185">
        <f>PRODUCT('Rollen-Prozess-Matrix'!U26,'Kompetenz-Prozess-Matrix'!N30)</f>
        <v>0</v>
      </c>
    </row>
    <row r="369" spans="1:19" ht="38.25" outlineLevel="1" x14ac:dyDescent="0.35">
      <c r="A369" s="336"/>
      <c r="B369" s="339"/>
      <c r="C369" s="180" t="s">
        <v>235</v>
      </c>
      <c r="D369" s="182">
        <f>PRODUCT('Rollen-Prozess-Matrix'!H27,'Kompetenz-Prozess-Matrix'!N31)</f>
        <v>4</v>
      </c>
      <c r="E369" s="183">
        <f>PRODUCT('Rollen-Prozess-Matrix'!I27,'Kompetenz-Prozess-Matrix'!N31)</f>
        <v>4</v>
      </c>
      <c r="F369" s="183">
        <f>PRODUCT('Rollen-Prozess-Matrix'!J27,'Kompetenz-Prozess-Matrix'!N31)</f>
        <v>0</v>
      </c>
      <c r="G369" s="183">
        <f>PRODUCT('Rollen-Prozess-Matrix'!K27,'Kompetenz-Prozess-Matrix'!N31)</f>
        <v>0</v>
      </c>
      <c r="H369" s="183">
        <f>PRODUCT('Rollen-Prozess-Matrix'!L27,'Kompetenz-Prozess-Matrix'!N31)</f>
        <v>6</v>
      </c>
      <c r="I369" s="183">
        <f>PRODUCT('Rollen-Prozess-Matrix'!M27,'Kompetenz-Prozess-Matrix'!N31)</f>
        <v>0</v>
      </c>
      <c r="J369" s="183">
        <f>PRODUCT('Rollen-Prozess-Matrix'!N27,'Kompetenz-Prozess-Matrix'!N31)</f>
        <v>0</v>
      </c>
      <c r="K369" s="183">
        <f>PRODUCT('Rollen-Prozess-Matrix'!O27,'Kompetenz-Prozess-Matrix'!N31)</f>
        <v>4</v>
      </c>
      <c r="L369" s="183">
        <f>PRODUCT('Rollen-Prozess-Matrix'!P27,'Kompetenz-Prozess-Matrix'!N31)</f>
        <v>0</v>
      </c>
      <c r="M369" s="183">
        <f>PRODUCT('Rollen-Prozess-Matrix'!Q27,'Kompetenz-Prozess-Matrix'!N31)</f>
        <v>0</v>
      </c>
      <c r="N369" s="183">
        <f>PRODUCT('Rollen-Prozess-Matrix'!R27,'Kompetenz-Prozess-Matrix'!N31)</f>
        <v>4</v>
      </c>
      <c r="O369" s="183">
        <f>PRODUCT('Rollen-Prozess-Matrix'!S27,'Kompetenz-Prozess-Matrix'!N31)</f>
        <v>0</v>
      </c>
      <c r="P369" s="183">
        <f>PRODUCT('Rollen-Prozess-Matrix'!T27,'Kompetenz-Prozess-Matrix'!N31)</f>
        <v>0</v>
      </c>
      <c r="Q369" s="185">
        <f>PRODUCT('Rollen-Prozess-Matrix'!U27,'Kompetenz-Prozess-Matrix'!N31)</f>
        <v>0</v>
      </c>
    </row>
    <row r="370" spans="1:19" ht="38.25" outlineLevel="1" x14ac:dyDescent="0.35">
      <c r="A370" s="336"/>
      <c r="B370" s="339"/>
      <c r="C370" s="180" t="s">
        <v>242</v>
      </c>
      <c r="D370" s="182">
        <f>PRODUCT('Rollen-Prozess-Matrix'!H28,'Kompetenz-Prozess-Matrix'!N32)</f>
        <v>1</v>
      </c>
      <c r="E370" s="183">
        <f>PRODUCT('Rollen-Prozess-Matrix'!I28,'Kompetenz-Prozess-Matrix'!N32)</f>
        <v>1</v>
      </c>
      <c r="F370" s="183">
        <f>PRODUCT('Rollen-Prozess-Matrix'!J28,'Kompetenz-Prozess-Matrix'!N32)</f>
        <v>0</v>
      </c>
      <c r="G370" s="183">
        <f>PRODUCT('Rollen-Prozess-Matrix'!K28,'Kompetenz-Prozess-Matrix'!N32)</f>
        <v>0</v>
      </c>
      <c r="H370" s="183">
        <f>PRODUCT('Rollen-Prozess-Matrix'!L28,'Kompetenz-Prozess-Matrix'!N32)</f>
        <v>3</v>
      </c>
      <c r="I370" s="183">
        <f>PRODUCT('Rollen-Prozess-Matrix'!M28,'Kompetenz-Prozess-Matrix'!N32)</f>
        <v>0</v>
      </c>
      <c r="J370" s="183">
        <f>PRODUCT('Rollen-Prozess-Matrix'!N28,'Kompetenz-Prozess-Matrix'!N32)</f>
        <v>0</v>
      </c>
      <c r="K370" s="183">
        <f>PRODUCT('Rollen-Prozess-Matrix'!O28,'Kompetenz-Prozess-Matrix'!N32)</f>
        <v>0</v>
      </c>
      <c r="L370" s="183">
        <f>PRODUCT('Rollen-Prozess-Matrix'!P28,'Kompetenz-Prozess-Matrix'!N32)</f>
        <v>2</v>
      </c>
      <c r="M370" s="183">
        <f>PRODUCT('Rollen-Prozess-Matrix'!Q28,'Kompetenz-Prozess-Matrix'!N32)</f>
        <v>0</v>
      </c>
      <c r="N370" s="183">
        <f>PRODUCT('Rollen-Prozess-Matrix'!R28,'Kompetenz-Prozess-Matrix'!N32)</f>
        <v>0</v>
      </c>
      <c r="O370" s="183">
        <f>PRODUCT('Rollen-Prozess-Matrix'!S28,'Kompetenz-Prozess-Matrix'!N32)</f>
        <v>1</v>
      </c>
      <c r="P370" s="183">
        <f>PRODUCT('Rollen-Prozess-Matrix'!T28,'Kompetenz-Prozess-Matrix'!N32)</f>
        <v>0</v>
      </c>
      <c r="Q370" s="185">
        <f>PRODUCT('Rollen-Prozess-Matrix'!U28,'Kompetenz-Prozess-Matrix'!N32)</f>
        <v>0</v>
      </c>
    </row>
    <row r="371" spans="1:19" ht="38.25" outlineLevel="1" x14ac:dyDescent="0.35">
      <c r="A371" s="336"/>
      <c r="B371" s="339"/>
      <c r="C371" s="180" t="s">
        <v>248</v>
      </c>
      <c r="D371" s="182">
        <f>PRODUCT('Rollen-Prozess-Matrix'!H29,'Kompetenz-Prozess-Matrix'!N33)</f>
        <v>2</v>
      </c>
      <c r="E371" s="183">
        <f>PRODUCT('Rollen-Prozess-Matrix'!I29,'Kompetenz-Prozess-Matrix'!N33)</f>
        <v>0</v>
      </c>
      <c r="F371" s="183">
        <f>PRODUCT('Rollen-Prozess-Matrix'!J29,'Kompetenz-Prozess-Matrix'!N33)</f>
        <v>0</v>
      </c>
      <c r="G371" s="183">
        <f>PRODUCT('Rollen-Prozess-Matrix'!K29,'Kompetenz-Prozess-Matrix'!N33)</f>
        <v>0</v>
      </c>
      <c r="H371" s="183">
        <f>PRODUCT('Rollen-Prozess-Matrix'!L29,'Kompetenz-Prozess-Matrix'!N33)</f>
        <v>3</v>
      </c>
      <c r="I371" s="183">
        <f>PRODUCT('Rollen-Prozess-Matrix'!M29,'Kompetenz-Prozess-Matrix'!N33)</f>
        <v>1</v>
      </c>
      <c r="J371" s="183">
        <f>PRODUCT('Rollen-Prozess-Matrix'!N29,'Kompetenz-Prozess-Matrix'!N33)</f>
        <v>0</v>
      </c>
      <c r="K371" s="183">
        <f>PRODUCT('Rollen-Prozess-Matrix'!O29,'Kompetenz-Prozess-Matrix'!N33)</f>
        <v>0</v>
      </c>
      <c r="L371" s="183">
        <f>PRODUCT('Rollen-Prozess-Matrix'!P29,'Kompetenz-Prozess-Matrix'!N33)</f>
        <v>0</v>
      </c>
      <c r="M371" s="183">
        <f>PRODUCT('Rollen-Prozess-Matrix'!Q29,'Kompetenz-Prozess-Matrix'!N33)</f>
        <v>0</v>
      </c>
      <c r="N371" s="183">
        <f>PRODUCT('Rollen-Prozess-Matrix'!R29,'Kompetenz-Prozess-Matrix'!N33)</f>
        <v>1</v>
      </c>
      <c r="O371" s="183">
        <f>PRODUCT('Rollen-Prozess-Matrix'!S29,'Kompetenz-Prozess-Matrix'!N33)</f>
        <v>0</v>
      </c>
      <c r="P371" s="183">
        <f>PRODUCT('Rollen-Prozess-Matrix'!T29,'Kompetenz-Prozess-Matrix'!N33)</f>
        <v>0</v>
      </c>
      <c r="Q371" s="185">
        <f>PRODUCT('Rollen-Prozess-Matrix'!U29,'Kompetenz-Prozess-Matrix'!N33)</f>
        <v>0</v>
      </c>
    </row>
    <row r="372" spans="1:19" ht="38.25" outlineLevel="1" x14ac:dyDescent="0.35">
      <c r="A372" s="336"/>
      <c r="B372" s="339"/>
      <c r="C372" s="180" t="s">
        <v>255</v>
      </c>
      <c r="D372" s="182">
        <f>PRODUCT('Rollen-Prozess-Matrix'!H30,'Kompetenz-Prozess-Matrix'!N34)</f>
        <v>2</v>
      </c>
      <c r="E372" s="183">
        <f>PRODUCT('Rollen-Prozess-Matrix'!I30,'Kompetenz-Prozess-Matrix'!N34)</f>
        <v>0</v>
      </c>
      <c r="F372" s="183">
        <f>PRODUCT('Rollen-Prozess-Matrix'!J30,'Kompetenz-Prozess-Matrix'!N34)</f>
        <v>0</v>
      </c>
      <c r="G372" s="183">
        <f>PRODUCT('Rollen-Prozess-Matrix'!K30,'Kompetenz-Prozess-Matrix'!N34)</f>
        <v>0</v>
      </c>
      <c r="H372" s="183">
        <f>PRODUCT('Rollen-Prozess-Matrix'!L30,'Kompetenz-Prozess-Matrix'!N34)</f>
        <v>3</v>
      </c>
      <c r="I372" s="183">
        <f>PRODUCT('Rollen-Prozess-Matrix'!M30,'Kompetenz-Prozess-Matrix'!N34)</f>
        <v>1</v>
      </c>
      <c r="J372" s="183">
        <f>PRODUCT('Rollen-Prozess-Matrix'!N30,'Kompetenz-Prozess-Matrix'!N34)</f>
        <v>0</v>
      </c>
      <c r="K372" s="183">
        <f>PRODUCT('Rollen-Prozess-Matrix'!O30,'Kompetenz-Prozess-Matrix'!N34)</f>
        <v>0</v>
      </c>
      <c r="L372" s="183">
        <f>PRODUCT('Rollen-Prozess-Matrix'!P30,'Kompetenz-Prozess-Matrix'!N34)</f>
        <v>0</v>
      </c>
      <c r="M372" s="183">
        <f>PRODUCT('Rollen-Prozess-Matrix'!Q30,'Kompetenz-Prozess-Matrix'!N34)</f>
        <v>0</v>
      </c>
      <c r="N372" s="183">
        <f>PRODUCT('Rollen-Prozess-Matrix'!R30,'Kompetenz-Prozess-Matrix'!N34)</f>
        <v>2</v>
      </c>
      <c r="O372" s="183">
        <f>PRODUCT('Rollen-Prozess-Matrix'!S30,'Kompetenz-Prozess-Matrix'!N34)</f>
        <v>0</v>
      </c>
      <c r="P372" s="183">
        <f>PRODUCT('Rollen-Prozess-Matrix'!T30,'Kompetenz-Prozess-Matrix'!N34)</f>
        <v>0</v>
      </c>
      <c r="Q372" s="185">
        <f>PRODUCT('Rollen-Prozess-Matrix'!U30,'Kompetenz-Prozess-Matrix'!N34)</f>
        <v>0</v>
      </c>
    </row>
    <row r="373" spans="1:19" ht="38.25" outlineLevel="1" x14ac:dyDescent="0.35">
      <c r="A373" s="336"/>
      <c r="B373" s="339"/>
      <c r="C373" s="180" t="s">
        <v>261</v>
      </c>
      <c r="D373" s="182">
        <f>PRODUCT('Rollen-Prozess-Matrix'!H31,'Kompetenz-Prozess-Matrix'!N35)</f>
        <v>2</v>
      </c>
      <c r="E373" s="183">
        <f>PRODUCT('Rollen-Prozess-Matrix'!I31,'Kompetenz-Prozess-Matrix'!N35)</f>
        <v>0</v>
      </c>
      <c r="F373" s="183">
        <f>PRODUCT('Rollen-Prozess-Matrix'!J31,'Kompetenz-Prozess-Matrix'!N35)</f>
        <v>0</v>
      </c>
      <c r="G373" s="183">
        <f>PRODUCT('Rollen-Prozess-Matrix'!K31,'Kompetenz-Prozess-Matrix'!N35)</f>
        <v>0</v>
      </c>
      <c r="H373" s="183">
        <f>PRODUCT('Rollen-Prozess-Matrix'!L31,'Kompetenz-Prozess-Matrix'!N35)</f>
        <v>3</v>
      </c>
      <c r="I373" s="183">
        <f>PRODUCT('Rollen-Prozess-Matrix'!M31,'Kompetenz-Prozess-Matrix'!N35)</f>
        <v>0</v>
      </c>
      <c r="J373" s="183">
        <f>PRODUCT('Rollen-Prozess-Matrix'!N31,'Kompetenz-Prozess-Matrix'!N35)</f>
        <v>0</v>
      </c>
      <c r="K373" s="183">
        <f>PRODUCT('Rollen-Prozess-Matrix'!O31,'Kompetenz-Prozess-Matrix'!N35)</f>
        <v>0</v>
      </c>
      <c r="L373" s="183">
        <f>PRODUCT('Rollen-Prozess-Matrix'!P31,'Kompetenz-Prozess-Matrix'!N35)</f>
        <v>0</v>
      </c>
      <c r="M373" s="183">
        <f>PRODUCT('Rollen-Prozess-Matrix'!Q31,'Kompetenz-Prozess-Matrix'!N35)</f>
        <v>0</v>
      </c>
      <c r="N373" s="183">
        <f>PRODUCT('Rollen-Prozess-Matrix'!R31,'Kompetenz-Prozess-Matrix'!N35)</f>
        <v>1</v>
      </c>
      <c r="O373" s="183">
        <f>PRODUCT('Rollen-Prozess-Matrix'!S31,'Kompetenz-Prozess-Matrix'!N35)</f>
        <v>0</v>
      </c>
      <c r="P373" s="183">
        <f>PRODUCT('Rollen-Prozess-Matrix'!T31,'Kompetenz-Prozess-Matrix'!N35)</f>
        <v>0</v>
      </c>
      <c r="Q373" s="185">
        <f>PRODUCT('Rollen-Prozess-Matrix'!U31,'Kompetenz-Prozess-Matrix'!N35)</f>
        <v>0</v>
      </c>
    </row>
    <row r="374" spans="1:19" outlineLevel="1" x14ac:dyDescent="0.35">
      <c r="A374" s="336"/>
      <c r="B374" s="339"/>
      <c r="C374" s="180" t="s">
        <v>264</v>
      </c>
      <c r="D374" s="182">
        <f>PRODUCT('Rollen-Prozess-Matrix'!H32,'Kompetenz-Prozess-Matrix'!N36)</f>
        <v>0</v>
      </c>
      <c r="E374" s="183">
        <f>PRODUCT('Rollen-Prozess-Matrix'!I32,'Kompetenz-Prozess-Matrix'!N36)</f>
        <v>0</v>
      </c>
      <c r="F374" s="183">
        <f>PRODUCT('Rollen-Prozess-Matrix'!J32,'Kompetenz-Prozess-Matrix'!N36)</f>
        <v>0</v>
      </c>
      <c r="G374" s="183">
        <f>PRODUCT('Rollen-Prozess-Matrix'!K32,'Kompetenz-Prozess-Matrix'!N36)</f>
        <v>4</v>
      </c>
      <c r="H374" s="183">
        <f>PRODUCT('Rollen-Prozess-Matrix'!L32,'Kompetenz-Prozess-Matrix'!N36)</f>
        <v>2</v>
      </c>
      <c r="I374" s="183">
        <f>PRODUCT('Rollen-Prozess-Matrix'!M32,'Kompetenz-Prozess-Matrix'!N36)</f>
        <v>0</v>
      </c>
      <c r="J374" s="183">
        <f>PRODUCT('Rollen-Prozess-Matrix'!N32,'Kompetenz-Prozess-Matrix'!N36)</f>
        <v>0</v>
      </c>
      <c r="K374" s="183">
        <f>PRODUCT('Rollen-Prozess-Matrix'!O32,'Kompetenz-Prozess-Matrix'!N36)</f>
        <v>0</v>
      </c>
      <c r="L374" s="183">
        <f>PRODUCT('Rollen-Prozess-Matrix'!P32,'Kompetenz-Prozess-Matrix'!N36)</f>
        <v>0</v>
      </c>
      <c r="M374" s="183">
        <f>PRODUCT('Rollen-Prozess-Matrix'!Q32,'Kompetenz-Prozess-Matrix'!N36)</f>
        <v>0</v>
      </c>
      <c r="N374" s="183">
        <f>PRODUCT('Rollen-Prozess-Matrix'!R32,'Kompetenz-Prozess-Matrix'!N36)</f>
        <v>0</v>
      </c>
      <c r="O374" s="183">
        <f>PRODUCT('Rollen-Prozess-Matrix'!S32,'Kompetenz-Prozess-Matrix'!N36)</f>
        <v>0</v>
      </c>
      <c r="P374" s="183">
        <f>PRODUCT('Rollen-Prozess-Matrix'!T32,'Kompetenz-Prozess-Matrix'!N36)</f>
        <v>0</v>
      </c>
      <c r="Q374" s="185">
        <f>PRODUCT('Rollen-Prozess-Matrix'!U32,'Kompetenz-Prozess-Matrix'!N36)</f>
        <v>0</v>
      </c>
    </row>
    <row r="375" spans="1:19" outlineLevel="1" x14ac:dyDescent="0.35">
      <c r="A375" s="336"/>
      <c r="B375" s="339"/>
      <c r="C375" s="180" t="s">
        <v>266</v>
      </c>
      <c r="D375" s="182">
        <f>PRODUCT('Rollen-Prozess-Matrix'!H33,'Kompetenz-Prozess-Matrix'!N37)</f>
        <v>0</v>
      </c>
      <c r="E375" s="183">
        <f>PRODUCT('Rollen-Prozess-Matrix'!I33,'Kompetenz-Prozess-Matrix'!N37)</f>
        <v>0</v>
      </c>
      <c r="F375" s="183">
        <f>PRODUCT('Rollen-Prozess-Matrix'!J33,'Kompetenz-Prozess-Matrix'!N37)</f>
        <v>4</v>
      </c>
      <c r="G375" s="183">
        <f>PRODUCT('Rollen-Prozess-Matrix'!K33,'Kompetenz-Prozess-Matrix'!N37)</f>
        <v>4</v>
      </c>
      <c r="H375" s="183">
        <f>PRODUCT('Rollen-Prozess-Matrix'!L33,'Kompetenz-Prozess-Matrix'!N37)</f>
        <v>0</v>
      </c>
      <c r="I375" s="183">
        <f>PRODUCT('Rollen-Prozess-Matrix'!M33,'Kompetenz-Prozess-Matrix'!N37)</f>
        <v>4</v>
      </c>
      <c r="J375" s="183">
        <f>PRODUCT('Rollen-Prozess-Matrix'!N33,'Kompetenz-Prozess-Matrix'!N37)</f>
        <v>2</v>
      </c>
      <c r="K375" s="183">
        <f>PRODUCT('Rollen-Prozess-Matrix'!O33,'Kompetenz-Prozess-Matrix'!N37)</f>
        <v>0</v>
      </c>
      <c r="L375" s="183">
        <f>PRODUCT('Rollen-Prozess-Matrix'!P33,'Kompetenz-Prozess-Matrix'!N37)</f>
        <v>2</v>
      </c>
      <c r="M375" s="183">
        <f>PRODUCT('Rollen-Prozess-Matrix'!Q33,'Kompetenz-Prozess-Matrix'!N37)</f>
        <v>0</v>
      </c>
      <c r="N375" s="183">
        <f>PRODUCT('Rollen-Prozess-Matrix'!R33,'Kompetenz-Prozess-Matrix'!N37)</f>
        <v>0</v>
      </c>
      <c r="O375" s="183">
        <f>PRODUCT('Rollen-Prozess-Matrix'!S33,'Kompetenz-Prozess-Matrix'!N37)</f>
        <v>0</v>
      </c>
      <c r="P375" s="183">
        <f>PRODUCT('Rollen-Prozess-Matrix'!T33,'Kompetenz-Prozess-Matrix'!N37)</f>
        <v>0</v>
      </c>
      <c r="Q375" s="185">
        <f>PRODUCT('Rollen-Prozess-Matrix'!U33,'Kompetenz-Prozess-Matrix'!N37)</f>
        <v>0</v>
      </c>
    </row>
    <row r="376" spans="1:19" ht="13.15" outlineLevel="1" thickBot="1" x14ac:dyDescent="0.4">
      <c r="A376" s="336"/>
      <c r="B376" s="340"/>
      <c r="C376" s="181" t="s">
        <v>289</v>
      </c>
      <c r="D376" s="182">
        <f>PRODUCT('Rollen-Prozess-Matrix'!H34,'Kompetenz-Prozess-Matrix'!N38)</f>
        <v>0</v>
      </c>
      <c r="E376" s="183">
        <f>PRODUCT('Rollen-Prozess-Matrix'!I34,'Kompetenz-Prozess-Matrix'!N38)</f>
        <v>0</v>
      </c>
      <c r="F376" s="183">
        <f>PRODUCT('Rollen-Prozess-Matrix'!J34,'Kompetenz-Prozess-Matrix'!N38)</f>
        <v>0</v>
      </c>
      <c r="G376" s="183">
        <f>PRODUCT('Rollen-Prozess-Matrix'!K34,'Kompetenz-Prozess-Matrix'!N38)</f>
        <v>4</v>
      </c>
      <c r="H376" s="183">
        <f>PRODUCT('Rollen-Prozess-Matrix'!L34,'Kompetenz-Prozess-Matrix'!N38)</f>
        <v>0</v>
      </c>
      <c r="I376" s="183">
        <f>PRODUCT('Rollen-Prozess-Matrix'!M34,'Kompetenz-Prozess-Matrix'!N38)</f>
        <v>0</v>
      </c>
      <c r="J376" s="183">
        <f>PRODUCT('Rollen-Prozess-Matrix'!N34,'Kompetenz-Prozess-Matrix'!N38)</f>
        <v>0</v>
      </c>
      <c r="K376" s="183">
        <f>PRODUCT('Rollen-Prozess-Matrix'!O34,'Kompetenz-Prozess-Matrix'!N38)</f>
        <v>0</v>
      </c>
      <c r="L376" s="183">
        <f>PRODUCT('Rollen-Prozess-Matrix'!P34,'Kompetenz-Prozess-Matrix'!N38)</f>
        <v>0</v>
      </c>
      <c r="M376" s="183">
        <f>PRODUCT('Rollen-Prozess-Matrix'!Q34,'Kompetenz-Prozess-Matrix'!N38)</f>
        <v>0</v>
      </c>
      <c r="N376" s="183">
        <f>PRODUCT('Rollen-Prozess-Matrix'!R34,'Kompetenz-Prozess-Matrix'!N38)</f>
        <v>0</v>
      </c>
      <c r="O376" s="183">
        <f>PRODUCT('Rollen-Prozess-Matrix'!S34,'Kompetenz-Prozess-Matrix'!N38)</f>
        <v>0</v>
      </c>
      <c r="P376" s="183">
        <f>PRODUCT('Rollen-Prozess-Matrix'!T34,'Kompetenz-Prozess-Matrix'!N38)</f>
        <v>0</v>
      </c>
      <c r="Q376" s="185">
        <f>PRODUCT('Rollen-Prozess-Matrix'!U34,'Kompetenz-Prozess-Matrix'!N38)</f>
        <v>0</v>
      </c>
    </row>
    <row r="377" spans="1:19" ht="13.15" thickBot="1" x14ac:dyDescent="0.4">
      <c r="A377" s="336"/>
      <c r="B377" s="338" t="s">
        <v>77</v>
      </c>
      <c r="C377" s="178"/>
      <c r="D377" s="184">
        <f>MAX(D378:D410)</f>
        <v>1</v>
      </c>
      <c r="E377" s="184">
        <f t="shared" ref="E377" si="131">MAX(E378:E410)</f>
        <v>2</v>
      </c>
      <c r="F377" s="184">
        <f t="shared" ref="F377" si="132">MAX(F378:F410)</f>
        <v>4</v>
      </c>
      <c r="G377" s="184">
        <f t="shared" ref="G377" si="133">MAX(G378:G410)</f>
        <v>4</v>
      </c>
      <c r="H377" s="184">
        <f t="shared" ref="H377" si="134">MAX(H378:H410)</f>
        <v>6</v>
      </c>
      <c r="I377" s="184">
        <f t="shared" ref="I377" si="135">MAX(I378:I410)</f>
        <v>4</v>
      </c>
      <c r="J377" s="184">
        <f t="shared" ref="J377" si="136">MAX(J378:J410)</f>
        <v>2</v>
      </c>
      <c r="K377" s="184">
        <f t="shared" ref="K377" si="137">MAX(K378:K410)</f>
        <v>2</v>
      </c>
      <c r="L377" s="184">
        <f t="shared" ref="L377" si="138">MAX(L378:L410)</f>
        <v>2</v>
      </c>
      <c r="M377" s="184">
        <f t="shared" ref="M377" si="139">MAX(M378:M410)</f>
        <v>2</v>
      </c>
      <c r="N377" s="184">
        <f t="shared" ref="N377" si="140">MAX(N378:N410)</f>
        <v>0</v>
      </c>
      <c r="O377" s="184">
        <f t="shared" ref="O377" si="141">MAX(O378:O410)</f>
        <v>2</v>
      </c>
      <c r="P377" s="184">
        <f t="shared" ref="P377" si="142">MAX(P378:P410)</f>
        <v>4</v>
      </c>
      <c r="Q377" s="199">
        <f t="shared" ref="Q377" si="143">MAX(Q378:Q410)</f>
        <v>2</v>
      </c>
      <c r="S377" s="213" t="s">
        <v>292</v>
      </c>
    </row>
    <row r="378" spans="1:19" hidden="1" outlineLevel="1" x14ac:dyDescent="0.35">
      <c r="A378" s="336"/>
      <c r="B378" s="339"/>
      <c r="C378" s="179" t="s">
        <v>123</v>
      </c>
      <c r="D378" s="182">
        <f>PRODUCT('Rollen-Prozess-Matrix'!H2,'Kompetenz-Prozess-Matrix'!O6)</f>
        <v>0</v>
      </c>
      <c r="E378" s="183">
        <f>PRODUCT('Rollen-Prozess-Matrix'!I2,'Kompetenz-Prozess-Matrix'!O6)</f>
        <v>0</v>
      </c>
      <c r="F378" s="183">
        <f>PRODUCT('Rollen-Prozess-Matrix'!J2,'Kompetenz-Prozess-Matrix'!O6)</f>
        <v>0</v>
      </c>
      <c r="G378" s="183">
        <f>PRODUCT('Rollen-Prozess-Matrix'!K2,'Kompetenz-Prozess-Matrix'!O6)</f>
        <v>0</v>
      </c>
      <c r="H378" s="183">
        <f>PRODUCT('Rollen-Prozess-Matrix'!L2,'Kompetenz-Prozess-Matrix'!O6)</f>
        <v>0</v>
      </c>
      <c r="I378" s="183">
        <f>PRODUCT('Rollen-Prozess-Matrix'!M2,'Kompetenz-Prozess-Matrix'!O6)</f>
        <v>0</v>
      </c>
      <c r="J378" s="183">
        <f>PRODUCT('Rollen-Prozess-Matrix'!N2,'Kompetenz-Prozess-Matrix'!O6)</f>
        <v>0</v>
      </c>
      <c r="K378" s="183">
        <f>PRODUCT('Rollen-Prozess-Matrix'!O2,'Kompetenz-Prozess-Matrix'!O6)</f>
        <v>0</v>
      </c>
      <c r="L378" s="183">
        <f>PRODUCT('Rollen-Prozess-Matrix'!P2,'Kompetenz-Prozess-Matrix'!O6)</f>
        <v>0</v>
      </c>
      <c r="M378" s="183">
        <f>PRODUCT('Rollen-Prozess-Matrix'!Q2,'Kompetenz-Prozess-Matrix'!O6)</f>
        <v>0</v>
      </c>
      <c r="N378" s="183">
        <f>PRODUCT('Rollen-Prozess-Matrix'!R2,'Kompetenz-Prozess-Matrix'!O6)</f>
        <v>0</v>
      </c>
      <c r="O378" s="183">
        <f>PRODUCT('Rollen-Prozess-Matrix'!S2,'Kompetenz-Prozess-Matrix'!O6)</f>
        <v>0</v>
      </c>
      <c r="P378" s="183">
        <f>PRODUCT('Rollen-Prozess-Matrix'!T2,'Kompetenz-Prozess-Matrix'!O6)</f>
        <v>0</v>
      </c>
      <c r="Q378" s="185">
        <f>PRODUCT('Rollen-Prozess-Matrix'!U2,'Kompetenz-Prozess-Matrix'!O6)</f>
        <v>0</v>
      </c>
    </row>
    <row r="379" spans="1:19" hidden="1" outlineLevel="1" x14ac:dyDescent="0.35">
      <c r="A379" s="336"/>
      <c r="B379" s="339"/>
      <c r="C379" s="180" t="s">
        <v>127</v>
      </c>
      <c r="D379" s="182">
        <f>PRODUCT('Rollen-Prozess-Matrix'!H3,'Kompetenz-Prozess-Matrix'!O7)</f>
        <v>0</v>
      </c>
      <c r="E379" s="183">
        <f>PRODUCT('Rollen-Prozess-Matrix'!I3,'Kompetenz-Prozess-Matrix'!O7)</f>
        <v>0</v>
      </c>
      <c r="F379" s="183">
        <f>PRODUCT('Rollen-Prozess-Matrix'!J3,'Kompetenz-Prozess-Matrix'!O7)</f>
        <v>0</v>
      </c>
      <c r="G379" s="183">
        <f>PRODUCT('Rollen-Prozess-Matrix'!K3,'Kompetenz-Prozess-Matrix'!O7)</f>
        <v>0</v>
      </c>
      <c r="H379" s="183">
        <f>PRODUCT('Rollen-Prozess-Matrix'!L3,'Kompetenz-Prozess-Matrix'!O7)</f>
        <v>0</v>
      </c>
      <c r="I379" s="183">
        <f>PRODUCT('Rollen-Prozess-Matrix'!M3,'Kompetenz-Prozess-Matrix'!O7)</f>
        <v>0</v>
      </c>
      <c r="J379" s="183">
        <f>PRODUCT('Rollen-Prozess-Matrix'!N3,'Kompetenz-Prozess-Matrix'!O7)</f>
        <v>0</v>
      </c>
      <c r="K379" s="183">
        <f>PRODUCT('Rollen-Prozess-Matrix'!O3,'Kompetenz-Prozess-Matrix'!O7)</f>
        <v>0</v>
      </c>
      <c r="L379" s="183">
        <f>PRODUCT('Rollen-Prozess-Matrix'!P3,'Kompetenz-Prozess-Matrix'!O7)</f>
        <v>0</v>
      </c>
      <c r="M379" s="183">
        <f>PRODUCT('Rollen-Prozess-Matrix'!Q3,'Kompetenz-Prozess-Matrix'!O7)</f>
        <v>0</v>
      </c>
      <c r="N379" s="183">
        <f>PRODUCT('Rollen-Prozess-Matrix'!R3,'Kompetenz-Prozess-Matrix'!O7)</f>
        <v>0</v>
      </c>
      <c r="O379" s="183">
        <f>PRODUCT('Rollen-Prozess-Matrix'!S3,'Kompetenz-Prozess-Matrix'!O7)</f>
        <v>0</v>
      </c>
      <c r="P379" s="183">
        <f>PRODUCT('Rollen-Prozess-Matrix'!T3,'Kompetenz-Prozess-Matrix'!O7)</f>
        <v>0</v>
      </c>
      <c r="Q379" s="185">
        <f>PRODUCT('Rollen-Prozess-Matrix'!U3,'Kompetenz-Prozess-Matrix'!O7)</f>
        <v>0</v>
      </c>
    </row>
    <row r="380" spans="1:19" ht="51" hidden="1" outlineLevel="1" x14ac:dyDescent="0.35">
      <c r="A380" s="336"/>
      <c r="B380" s="339"/>
      <c r="C380" s="180" t="s">
        <v>132</v>
      </c>
      <c r="D380" s="182">
        <f>PRODUCT('Rollen-Prozess-Matrix'!H4,'Kompetenz-Prozess-Matrix'!O8)</f>
        <v>0</v>
      </c>
      <c r="E380" s="183">
        <f>PRODUCT('Rollen-Prozess-Matrix'!I4,'Kompetenz-Prozess-Matrix'!O8)</f>
        <v>0</v>
      </c>
      <c r="F380" s="183">
        <f>PRODUCT('Rollen-Prozess-Matrix'!J4,'Kompetenz-Prozess-Matrix'!O8)</f>
        <v>0</v>
      </c>
      <c r="G380" s="183">
        <f>PRODUCT('Rollen-Prozess-Matrix'!K4,'Kompetenz-Prozess-Matrix'!O8)</f>
        <v>0</v>
      </c>
      <c r="H380" s="183">
        <f>PRODUCT('Rollen-Prozess-Matrix'!L4,'Kompetenz-Prozess-Matrix'!O8)</f>
        <v>0</v>
      </c>
      <c r="I380" s="183">
        <f>PRODUCT('Rollen-Prozess-Matrix'!M4,'Kompetenz-Prozess-Matrix'!O8)</f>
        <v>0</v>
      </c>
      <c r="J380" s="183">
        <f>PRODUCT('Rollen-Prozess-Matrix'!N4,'Kompetenz-Prozess-Matrix'!O8)</f>
        <v>0</v>
      </c>
      <c r="K380" s="183">
        <f>PRODUCT('Rollen-Prozess-Matrix'!O4,'Kompetenz-Prozess-Matrix'!O8)</f>
        <v>0</v>
      </c>
      <c r="L380" s="183">
        <f>PRODUCT('Rollen-Prozess-Matrix'!P4,'Kompetenz-Prozess-Matrix'!O8)</f>
        <v>0</v>
      </c>
      <c r="M380" s="183">
        <f>PRODUCT('Rollen-Prozess-Matrix'!Q4,'Kompetenz-Prozess-Matrix'!O8)</f>
        <v>0</v>
      </c>
      <c r="N380" s="183">
        <f>PRODUCT('Rollen-Prozess-Matrix'!R4,'Kompetenz-Prozess-Matrix'!O8)</f>
        <v>0</v>
      </c>
      <c r="O380" s="183">
        <f>PRODUCT('Rollen-Prozess-Matrix'!S4,'Kompetenz-Prozess-Matrix'!O8)</f>
        <v>0</v>
      </c>
      <c r="P380" s="183">
        <f>PRODUCT('Rollen-Prozess-Matrix'!T4,'Kompetenz-Prozess-Matrix'!O8)</f>
        <v>0</v>
      </c>
      <c r="Q380" s="185">
        <f>PRODUCT('Rollen-Prozess-Matrix'!U4,'Kompetenz-Prozess-Matrix'!O8)</f>
        <v>0</v>
      </c>
    </row>
    <row r="381" spans="1:19" ht="38.25" hidden="1" outlineLevel="1" x14ac:dyDescent="0.35">
      <c r="A381" s="336"/>
      <c r="B381" s="339"/>
      <c r="C381" s="180" t="s">
        <v>136</v>
      </c>
      <c r="D381" s="182">
        <f>PRODUCT('Rollen-Prozess-Matrix'!H5,'Kompetenz-Prozess-Matrix'!O9)</f>
        <v>0</v>
      </c>
      <c r="E381" s="183">
        <f>PRODUCT('Rollen-Prozess-Matrix'!I5,'Kompetenz-Prozess-Matrix'!O9)</f>
        <v>0</v>
      </c>
      <c r="F381" s="183">
        <f>PRODUCT('Rollen-Prozess-Matrix'!J5,'Kompetenz-Prozess-Matrix'!O9)</f>
        <v>0</v>
      </c>
      <c r="G381" s="183">
        <f>PRODUCT('Rollen-Prozess-Matrix'!K5,'Kompetenz-Prozess-Matrix'!O9)</f>
        <v>2</v>
      </c>
      <c r="H381" s="183">
        <f>PRODUCT('Rollen-Prozess-Matrix'!L5,'Kompetenz-Prozess-Matrix'!O9)</f>
        <v>3</v>
      </c>
      <c r="I381" s="183">
        <f>PRODUCT('Rollen-Prozess-Matrix'!M5,'Kompetenz-Prozess-Matrix'!O9)</f>
        <v>0</v>
      </c>
      <c r="J381" s="183">
        <f>PRODUCT('Rollen-Prozess-Matrix'!N5,'Kompetenz-Prozess-Matrix'!O9)</f>
        <v>0</v>
      </c>
      <c r="K381" s="183">
        <f>PRODUCT('Rollen-Prozess-Matrix'!O5,'Kompetenz-Prozess-Matrix'!O9)</f>
        <v>0</v>
      </c>
      <c r="L381" s="183">
        <f>PRODUCT('Rollen-Prozess-Matrix'!P5,'Kompetenz-Prozess-Matrix'!O9)</f>
        <v>0</v>
      </c>
      <c r="M381" s="183">
        <f>PRODUCT('Rollen-Prozess-Matrix'!Q5,'Kompetenz-Prozess-Matrix'!O9)</f>
        <v>0</v>
      </c>
      <c r="N381" s="183">
        <f>PRODUCT('Rollen-Prozess-Matrix'!R5,'Kompetenz-Prozess-Matrix'!O9)</f>
        <v>0</v>
      </c>
      <c r="O381" s="183">
        <f>PRODUCT('Rollen-Prozess-Matrix'!S5,'Kompetenz-Prozess-Matrix'!O9)</f>
        <v>0</v>
      </c>
      <c r="P381" s="183">
        <f>PRODUCT('Rollen-Prozess-Matrix'!T5,'Kompetenz-Prozess-Matrix'!O9)</f>
        <v>0</v>
      </c>
      <c r="Q381" s="185">
        <f>PRODUCT('Rollen-Prozess-Matrix'!U5,'Kompetenz-Prozess-Matrix'!O9)</f>
        <v>0</v>
      </c>
    </row>
    <row r="382" spans="1:19" ht="38.25" hidden="1" outlineLevel="1" x14ac:dyDescent="0.35">
      <c r="A382" s="336"/>
      <c r="B382" s="339"/>
      <c r="C382" s="180" t="s">
        <v>140</v>
      </c>
      <c r="D382" s="182">
        <f>PRODUCT('Rollen-Prozess-Matrix'!H6,'Kompetenz-Prozess-Matrix'!O10)</f>
        <v>0</v>
      </c>
      <c r="E382" s="183">
        <f>PRODUCT('Rollen-Prozess-Matrix'!I6,'Kompetenz-Prozess-Matrix'!O10)</f>
        <v>2</v>
      </c>
      <c r="F382" s="183">
        <f>PRODUCT('Rollen-Prozess-Matrix'!J6,'Kompetenz-Prozess-Matrix'!O10)</f>
        <v>2</v>
      </c>
      <c r="G382" s="183">
        <f>PRODUCT('Rollen-Prozess-Matrix'!K6,'Kompetenz-Prozess-Matrix'!O10)</f>
        <v>0</v>
      </c>
      <c r="H382" s="183">
        <f>PRODUCT('Rollen-Prozess-Matrix'!L6,'Kompetenz-Prozess-Matrix'!O10)</f>
        <v>6</v>
      </c>
      <c r="I382" s="183">
        <f>PRODUCT('Rollen-Prozess-Matrix'!M6,'Kompetenz-Prozess-Matrix'!O10)</f>
        <v>0</v>
      </c>
      <c r="J382" s="183">
        <f>PRODUCT('Rollen-Prozess-Matrix'!N6,'Kompetenz-Prozess-Matrix'!O10)</f>
        <v>0</v>
      </c>
      <c r="K382" s="183">
        <f>PRODUCT('Rollen-Prozess-Matrix'!O6,'Kompetenz-Prozess-Matrix'!O10)</f>
        <v>0</v>
      </c>
      <c r="L382" s="183">
        <f>PRODUCT('Rollen-Prozess-Matrix'!P6,'Kompetenz-Prozess-Matrix'!O10)</f>
        <v>0</v>
      </c>
      <c r="M382" s="183">
        <f>PRODUCT('Rollen-Prozess-Matrix'!Q6,'Kompetenz-Prozess-Matrix'!O10)</f>
        <v>0</v>
      </c>
      <c r="N382" s="183">
        <f>PRODUCT('Rollen-Prozess-Matrix'!R6,'Kompetenz-Prozess-Matrix'!O10)</f>
        <v>0</v>
      </c>
      <c r="O382" s="183">
        <f>PRODUCT('Rollen-Prozess-Matrix'!S6,'Kompetenz-Prozess-Matrix'!O10)</f>
        <v>0</v>
      </c>
      <c r="P382" s="183">
        <f>PRODUCT('Rollen-Prozess-Matrix'!T6,'Kompetenz-Prozess-Matrix'!O10)</f>
        <v>4</v>
      </c>
      <c r="Q382" s="185">
        <f>PRODUCT('Rollen-Prozess-Matrix'!U6,'Kompetenz-Prozess-Matrix'!O10)</f>
        <v>2</v>
      </c>
    </row>
    <row r="383" spans="1:19" ht="38.25" hidden="1" outlineLevel="1" x14ac:dyDescent="0.35">
      <c r="A383" s="336"/>
      <c r="B383" s="339"/>
      <c r="C383" s="180" t="s">
        <v>144</v>
      </c>
      <c r="D383" s="182">
        <f>PRODUCT('Rollen-Prozess-Matrix'!H7,'Kompetenz-Prozess-Matrix'!O11)</f>
        <v>0</v>
      </c>
      <c r="E383" s="183">
        <f>PRODUCT('Rollen-Prozess-Matrix'!I7,'Kompetenz-Prozess-Matrix'!O11)</f>
        <v>0</v>
      </c>
      <c r="F383" s="183">
        <f>PRODUCT('Rollen-Prozess-Matrix'!J7,'Kompetenz-Prozess-Matrix'!O11)</f>
        <v>0</v>
      </c>
      <c r="G383" s="183">
        <f>PRODUCT('Rollen-Prozess-Matrix'!K7,'Kompetenz-Prozess-Matrix'!O11)</f>
        <v>2</v>
      </c>
      <c r="H383" s="183">
        <f>PRODUCT('Rollen-Prozess-Matrix'!L7,'Kompetenz-Prozess-Matrix'!O11)</f>
        <v>3</v>
      </c>
      <c r="I383" s="183">
        <f>PRODUCT('Rollen-Prozess-Matrix'!M7,'Kompetenz-Prozess-Matrix'!O11)</f>
        <v>0</v>
      </c>
      <c r="J383" s="183">
        <f>PRODUCT('Rollen-Prozess-Matrix'!N7,'Kompetenz-Prozess-Matrix'!O11)</f>
        <v>0</v>
      </c>
      <c r="K383" s="183">
        <f>PRODUCT('Rollen-Prozess-Matrix'!O7,'Kompetenz-Prozess-Matrix'!O11)</f>
        <v>0</v>
      </c>
      <c r="L383" s="183">
        <f>PRODUCT('Rollen-Prozess-Matrix'!P7,'Kompetenz-Prozess-Matrix'!O11)</f>
        <v>0</v>
      </c>
      <c r="M383" s="183">
        <f>PRODUCT('Rollen-Prozess-Matrix'!Q7,'Kompetenz-Prozess-Matrix'!O11)</f>
        <v>0</v>
      </c>
      <c r="N383" s="183">
        <f>PRODUCT('Rollen-Prozess-Matrix'!R7,'Kompetenz-Prozess-Matrix'!O11)</f>
        <v>0</v>
      </c>
      <c r="O383" s="183">
        <f>PRODUCT('Rollen-Prozess-Matrix'!S7,'Kompetenz-Prozess-Matrix'!O11)</f>
        <v>0</v>
      </c>
      <c r="P383" s="183">
        <f>PRODUCT('Rollen-Prozess-Matrix'!T7,'Kompetenz-Prozess-Matrix'!O11)</f>
        <v>0</v>
      </c>
      <c r="Q383" s="185">
        <f>PRODUCT('Rollen-Prozess-Matrix'!U7,'Kompetenz-Prozess-Matrix'!O11)</f>
        <v>1</v>
      </c>
    </row>
    <row r="384" spans="1:19" ht="38.25" hidden="1" outlineLevel="1" x14ac:dyDescent="0.35">
      <c r="A384" s="336"/>
      <c r="B384" s="339"/>
      <c r="C384" s="180" t="s">
        <v>148</v>
      </c>
      <c r="D384" s="182">
        <f>PRODUCT('Rollen-Prozess-Matrix'!H8,'Kompetenz-Prozess-Matrix'!O12)</f>
        <v>0</v>
      </c>
      <c r="E384" s="183">
        <f>PRODUCT('Rollen-Prozess-Matrix'!I8,'Kompetenz-Prozess-Matrix'!O12)</f>
        <v>0</v>
      </c>
      <c r="F384" s="183">
        <f>PRODUCT('Rollen-Prozess-Matrix'!J8,'Kompetenz-Prozess-Matrix'!O12)</f>
        <v>0</v>
      </c>
      <c r="G384" s="183">
        <f>PRODUCT('Rollen-Prozess-Matrix'!K8,'Kompetenz-Prozess-Matrix'!O12)</f>
        <v>0</v>
      </c>
      <c r="H384" s="183">
        <f>PRODUCT('Rollen-Prozess-Matrix'!L8,'Kompetenz-Prozess-Matrix'!O12)</f>
        <v>3</v>
      </c>
      <c r="I384" s="183">
        <f>PRODUCT('Rollen-Prozess-Matrix'!M8,'Kompetenz-Prozess-Matrix'!O12)</f>
        <v>0</v>
      </c>
      <c r="J384" s="183">
        <f>PRODUCT('Rollen-Prozess-Matrix'!N8,'Kompetenz-Prozess-Matrix'!O12)</f>
        <v>0</v>
      </c>
      <c r="K384" s="183">
        <f>PRODUCT('Rollen-Prozess-Matrix'!O8,'Kompetenz-Prozess-Matrix'!O12)</f>
        <v>0</v>
      </c>
      <c r="L384" s="183">
        <f>PRODUCT('Rollen-Prozess-Matrix'!P8,'Kompetenz-Prozess-Matrix'!O12)</f>
        <v>1</v>
      </c>
      <c r="M384" s="183">
        <f>PRODUCT('Rollen-Prozess-Matrix'!Q8,'Kompetenz-Prozess-Matrix'!O12)</f>
        <v>0</v>
      </c>
      <c r="N384" s="183">
        <f>PRODUCT('Rollen-Prozess-Matrix'!R8,'Kompetenz-Prozess-Matrix'!O12)</f>
        <v>0</v>
      </c>
      <c r="O384" s="183">
        <f>PRODUCT('Rollen-Prozess-Matrix'!S8,'Kompetenz-Prozess-Matrix'!O12)</f>
        <v>2</v>
      </c>
      <c r="P384" s="183">
        <f>PRODUCT('Rollen-Prozess-Matrix'!T8,'Kompetenz-Prozess-Matrix'!O12)</f>
        <v>0</v>
      </c>
      <c r="Q384" s="185">
        <f>PRODUCT('Rollen-Prozess-Matrix'!U8,'Kompetenz-Prozess-Matrix'!O12)</f>
        <v>0</v>
      </c>
    </row>
    <row r="385" spans="1:17" ht="38.25" hidden="1" outlineLevel="1" x14ac:dyDescent="0.35">
      <c r="A385" s="336"/>
      <c r="B385" s="339"/>
      <c r="C385" s="180" t="s">
        <v>152</v>
      </c>
      <c r="D385" s="182">
        <f>PRODUCT('Rollen-Prozess-Matrix'!H9,'Kompetenz-Prozess-Matrix'!O13)</f>
        <v>0</v>
      </c>
      <c r="E385" s="183">
        <f>PRODUCT('Rollen-Prozess-Matrix'!I9,'Kompetenz-Prozess-Matrix'!O13)</f>
        <v>0</v>
      </c>
      <c r="F385" s="183">
        <f>PRODUCT('Rollen-Prozess-Matrix'!J9,'Kompetenz-Prozess-Matrix'!O13)</f>
        <v>0</v>
      </c>
      <c r="G385" s="183">
        <f>PRODUCT('Rollen-Prozess-Matrix'!K9,'Kompetenz-Prozess-Matrix'!O13)</f>
        <v>2</v>
      </c>
      <c r="H385" s="183">
        <f>PRODUCT('Rollen-Prozess-Matrix'!L9,'Kompetenz-Prozess-Matrix'!O13)</f>
        <v>3</v>
      </c>
      <c r="I385" s="183">
        <f>PRODUCT('Rollen-Prozess-Matrix'!M9,'Kompetenz-Prozess-Matrix'!O13)</f>
        <v>0</v>
      </c>
      <c r="J385" s="183">
        <f>PRODUCT('Rollen-Prozess-Matrix'!N9,'Kompetenz-Prozess-Matrix'!O13)</f>
        <v>0</v>
      </c>
      <c r="K385" s="183">
        <f>PRODUCT('Rollen-Prozess-Matrix'!O9,'Kompetenz-Prozess-Matrix'!O13)</f>
        <v>0</v>
      </c>
      <c r="L385" s="183">
        <f>PRODUCT('Rollen-Prozess-Matrix'!P9,'Kompetenz-Prozess-Matrix'!O13)</f>
        <v>0</v>
      </c>
      <c r="M385" s="183">
        <f>PRODUCT('Rollen-Prozess-Matrix'!Q9,'Kompetenz-Prozess-Matrix'!O13)</f>
        <v>0</v>
      </c>
      <c r="N385" s="183">
        <f>PRODUCT('Rollen-Prozess-Matrix'!R9,'Kompetenz-Prozess-Matrix'!O13)</f>
        <v>0</v>
      </c>
      <c r="O385" s="183">
        <f>PRODUCT('Rollen-Prozess-Matrix'!S9,'Kompetenz-Prozess-Matrix'!O13)</f>
        <v>0</v>
      </c>
      <c r="P385" s="183">
        <f>PRODUCT('Rollen-Prozess-Matrix'!T9,'Kompetenz-Prozess-Matrix'!O13)</f>
        <v>0</v>
      </c>
      <c r="Q385" s="185">
        <f>PRODUCT('Rollen-Prozess-Matrix'!U9,'Kompetenz-Prozess-Matrix'!O13)</f>
        <v>0</v>
      </c>
    </row>
    <row r="386" spans="1:17" ht="38.25" hidden="1" outlineLevel="1" x14ac:dyDescent="0.35">
      <c r="A386" s="336"/>
      <c r="B386" s="339"/>
      <c r="C386" s="180" t="s">
        <v>157</v>
      </c>
      <c r="D386" s="182">
        <f>PRODUCT('Rollen-Prozess-Matrix'!H10,'Kompetenz-Prozess-Matrix'!O14)</f>
        <v>0</v>
      </c>
      <c r="E386" s="183">
        <f>PRODUCT('Rollen-Prozess-Matrix'!I10,'Kompetenz-Prozess-Matrix'!O14)</f>
        <v>0</v>
      </c>
      <c r="F386" s="183">
        <f>PRODUCT('Rollen-Prozess-Matrix'!J10,'Kompetenz-Prozess-Matrix'!O14)</f>
        <v>4</v>
      </c>
      <c r="G386" s="183">
        <f>PRODUCT('Rollen-Prozess-Matrix'!K10,'Kompetenz-Prozess-Matrix'!O14)</f>
        <v>0</v>
      </c>
      <c r="H386" s="183">
        <f>PRODUCT('Rollen-Prozess-Matrix'!L10,'Kompetenz-Prozess-Matrix'!O14)</f>
        <v>6</v>
      </c>
      <c r="I386" s="183">
        <f>PRODUCT('Rollen-Prozess-Matrix'!M10,'Kompetenz-Prozess-Matrix'!O14)</f>
        <v>0</v>
      </c>
      <c r="J386" s="183">
        <f>PRODUCT('Rollen-Prozess-Matrix'!N10,'Kompetenz-Prozess-Matrix'!O14)</f>
        <v>0</v>
      </c>
      <c r="K386" s="183">
        <f>PRODUCT('Rollen-Prozess-Matrix'!O10,'Kompetenz-Prozess-Matrix'!O14)</f>
        <v>0</v>
      </c>
      <c r="L386" s="183">
        <f>PRODUCT('Rollen-Prozess-Matrix'!P10,'Kompetenz-Prozess-Matrix'!O14)</f>
        <v>0</v>
      </c>
      <c r="M386" s="183">
        <f>PRODUCT('Rollen-Prozess-Matrix'!Q10,'Kompetenz-Prozess-Matrix'!O14)</f>
        <v>0</v>
      </c>
      <c r="N386" s="183">
        <f>PRODUCT('Rollen-Prozess-Matrix'!R10,'Kompetenz-Prozess-Matrix'!O14)</f>
        <v>0</v>
      </c>
      <c r="O386" s="183">
        <f>PRODUCT('Rollen-Prozess-Matrix'!S10,'Kompetenz-Prozess-Matrix'!O14)</f>
        <v>0</v>
      </c>
      <c r="P386" s="183">
        <f>PRODUCT('Rollen-Prozess-Matrix'!T10,'Kompetenz-Prozess-Matrix'!O14)</f>
        <v>0</v>
      </c>
      <c r="Q386" s="185">
        <f>PRODUCT('Rollen-Prozess-Matrix'!U10,'Kompetenz-Prozess-Matrix'!O14)</f>
        <v>0</v>
      </c>
    </row>
    <row r="387" spans="1:17" ht="38.25" hidden="1" outlineLevel="1" x14ac:dyDescent="0.35">
      <c r="A387" s="336"/>
      <c r="B387" s="339"/>
      <c r="C387" s="180" t="s">
        <v>161</v>
      </c>
      <c r="D387" s="182">
        <f>PRODUCT('Rollen-Prozess-Matrix'!H11,'Kompetenz-Prozess-Matrix'!O15)</f>
        <v>0</v>
      </c>
      <c r="E387" s="183">
        <f>PRODUCT('Rollen-Prozess-Matrix'!I11,'Kompetenz-Prozess-Matrix'!O15)</f>
        <v>0</v>
      </c>
      <c r="F387" s="183">
        <f>PRODUCT('Rollen-Prozess-Matrix'!J11,'Kompetenz-Prozess-Matrix'!O15)</f>
        <v>4</v>
      </c>
      <c r="G387" s="183">
        <f>PRODUCT('Rollen-Prozess-Matrix'!K11,'Kompetenz-Prozess-Matrix'!O15)</f>
        <v>0</v>
      </c>
      <c r="H387" s="183">
        <f>PRODUCT('Rollen-Prozess-Matrix'!L11,'Kompetenz-Prozess-Matrix'!O15)</f>
        <v>6</v>
      </c>
      <c r="I387" s="183">
        <f>PRODUCT('Rollen-Prozess-Matrix'!M11,'Kompetenz-Prozess-Matrix'!O15)</f>
        <v>0</v>
      </c>
      <c r="J387" s="183">
        <f>PRODUCT('Rollen-Prozess-Matrix'!N11,'Kompetenz-Prozess-Matrix'!O15)</f>
        <v>0</v>
      </c>
      <c r="K387" s="183">
        <f>PRODUCT('Rollen-Prozess-Matrix'!O11,'Kompetenz-Prozess-Matrix'!O15)</f>
        <v>0</v>
      </c>
      <c r="L387" s="183">
        <f>PRODUCT('Rollen-Prozess-Matrix'!P11,'Kompetenz-Prozess-Matrix'!O15)</f>
        <v>0</v>
      </c>
      <c r="M387" s="183">
        <f>PRODUCT('Rollen-Prozess-Matrix'!Q11,'Kompetenz-Prozess-Matrix'!O15)</f>
        <v>0</v>
      </c>
      <c r="N387" s="183">
        <f>PRODUCT('Rollen-Prozess-Matrix'!R11,'Kompetenz-Prozess-Matrix'!O15)</f>
        <v>0</v>
      </c>
      <c r="O387" s="183">
        <f>PRODUCT('Rollen-Prozess-Matrix'!S11,'Kompetenz-Prozess-Matrix'!O15)</f>
        <v>0</v>
      </c>
      <c r="P387" s="183">
        <f>PRODUCT('Rollen-Prozess-Matrix'!T11,'Kompetenz-Prozess-Matrix'!O15)</f>
        <v>0</v>
      </c>
      <c r="Q387" s="185">
        <f>PRODUCT('Rollen-Prozess-Matrix'!U11,'Kompetenz-Prozess-Matrix'!O15)</f>
        <v>2</v>
      </c>
    </row>
    <row r="388" spans="1:17" ht="38.25" hidden="1" outlineLevel="1" x14ac:dyDescent="0.35">
      <c r="A388" s="336"/>
      <c r="B388" s="339"/>
      <c r="C388" s="180" t="s">
        <v>288</v>
      </c>
      <c r="D388" s="182">
        <f>PRODUCT('Rollen-Prozess-Matrix'!H12,'Kompetenz-Prozess-Matrix'!O16)</f>
        <v>0</v>
      </c>
      <c r="E388" s="183">
        <f>PRODUCT('Rollen-Prozess-Matrix'!I12,'Kompetenz-Prozess-Matrix'!O16)</f>
        <v>2</v>
      </c>
      <c r="F388" s="183">
        <f>PRODUCT('Rollen-Prozess-Matrix'!J12,'Kompetenz-Prozess-Matrix'!O16)</f>
        <v>2</v>
      </c>
      <c r="G388" s="183">
        <f>PRODUCT('Rollen-Prozess-Matrix'!K12,'Kompetenz-Prozess-Matrix'!O16)</f>
        <v>0</v>
      </c>
      <c r="H388" s="183">
        <f>PRODUCT('Rollen-Prozess-Matrix'!L12,'Kompetenz-Prozess-Matrix'!O16)</f>
        <v>3</v>
      </c>
      <c r="I388" s="183">
        <f>PRODUCT('Rollen-Prozess-Matrix'!M12,'Kompetenz-Prozess-Matrix'!O16)</f>
        <v>2</v>
      </c>
      <c r="J388" s="183">
        <f>PRODUCT('Rollen-Prozess-Matrix'!N12,'Kompetenz-Prozess-Matrix'!O16)</f>
        <v>1</v>
      </c>
      <c r="K388" s="183">
        <f>PRODUCT('Rollen-Prozess-Matrix'!O12,'Kompetenz-Prozess-Matrix'!O16)</f>
        <v>1</v>
      </c>
      <c r="L388" s="183">
        <f>PRODUCT('Rollen-Prozess-Matrix'!P12,'Kompetenz-Prozess-Matrix'!O16)</f>
        <v>1</v>
      </c>
      <c r="M388" s="183">
        <f>PRODUCT('Rollen-Prozess-Matrix'!Q12,'Kompetenz-Prozess-Matrix'!O16)</f>
        <v>0</v>
      </c>
      <c r="N388" s="183">
        <f>PRODUCT('Rollen-Prozess-Matrix'!R12,'Kompetenz-Prozess-Matrix'!O16)</f>
        <v>0</v>
      </c>
      <c r="O388" s="183">
        <f>PRODUCT('Rollen-Prozess-Matrix'!S12,'Kompetenz-Prozess-Matrix'!O16)</f>
        <v>0</v>
      </c>
      <c r="P388" s="183">
        <f>PRODUCT('Rollen-Prozess-Matrix'!T12,'Kompetenz-Prozess-Matrix'!O16)</f>
        <v>1</v>
      </c>
      <c r="Q388" s="185">
        <f>PRODUCT('Rollen-Prozess-Matrix'!U12,'Kompetenz-Prozess-Matrix'!O16)</f>
        <v>2</v>
      </c>
    </row>
    <row r="389" spans="1:17" ht="25.5" hidden="1" outlineLevel="1" x14ac:dyDescent="0.35">
      <c r="A389" s="336"/>
      <c r="B389" s="339"/>
      <c r="C389" s="180" t="s">
        <v>169</v>
      </c>
      <c r="D389" s="182">
        <f>PRODUCT('Rollen-Prozess-Matrix'!H13,'Kompetenz-Prozess-Matrix'!O17)</f>
        <v>0</v>
      </c>
      <c r="E389" s="183">
        <f>PRODUCT('Rollen-Prozess-Matrix'!I13,'Kompetenz-Prozess-Matrix'!O17)</f>
        <v>1</v>
      </c>
      <c r="F389" s="183">
        <f>PRODUCT('Rollen-Prozess-Matrix'!J13,'Kompetenz-Prozess-Matrix'!O17)</f>
        <v>2</v>
      </c>
      <c r="G389" s="183">
        <f>PRODUCT('Rollen-Prozess-Matrix'!K13,'Kompetenz-Prozess-Matrix'!O17)</f>
        <v>0</v>
      </c>
      <c r="H389" s="183">
        <f>PRODUCT('Rollen-Prozess-Matrix'!L13,'Kompetenz-Prozess-Matrix'!O17)</f>
        <v>3</v>
      </c>
      <c r="I389" s="183">
        <f>PRODUCT('Rollen-Prozess-Matrix'!M13,'Kompetenz-Prozess-Matrix'!O17)</f>
        <v>2</v>
      </c>
      <c r="J389" s="183">
        <f>PRODUCT('Rollen-Prozess-Matrix'!N13,'Kompetenz-Prozess-Matrix'!O17)</f>
        <v>1</v>
      </c>
      <c r="K389" s="183">
        <f>PRODUCT('Rollen-Prozess-Matrix'!O13,'Kompetenz-Prozess-Matrix'!O17)</f>
        <v>1</v>
      </c>
      <c r="L389" s="183">
        <f>PRODUCT('Rollen-Prozess-Matrix'!P13,'Kompetenz-Prozess-Matrix'!O17)</f>
        <v>0</v>
      </c>
      <c r="M389" s="183">
        <f>PRODUCT('Rollen-Prozess-Matrix'!Q13,'Kompetenz-Prozess-Matrix'!O17)</f>
        <v>0</v>
      </c>
      <c r="N389" s="183">
        <f>PRODUCT('Rollen-Prozess-Matrix'!R13,'Kompetenz-Prozess-Matrix'!O17)</f>
        <v>0</v>
      </c>
      <c r="O389" s="183">
        <f>PRODUCT('Rollen-Prozess-Matrix'!S13,'Kompetenz-Prozess-Matrix'!O17)</f>
        <v>1</v>
      </c>
      <c r="P389" s="183">
        <f>PRODUCT('Rollen-Prozess-Matrix'!T13,'Kompetenz-Prozess-Matrix'!O17)</f>
        <v>0</v>
      </c>
      <c r="Q389" s="185">
        <f>PRODUCT('Rollen-Prozess-Matrix'!U13,'Kompetenz-Prozess-Matrix'!O17)</f>
        <v>0</v>
      </c>
    </row>
    <row r="390" spans="1:17" ht="63.75" hidden="1" outlineLevel="1" x14ac:dyDescent="0.35">
      <c r="A390" s="336"/>
      <c r="B390" s="339"/>
      <c r="C390" s="180" t="s">
        <v>173</v>
      </c>
      <c r="D390" s="182">
        <f>PRODUCT('Rollen-Prozess-Matrix'!H14,'Kompetenz-Prozess-Matrix'!O18)</f>
        <v>0</v>
      </c>
      <c r="E390" s="183">
        <f>PRODUCT('Rollen-Prozess-Matrix'!I14,'Kompetenz-Prozess-Matrix'!O18)</f>
        <v>1</v>
      </c>
      <c r="F390" s="183">
        <f>PRODUCT('Rollen-Prozess-Matrix'!J14,'Kompetenz-Prozess-Matrix'!O18)</f>
        <v>2</v>
      </c>
      <c r="G390" s="183">
        <f>PRODUCT('Rollen-Prozess-Matrix'!K14,'Kompetenz-Prozess-Matrix'!O18)</f>
        <v>0</v>
      </c>
      <c r="H390" s="183">
        <f>PRODUCT('Rollen-Prozess-Matrix'!L14,'Kompetenz-Prozess-Matrix'!O18)</f>
        <v>3</v>
      </c>
      <c r="I390" s="183">
        <f>PRODUCT('Rollen-Prozess-Matrix'!M14,'Kompetenz-Prozess-Matrix'!O18)</f>
        <v>2</v>
      </c>
      <c r="J390" s="183">
        <f>PRODUCT('Rollen-Prozess-Matrix'!N14,'Kompetenz-Prozess-Matrix'!O18)</f>
        <v>1</v>
      </c>
      <c r="K390" s="183">
        <f>PRODUCT('Rollen-Prozess-Matrix'!O14,'Kompetenz-Prozess-Matrix'!O18)</f>
        <v>0</v>
      </c>
      <c r="L390" s="183">
        <f>PRODUCT('Rollen-Prozess-Matrix'!P14,'Kompetenz-Prozess-Matrix'!O18)</f>
        <v>1</v>
      </c>
      <c r="M390" s="183">
        <f>PRODUCT('Rollen-Prozess-Matrix'!Q14,'Kompetenz-Prozess-Matrix'!O18)</f>
        <v>0</v>
      </c>
      <c r="N390" s="183">
        <f>PRODUCT('Rollen-Prozess-Matrix'!R14,'Kompetenz-Prozess-Matrix'!O18)</f>
        <v>0</v>
      </c>
      <c r="O390" s="183">
        <f>PRODUCT('Rollen-Prozess-Matrix'!S14,'Kompetenz-Prozess-Matrix'!O18)</f>
        <v>0</v>
      </c>
      <c r="P390" s="183">
        <f>PRODUCT('Rollen-Prozess-Matrix'!T14,'Kompetenz-Prozess-Matrix'!O18)</f>
        <v>0</v>
      </c>
      <c r="Q390" s="185">
        <f>PRODUCT('Rollen-Prozess-Matrix'!U14,'Kompetenz-Prozess-Matrix'!O18)</f>
        <v>0</v>
      </c>
    </row>
    <row r="391" spans="1:17" ht="38.25" hidden="1" outlineLevel="1" x14ac:dyDescent="0.35">
      <c r="A391" s="336"/>
      <c r="B391" s="339"/>
      <c r="C391" s="180" t="s">
        <v>177</v>
      </c>
      <c r="D391" s="182">
        <f>PRODUCT('Rollen-Prozess-Matrix'!H15,'Kompetenz-Prozess-Matrix'!O19)</f>
        <v>0</v>
      </c>
      <c r="E391" s="183">
        <f>PRODUCT('Rollen-Prozess-Matrix'!I15,'Kompetenz-Prozess-Matrix'!O19)</f>
        <v>1</v>
      </c>
      <c r="F391" s="183">
        <f>PRODUCT('Rollen-Prozess-Matrix'!J15,'Kompetenz-Prozess-Matrix'!O19)</f>
        <v>2</v>
      </c>
      <c r="G391" s="183">
        <f>PRODUCT('Rollen-Prozess-Matrix'!K15,'Kompetenz-Prozess-Matrix'!O19)</f>
        <v>0</v>
      </c>
      <c r="H391" s="183">
        <f>PRODUCT('Rollen-Prozess-Matrix'!L15,'Kompetenz-Prozess-Matrix'!O19)</f>
        <v>3</v>
      </c>
      <c r="I391" s="183">
        <f>PRODUCT('Rollen-Prozess-Matrix'!M15,'Kompetenz-Prozess-Matrix'!O19)</f>
        <v>1</v>
      </c>
      <c r="J391" s="183">
        <f>PRODUCT('Rollen-Prozess-Matrix'!N15,'Kompetenz-Prozess-Matrix'!O19)</f>
        <v>1</v>
      </c>
      <c r="K391" s="183">
        <f>PRODUCT('Rollen-Prozess-Matrix'!O15,'Kompetenz-Prozess-Matrix'!O19)</f>
        <v>0</v>
      </c>
      <c r="L391" s="183">
        <f>PRODUCT('Rollen-Prozess-Matrix'!P15,'Kompetenz-Prozess-Matrix'!O19)</f>
        <v>1</v>
      </c>
      <c r="M391" s="183">
        <f>PRODUCT('Rollen-Prozess-Matrix'!Q15,'Kompetenz-Prozess-Matrix'!O19)</f>
        <v>0</v>
      </c>
      <c r="N391" s="183">
        <f>PRODUCT('Rollen-Prozess-Matrix'!R15,'Kompetenz-Prozess-Matrix'!O19)</f>
        <v>0</v>
      </c>
      <c r="O391" s="183">
        <f>PRODUCT('Rollen-Prozess-Matrix'!S15,'Kompetenz-Prozess-Matrix'!O19)</f>
        <v>0</v>
      </c>
      <c r="P391" s="183">
        <f>PRODUCT('Rollen-Prozess-Matrix'!T15,'Kompetenz-Prozess-Matrix'!O19)</f>
        <v>0</v>
      </c>
      <c r="Q391" s="185">
        <f>PRODUCT('Rollen-Prozess-Matrix'!U15,'Kompetenz-Prozess-Matrix'!O19)</f>
        <v>0</v>
      </c>
    </row>
    <row r="392" spans="1:17" hidden="1" outlineLevel="1" x14ac:dyDescent="0.35">
      <c r="A392" s="336"/>
      <c r="B392" s="339"/>
      <c r="C392" s="180" t="s">
        <v>181</v>
      </c>
      <c r="D392" s="182">
        <f>PRODUCT('Rollen-Prozess-Matrix'!H16,'Kompetenz-Prozess-Matrix'!O20)</f>
        <v>0</v>
      </c>
      <c r="E392" s="183">
        <f>PRODUCT('Rollen-Prozess-Matrix'!I16,'Kompetenz-Prozess-Matrix'!O20)</f>
        <v>0</v>
      </c>
      <c r="F392" s="183">
        <f>PRODUCT('Rollen-Prozess-Matrix'!J16,'Kompetenz-Prozess-Matrix'!O20)</f>
        <v>0</v>
      </c>
      <c r="G392" s="183">
        <f>PRODUCT('Rollen-Prozess-Matrix'!K16,'Kompetenz-Prozess-Matrix'!O20)</f>
        <v>0</v>
      </c>
      <c r="H392" s="183">
        <f>PRODUCT('Rollen-Prozess-Matrix'!L16,'Kompetenz-Prozess-Matrix'!O20)</f>
        <v>0</v>
      </c>
      <c r="I392" s="183">
        <f>PRODUCT('Rollen-Prozess-Matrix'!M16,'Kompetenz-Prozess-Matrix'!O20)</f>
        <v>0</v>
      </c>
      <c r="J392" s="183">
        <f>PRODUCT('Rollen-Prozess-Matrix'!N16,'Kompetenz-Prozess-Matrix'!O20)</f>
        <v>0</v>
      </c>
      <c r="K392" s="183">
        <f>PRODUCT('Rollen-Prozess-Matrix'!O16,'Kompetenz-Prozess-Matrix'!O20)</f>
        <v>0</v>
      </c>
      <c r="L392" s="183">
        <f>PRODUCT('Rollen-Prozess-Matrix'!P16,'Kompetenz-Prozess-Matrix'!O20)</f>
        <v>0</v>
      </c>
      <c r="M392" s="183">
        <f>PRODUCT('Rollen-Prozess-Matrix'!Q16,'Kompetenz-Prozess-Matrix'!O20)</f>
        <v>0</v>
      </c>
      <c r="N392" s="183">
        <f>PRODUCT('Rollen-Prozess-Matrix'!R16,'Kompetenz-Prozess-Matrix'!O20)</f>
        <v>0</v>
      </c>
      <c r="O392" s="183">
        <f>PRODUCT('Rollen-Prozess-Matrix'!S16,'Kompetenz-Prozess-Matrix'!O20)</f>
        <v>0</v>
      </c>
      <c r="P392" s="183">
        <f>PRODUCT('Rollen-Prozess-Matrix'!T16,'Kompetenz-Prozess-Matrix'!O20)</f>
        <v>0</v>
      </c>
      <c r="Q392" s="185">
        <f>PRODUCT('Rollen-Prozess-Matrix'!U16,'Kompetenz-Prozess-Matrix'!O20)</f>
        <v>0</v>
      </c>
    </row>
    <row r="393" spans="1:17" ht="38.25" hidden="1" outlineLevel="1" x14ac:dyDescent="0.35">
      <c r="A393" s="336"/>
      <c r="B393" s="339"/>
      <c r="C393" s="180" t="s">
        <v>185</v>
      </c>
      <c r="D393" s="182">
        <f>PRODUCT('Rollen-Prozess-Matrix'!H17,'Kompetenz-Prozess-Matrix'!O21)</f>
        <v>0</v>
      </c>
      <c r="E393" s="183">
        <f>PRODUCT('Rollen-Prozess-Matrix'!I17,'Kompetenz-Prozess-Matrix'!O21)</f>
        <v>1</v>
      </c>
      <c r="F393" s="183">
        <f>PRODUCT('Rollen-Prozess-Matrix'!J17,'Kompetenz-Prozess-Matrix'!O21)</f>
        <v>1</v>
      </c>
      <c r="G393" s="183">
        <f>PRODUCT('Rollen-Prozess-Matrix'!K17,'Kompetenz-Prozess-Matrix'!O21)</f>
        <v>0</v>
      </c>
      <c r="H393" s="183">
        <f>PRODUCT('Rollen-Prozess-Matrix'!L17,'Kompetenz-Prozess-Matrix'!O21)</f>
        <v>3</v>
      </c>
      <c r="I393" s="183">
        <f>PRODUCT('Rollen-Prozess-Matrix'!M17,'Kompetenz-Prozess-Matrix'!O21)</f>
        <v>0</v>
      </c>
      <c r="J393" s="183">
        <f>PRODUCT('Rollen-Prozess-Matrix'!N17,'Kompetenz-Prozess-Matrix'!O21)</f>
        <v>0</v>
      </c>
      <c r="K393" s="183">
        <f>PRODUCT('Rollen-Prozess-Matrix'!O17,'Kompetenz-Prozess-Matrix'!O21)</f>
        <v>0</v>
      </c>
      <c r="L393" s="183">
        <f>PRODUCT('Rollen-Prozess-Matrix'!P17,'Kompetenz-Prozess-Matrix'!O21)</f>
        <v>2</v>
      </c>
      <c r="M393" s="183">
        <f>PRODUCT('Rollen-Prozess-Matrix'!Q17,'Kompetenz-Prozess-Matrix'!O21)</f>
        <v>0</v>
      </c>
      <c r="N393" s="183">
        <f>PRODUCT('Rollen-Prozess-Matrix'!R17,'Kompetenz-Prozess-Matrix'!O21)</f>
        <v>0</v>
      </c>
      <c r="O393" s="183">
        <f>PRODUCT('Rollen-Prozess-Matrix'!S17,'Kompetenz-Prozess-Matrix'!O21)</f>
        <v>2</v>
      </c>
      <c r="P393" s="183">
        <f>PRODUCT('Rollen-Prozess-Matrix'!T17,'Kompetenz-Prozess-Matrix'!O21)</f>
        <v>0</v>
      </c>
      <c r="Q393" s="185">
        <f>PRODUCT('Rollen-Prozess-Matrix'!U17,'Kompetenz-Prozess-Matrix'!O21)</f>
        <v>0</v>
      </c>
    </row>
    <row r="394" spans="1:17" ht="51" hidden="1" outlineLevel="1" x14ac:dyDescent="0.35">
      <c r="A394" s="336"/>
      <c r="B394" s="339"/>
      <c r="C394" s="180" t="s">
        <v>190</v>
      </c>
      <c r="D394" s="182">
        <f>PRODUCT('Rollen-Prozess-Matrix'!H18,'Kompetenz-Prozess-Matrix'!O22)</f>
        <v>0</v>
      </c>
      <c r="E394" s="183">
        <f>PRODUCT('Rollen-Prozess-Matrix'!I18,'Kompetenz-Prozess-Matrix'!O22)</f>
        <v>2</v>
      </c>
      <c r="F394" s="183">
        <f>PRODUCT('Rollen-Prozess-Matrix'!J18,'Kompetenz-Prozess-Matrix'!O22)</f>
        <v>0</v>
      </c>
      <c r="G394" s="183">
        <f>PRODUCT('Rollen-Prozess-Matrix'!K18,'Kompetenz-Prozess-Matrix'!O22)</f>
        <v>0</v>
      </c>
      <c r="H394" s="183">
        <f>PRODUCT('Rollen-Prozess-Matrix'!L18,'Kompetenz-Prozess-Matrix'!O22)</f>
        <v>3</v>
      </c>
      <c r="I394" s="183">
        <f>PRODUCT('Rollen-Prozess-Matrix'!M18,'Kompetenz-Prozess-Matrix'!O22)</f>
        <v>0</v>
      </c>
      <c r="J394" s="183">
        <f>PRODUCT('Rollen-Prozess-Matrix'!N18,'Kompetenz-Prozess-Matrix'!O22)</f>
        <v>0</v>
      </c>
      <c r="K394" s="183">
        <f>PRODUCT('Rollen-Prozess-Matrix'!O18,'Kompetenz-Prozess-Matrix'!O22)</f>
        <v>0</v>
      </c>
      <c r="L394" s="183">
        <f>PRODUCT('Rollen-Prozess-Matrix'!P18,'Kompetenz-Prozess-Matrix'!O22)</f>
        <v>0</v>
      </c>
      <c r="M394" s="183">
        <f>PRODUCT('Rollen-Prozess-Matrix'!Q18,'Kompetenz-Prozess-Matrix'!O22)</f>
        <v>0</v>
      </c>
      <c r="N394" s="183">
        <f>PRODUCT('Rollen-Prozess-Matrix'!R18,'Kompetenz-Prozess-Matrix'!O22)</f>
        <v>0</v>
      </c>
      <c r="O394" s="183">
        <f>PRODUCT('Rollen-Prozess-Matrix'!S18,'Kompetenz-Prozess-Matrix'!O22)</f>
        <v>0</v>
      </c>
      <c r="P394" s="183">
        <f>PRODUCT('Rollen-Prozess-Matrix'!T18,'Kompetenz-Prozess-Matrix'!O22)</f>
        <v>2</v>
      </c>
      <c r="Q394" s="185">
        <f>PRODUCT('Rollen-Prozess-Matrix'!U18,'Kompetenz-Prozess-Matrix'!O22)</f>
        <v>1</v>
      </c>
    </row>
    <row r="395" spans="1:17" ht="63.75" hidden="1" outlineLevel="1" x14ac:dyDescent="0.35">
      <c r="A395" s="336"/>
      <c r="B395" s="339"/>
      <c r="C395" s="180" t="s">
        <v>194</v>
      </c>
      <c r="D395" s="182">
        <f>PRODUCT('Rollen-Prozess-Matrix'!H19,'Kompetenz-Prozess-Matrix'!O23)</f>
        <v>0</v>
      </c>
      <c r="E395" s="183">
        <f>PRODUCT('Rollen-Prozess-Matrix'!I19,'Kompetenz-Prozess-Matrix'!O23)</f>
        <v>2</v>
      </c>
      <c r="F395" s="183">
        <f>PRODUCT('Rollen-Prozess-Matrix'!J19,'Kompetenz-Prozess-Matrix'!O23)</f>
        <v>0</v>
      </c>
      <c r="G395" s="183">
        <f>PRODUCT('Rollen-Prozess-Matrix'!K19,'Kompetenz-Prozess-Matrix'!O23)</f>
        <v>0</v>
      </c>
      <c r="H395" s="183">
        <f>PRODUCT('Rollen-Prozess-Matrix'!L19,'Kompetenz-Prozess-Matrix'!O23)</f>
        <v>3</v>
      </c>
      <c r="I395" s="183">
        <f>PRODUCT('Rollen-Prozess-Matrix'!M19,'Kompetenz-Prozess-Matrix'!O23)</f>
        <v>1</v>
      </c>
      <c r="J395" s="183">
        <f>PRODUCT('Rollen-Prozess-Matrix'!N19,'Kompetenz-Prozess-Matrix'!O23)</f>
        <v>0</v>
      </c>
      <c r="K395" s="183">
        <f>PRODUCT('Rollen-Prozess-Matrix'!O19,'Kompetenz-Prozess-Matrix'!O23)</f>
        <v>0</v>
      </c>
      <c r="L395" s="183">
        <f>PRODUCT('Rollen-Prozess-Matrix'!P19,'Kompetenz-Prozess-Matrix'!O23)</f>
        <v>1</v>
      </c>
      <c r="M395" s="183">
        <f>PRODUCT('Rollen-Prozess-Matrix'!Q19,'Kompetenz-Prozess-Matrix'!O23)</f>
        <v>0</v>
      </c>
      <c r="N395" s="183">
        <f>PRODUCT('Rollen-Prozess-Matrix'!R19,'Kompetenz-Prozess-Matrix'!O23)</f>
        <v>0</v>
      </c>
      <c r="O395" s="183">
        <f>PRODUCT('Rollen-Prozess-Matrix'!S19,'Kompetenz-Prozess-Matrix'!O23)</f>
        <v>0</v>
      </c>
      <c r="P395" s="183">
        <f>PRODUCT('Rollen-Prozess-Matrix'!T19,'Kompetenz-Prozess-Matrix'!O23)</f>
        <v>0</v>
      </c>
      <c r="Q395" s="185">
        <f>PRODUCT('Rollen-Prozess-Matrix'!U19,'Kompetenz-Prozess-Matrix'!O23)</f>
        <v>0</v>
      </c>
    </row>
    <row r="396" spans="1:17" ht="63.75" hidden="1" outlineLevel="1" x14ac:dyDescent="0.35">
      <c r="A396" s="336"/>
      <c r="B396" s="339"/>
      <c r="C396" s="180" t="s">
        <v>201</v>
      </c>
      <c r="D396" s="182">
        <f>PRODUCT('Rollen-Prozess-Matrix'!H20,'Kompetenz-Prozess-Matrix'!O24)</f>
        <v>0</v>
      </c>
      <c r="E396" s="183">
        <f>PRODUCT('Rollen-Prozess-Matrix'!I20,'Kompetenz-Prozess-Matrix'!O24)</f>
        <v>2</v>
      </c>
      <c r="F396" s="183">
        <f>PRODUCT('Rollen-Prozess-Matrix'!J20,'Kompetenz-Prozess-Matrix'!O24)</f>
        <v>0</v>
      </c>
      <c r="G396" s="183">
        <f>PRODUCT('Rollen-Prozess-Matrix'!K20,'Kompetenz-Prozess-Matrix'!O24)</f>
        <v>0</v>
      </c>
      <c r="H396" s="183">
        <f>PRODUCT('Rollen-Prozess-Matrix'!L20,'Kompetenz-Prozess-Matrix'!O24)</f>
        <v>3</v>
      </c>
      <c r="I396" s="183">
        <f>PRODUCT('Rollen-Prozess-Matrix'!M20,'Kompetenz-Prozess-Matrix'!O24)</f>
        <v>2</v>
      </c>
      <c r="J396" s="183">
        <f>PRODUCT('Rollen-Prozess-Matrix'!N20,'Kompetenz-Prozess-Matrix'!O24)</f>
        <v>1</v>
      </c>
      <c r="K396" s="183">
        <f>PRODUCT('Rollen-Prozess-Matrix'!O20,'Kompetenz-Prozess-Matrix'!O24)</f>
        <v>0</v>
      </c>
      <c r="L396" s="183">
        <f>PRODUCT('Rollen-Prozess-Matrix'!P20,'Kompetenz-Prozess-Matrix'!O24)</f>
        <v>1</v>
      </c>
      <c r="M396" s="183">
        <f>PRODUCT('Rollen-Prozess-Matrix'!Q20,'Kompetenz-Prozess-Matrix'!O24)</f>
        <v>0</v>
      </c>
      <c r="N396" s="183">
        <f>PRODUCT('Rollen-Prozess-Matrix'!R20,'Kompetenz-Prozess-Matrix'!O24)</f>
        <v>0</v>
      </c>
      <c r="O396" s="183">
        <f>PRODUCT('Rollen-Prozess-Matrix'!S20,'Kompetenz-Prozess-Matrix'!O24)</f>
        <v>0</v>
      </c>
      <c r="P396" s="183">
        <f>PRODUCT('Rollen-Prozess-Matrix'!T20,'Kompetenz-Prozess-Matrix'!O24)</f>
        <v>0</v>
      </c>
      <c r="Q396" s="185">
        <f>PRODUCT('Rollen-Prozess-Matrix'!U20,'Kompetenz-Prozess-Matrix'!O24)</f>
        <v>0</v>
      </c>
    </row>
    <row r="397" spans="1:17" ht="51" hidden="1" outlineLevel="1" x14ac:dyDescent="0.35">
      <c r="A397" s="336"/>
      <c r="B397" s="339"/>
      <c r="C397" s="180" t="s">
        <v>205</v>
      </c>
      <c r="D397" s="182">
        <f>PRODUCT('Rollen-Prozess-Matrix'!H21,'Kompetenz-Prozess-Matrix'!O25)</f>
        <v>0</v>
      </c>
      <c r="E397" s="183">
        <f>PRODUCT('Rollen-Prozess-Matrix'!I21,'Kompetenz-Prozess-Matrix'!O25)</f>
        <v>1</v>
      </c>
      <c r="F397" s="183">
        <f>PRODUCT('Rollen-Prozess-Matrix'!J21,'Kompetenz-Prozess-Matrix'!O25)</f>
        <v>0</v>
      </c>
      <c r="G397" s="183">
        <f>PRODUCT('Rollen-Prozess-Matrix'!K21,'Kompetenz-Prozess-Matrix'!O25)</f>
        <v>0</v>
      </c>
      <c r="H397" s="183">
        <f>PRODUCT('Rollen-Prozess-Matrix'!L21,'Kompetenz-Prozess-Matrix'!O25)</f>
        <v>3</v>
      </c>
      <c r="I397" s="183">
        <f>PRODUCT('Rollen-Prozess-Matrix'!M21,'Kompetenz-Prozess-Matrix'!O25)</f>
        <v>2</v>
      </c>
      <c r="J397" s="183">
        <f>PRODUCT('Rollen-Prozess-Matrix'!N21,'Kompetenz-Prozess-Matrix'!O25)</f>
        <v>1</v>
      </c>
      <c r="K397" s="183">
        <f>PRODUCT('Rollen-Prozess-Matrix'!O21,'Kompetenz-Prozess-Matrix'!O25)</f>
        <v>0</v>
      </c>
      <c r="L397" s="183">
        <f>PRODUCT('Rollen-Prozess-Matrix'!P21,'Kompetenz-Prozess-Matrix'!O25)</f>
        <v>0</v>
      </c>
      <c r="M397" s="183">
        <f>PRODUCT('Rollen-Prozess-Matrix'!Q21,'Kompetenz-Prozess-Matrix'!O25)</f>
        <v>0</v>
      </c>
      <c r="N397" s="183">
        <f>PRODUCT('Rollen-Prozess-Matrix'!R21,'Kompetenz-Prozess-Matrix'!O25)</f>
        <v>0</v>
      </c>
      <c r="O397" s="183">
        <f>PRODUCT('Rollen-Prozess-Matrix'!S21,'Kompetenz-Prozess-Matrix'!O25)</f>
        <v>0</v>
      </c>
      <c r="P397" s="183">
        <f>PRODUCT('Rollen-Prozess-Matrix'!T21,'Kompetenz-Prozess-Matrix'!O25)</f>
        <v>0</v>
      </c>
      <c r="Q397" s="185">
        <f>PRODUCT('Rollen-Prozess-Matrix'!U21,'Kompetenz-Prozess-Matrix'!O25)</f>
        <v>0</v>
      </c>
    </row>
    <row r="398" spans="1:17" ht="38.25" hidden="1" outlineLevel="1" x14ac:dyDescent="0.35">
      <c r="A398" s="336"/>
      <c r="B398" s="339"/>
      <c r="C398" s="180" t="s">
        <v>209</v>
      </c>
      <c r="D398" s="182">
        <f>PRODUCT('Rollen-Prozess-Matrix'!H22,'Kompetenz-Prozess-Matrix'!O26)</f>
        <v>0</v>
      </c>
      <c r="E398" s="183">
        <f>PRODUCT('Rollen-Prozess-Matrix'!I22,'Kompetenz-Prozess-Matrix'!O26)</f>
        <v>1</v>
      </c>
      <c r="F398" s="183">
        <f>PRODUCT('Rollen-Prozess-Matrix'!J22,'Kompetenz-Prozess-Matrix'!O26)</f>
        <v>0</v>
      </c>
      <c r="G398" s="183">
        <f>PRODUCT('Rollen-Prozess-Matrix'!K22,'Kompetenz-Prozess-Matrix'!O26)</f>
        <v>0</v>
      </c>
      <c r="H398" s="183">
        <f>PRODUCT('Rollen-Prozess-Matrix'!L22,'Kompetenz-Prozess-Matrix'!O26)</f>
        <v>3</v>
      </c>
      <c r="I398" s="183">
        <f>PRODUCT('Rollen-Prozess-Matrix'!M22,'Kompetenz-Prozess-Matrix'!O26)</f>
        <v>2</v>
      </c>
      <c r="J398" s="183">
        <f>PRODUCT('Rollen-Prozess-Matrix'!N22,'Kompetenz-Prozess-Matrix'!O26)</f>
        <v>2</v>
      </c>
      <c r="K398" s="183">
        <f>PRODUCT('Rollen-Prozess-Matrix'!O22,'Kompetenz-Prozess-Matrix'!O26)</f>
        <v>0</v>
      </c>
      <c r="L398" s="183">
        <f>PRODUCT('Rollen-Prozess-Matrix'!P22,'Kompetenz-Prozess-Matrix'!O26)</f>
        <v>0</v>
      </c>
      <c r="M398" s="183">
        <f>PRODUCT('Rollen-Prozess-Matrix'!Q22,'Kompetenz-Prozess-Matrix'!O26)</f>
        <v>0</v>
      </c>
      <c r="N398" s="183">
        <f>PRODUCT('Rollen-Prozess-Matrix'!R22,'Kompetenz-Prozess-Matrix'!O26)</f>
        <v>0</v>
      </c>
      <c r="O398" s="183">
        <f>PRODUCT('Rollen-Prozess-Matrix'!S22,'Kompetenz-Prozess-Matrix'!O26)</f>
        <v>0</v>
      </c>
      <c r="P398" s="183">
        <f>PRODUCT('Rollen-Prozess-Matrix'!T22,'Kompetenz-Prozess-Matrix'!O26)</f>
        <v>0</v>
      </c>
      <c r="Q398" s="185">
        <f>PRODUCT('Rollen-Prozess-Matrix'!U22,'Kompetenz-Prozess-Matrix'!O26)</f>
        <v>0</v>
      </c>
    </row>
    <row r="399" spans="1:17" ht="38.25" hidden="1" outlineLevel="1" x14ac:dyDescent="0.35">
      <c r="A399" s="336"/>
      <c r="B399" s="339"/>
      <c r="C399" s="180" t="s">
        <v>213</v>
      </c>
      <c r="D399" s="182">
        <f>PRODUCT('Rollen-Prozess-Matrix'!H23,'Kompetenz-Prozess-Matrix'!O27)</f>
        <v>0</v>
      </c>
      <c r="E399" s="183">
        <f>PRODUCT('Rollen-Prozess-Matrix'!I23,'Kompetenz-Prozess-Matrix'!O27)</f>
        <v>0</v>
      </c>
      <c r="F399" s="183">
        <f>PRODUCT('Rollen-Prozess-Matrix'!J23,'Kompetenz-Prozess-Matrix'!O27)</f>
        <v>0</v>
      </c>
      <c r="G399" s="183">
        <f>PRODUCT('Rollen-Prozess-Matrix'!K23,'Kompetenz-Prozess-Matrix'!O27)</f>
        <v>0</v>
      </c>
      <c r="H399" s="183">
        <f>PRODUCT('Rollen-Prozess-Matrix'!L23,'Kompetenz-Prozess-Matrix'!O27)</f>
        <v>3</v>
      </c>
      <c r="I399" s="183">
        <f>PRODUCT('Rollen-Prozess-Matrix'!M23,'Kompetenz-Prozess-Matrix'!O27)</f>
        <v>1</v>
      </c>
      <c r="J399" s="183">
        <f>PRODUCT('Rollen-Prozess-Matrix'!N23,'Kompetenz-Prozess-Matrix'!O27)</f>
        <v>0</v>
      </c>
      <c r="K399" s="183">
        <f>PRODUCT('Rollen-Prozess-Matrix'!O23,'Kompetenz-Prozess-Matrix'!O27)</f>
        <v>0</v>
      </c>
      <c r="L399" s="183">
        <f>PRODUCT('Rollen-Prozess-Matrix'!P23,'Kompetenz-Prozess-Matrix'!O27)</f>
        <v>2</v>
      </c>
      <c r="M399" s="183">
        <f>PRODUCT('Rollen-Prozess-Matrix'!Q23,'Kompetenz-Prozess-Matrix'!O27)</f>
        <v>0</v>
      </c>
      <c r="N399" s="183">
        <f>PRODUCT('Rollen-Prozess-Matrix'!R23,'Kompetenz-Prozess-Matrix'!O27)</f>
        <v>0</v>
      </c>
      <c r="O399" s="183">
        <f>PRODUCT('Rollen-Prozess-Matrix'!S23,'Kompetenz-Prozess-Matrix'!O27)</f>
        <v>0</v>
      </c>
      <c r="P399" s="183">
        <f>PRODUCT('Rollen-Prozess-Matrix'!T23,'Kompetenz-Prozess-Matrix'!O27)</f>
        <v>0</v>
      </c>
      <c r="Q399" s="185">
        <f>PRODUCT('Rollen-Prozess-Matrix'!U23,'Kompetenz-Prozess-Matrix'!O27)</f>
        <v>0</v>
      </c>
    </row>
    <row r="400" spans="1:17" ht="38.25" hidden="1" outlineLevel="1" x14ac:dyDescent="0.35">
      <c r="A400" s="336"/>
      <c r="B400" s="339"/>
      <c r="C400" s="180" t="s">
        <v>217</v>
      </c>
      <c r="D400" s="182">
        <f>PRODUCT('Rollen-Prozess-Matrix'!H24,'Kompetenz-Prozess-Matrix'!O28)</f>
        <v>0</v>
      </c>
      <c r="E400" s="183">
        <f>PRODUCT('Rollen-Prozess-Matrix'!I24,'Kompetenz-Prozess-Matrix'!O28)</f>
        <v>0</v>
      </c>
      <c r="F400" s="183">
        <f>PRODUCT('Rollen-Prozess-Matrix'!J24,'Kompetenz-Prozess-Matrix'!O28)</f>
        <v>0</v>
      </c>
      <c r="G400" s="183">
        <f>PRODUCT('Rollen-Prozess-Matrix'!K24,'Kompetenz-Prozess-Matrix'!O28)</f>
        <v>0</v>
      </c>
      <c r="H400" s="183">
        <f>PRODUCT('Rollen-Prozess-Matrix'!L24,'Kompetenz-Prozess-Matrix'!O28)</f>
        <v>3</v>
      </c>
      <c r="I400" s="183">
        <f>PRODUCT('Rollen-Prozess-Matrix'!M24,'Kompetenz-Prozess-Matrix'!O28)</f>
        <v>0</v>
      </c>
      <c r="J400" s="183">
        <f>PRODUCT('Rollen-Prozess-Matrix'!N24,'Kompetenz-Prozess-Matrix'!O28)</f>
        <v>2</v>
      </c>
      <c r="K400" s="183">
        <f>PRODUCT('Rollen-Prozess-Matrix'!O24,'Kompetenz-Prozess-Matrix'!O28)</f>
        <v>2</v>
      </c>
      <c r="L400" s="183">
        <f>PRODUCT('Rollen-Prozess-Matrix'!P24,'Kompetenz-Prozess-Matrix'!O28)</f>
        <v>0</v>
      </c>
      <c r="M400" s="183">
        <f>PRODUCT('Rollen-Prozess-Matrix'!Q24,'Kompetenz-Prozess-Matrix'!O28)</f>
        <v>2</v>
      </c>
      <c r="N400" s="183">
        <f>PRODUCT('Rollen-Prozess-Matrix'!R24,'Kompetenz-Prozess-Matrix'!O28)</f>
        <v>0</v>
      </c>
      <c r="O400" s="183">
        <f>PRODUCT('Rollen-Prozess-Matrix'!S24,'Kompetenz-Prozess-Matrix'!O28)</f>
        <v>0</v>
      </c>
      <c r="P400" s="183">
        <f>PRODUCT('Rollen-Prozess-Matrix'!T24,'Kompetenz-Prozess-Matrix'!O28)</f>
        <v>0</v>
      </c>
      <c r="Q400" s="185">
        <f>PRODUCT('Rollen-Prozess-Matrix'!U24,'Kompetenz-Prozess-Matrix'!O28)</f>
        <v>0</v>
      </c>
    </row>
    <row r="401" spans="1:19" ht="38.25" hidden="1" outlineLevel="1" x14ac:dyDescent="0.35">
      <c r="A401" s="336"/>
      <c r="B401" s="339"/>
      <c r="C401" s="180" t="s">
        <v>223</v>
      </c>
      <c r="D401" s="182">
        <f>PRODUCT('Rollen-Prozess-Matrix'!H25,'Kompetenz-Prozess-Matrix'!O29)</f>
        <v>0</v>
      </c>
      <c r="E401" s="183">
        <f>PRODUCT('Rollen-Prozess-Matrix'!I25,'Kompetenz-Prozess-Matrix'!O29)</f>
        <v>1</v>
      </c>
      <c r="F401" s="183">
        <f>PRODUCT('Rollen-Prozess-Matrix'!J25,'Kompetenz-Prozess-Matrix'!O29)</f>
        <v>0</v>
      </c>
      <c r="G401" s="183">
        <f>PRODUCT('Rollen-Prozess-Matrix'!K25,'Kompetenz-Prozess-Matrix'!O29)</f>
        <v>0</v>
      </c>
      <c r="H401" s="183">
        <f>PRODUCT('Rollen-Prozess-Matrix'!L25,'Kompetenz-Prozess-Matrix'!O29)</f>
        <v>3</v>
      </c>
      <c r="I401" s="183">
        <f>PRODUCT('Rollen-Prozess-Matrix'!M25,'Kompetenz-Prozess-Matrix'!O29)</f>
        <v>0</v>
      </c>
      <c r="J401" s="183">
        <f>PRODUCT('Rollen-Prozess-Matrix'!N25,'Kompetenz-Prozess-Matrix'!O29)</f>
        <v>0</v>
      </c>
      <c r="K401" s="183">
        <f>PRODUCT('Rollen-Prozess-Matrix'!O25,'Kompetenz-Prozess-Matrix'!O29)</f>
        <v>1</v>
      </c>
      <c r="L401" s="183">
        <f>PRODUCT('Rollen-Prozess-Matrix'!P25,'Kompetenz-Prozess-Matrix'!O29)</f>
        <v>1</v>
      </c>
      <c r="M401" s="183">
        <f>PRODUCT('Rollen-Prozess-Matrix'!Q25,'Kompetenz-Prozess-Matrix'!O29)</f>
        <v>2</v>
      </c>
      <c r="N401" s="183">
        <f>PRODUCT('Rollen-Prozess-Matrix'!R25,'Kompetenz-Prozess-Matrix'!O29)</f>
        <v>0</v>
      </c>
      <c r="O401" s="183">
        <f>PRODUCT('Rollen-Prozess-Matrix'!S25,'Kompetenz-Prozess-Matrix'!O29)</f>
        <v>0</v>
      </c>
      <c r="P401" s="183">
        <f>PRODUCT('Rollen-Prozess-Matrix'!T25,'Kompetenz-Prozess-Matrix'!O29)</f>
        <v>0</v>
      </c>
      <c r="Q401" s="185">
        <f>PRODUCT('Rollen-Prozess-Matrix'!U25,'Kompetenz-Prozess-Matrix'!O29)</f>
        <v>0</v>
      </c>
    </row>
    <row r="402" spans="1:19" ht="38.25" hidden="1" outlineLevel="1" x14ac:dyDescent="0.35">
      <c r="A402" s="336"/>
      <c r="B402" s="339"/>
      <c r="C402" s="180" t="s">
        <v>229</v>
      </c>
      <c r="D402" s="182">
        <f>PRODUCT('Rollen-Prozess-Matrix'!H26,'Kompetenz-Prozess-Matrix'!O30)</f>
        <v>0</v>
      </c>
      <c r="E402" s="183">
        <f>PRODUCT('Rollen-Prozess-Matrix'!I26,'Kompetenz-Prozess-Matrix'!O30)</f>
        <v>1</v>
      </c>
      <c r="F402" s="183">
        <f>PRODUCT('Rollen-Prozess-Matrix'!J26,'Kompetenz-Prozess-Matrix'!O30)</f>
        <v>0</v>
      </c>
      <c r="G402" s="183">
        <f>PRODUCT('Rollen-Prozess-Matrix'!K26,'Kompetenz-Prozess-Matrix'!O30)</f>
        <v>0</v>
      </c>
      <c r="H402" s="183">
        <f>PRODUCT('Rollen-Prozess-Matrix'!L26,'Kompetenz-Prozess-Matrix'!O30)</f>
        <v>3</v>
      </c>
      <c r="I402" s="183">
        <f>PRODUCT('Rollen-Prozess-Matrix'!M26,'Kompetenz-Prozess-Matrix'!O30)</f>
        <v>1</v>
      </c>
      <c r="J402" s="183">
        <f>PRODUCT('Rollen-Prozess-Matrix'!N26,'Kompetenz-Prozess-Matrix'!O30)</f>
        <v>1</v>
      </c>
      <c r="K402" s="183">
        <f>PRODUCT('Rollen-Prozess-Matrix'!O26,'Kompetenz-Prozess-Matrix'!O30)</f>
        <v>0</v>
      </c>
      <c r="L402" s="183">
        <f>PRODUCT('Rollen-Prozess-Matrix'!P26,'Kompetenz-Prozess-Matrix'!O30)</f>
        <v>2</v>
      </c>
      <c r="M402" s="183">
        <f>PRODUCT('Rollen-Prozess-Matrix'!Q26,'Kompetenz-Prozess-Matrix'!O30)</f>
        <v>0</v>
      </c>
      <c r="N402" s="183">
        <f>PRODUCT('Rollen-Prozess-Matrix'!R26,'Kompetenz-Prozess-Matrix'!O30)</f>
        <v>0</v>
      </c>
      <c r="O402" s="183">
        <f>PRODUCT('Rollen-Prozess-Matrix'!S26,'Kompetenz-Prozess-Matrix'!O30)</f>
        <v>1</v>
      </c>
      <c r="P402" s="183">
        <f>PRODUCT('Rollen-Prozess-Matrix'!T26,'Kompetenz-Prozess-Matrix'!O30)</f>
        <v>0</v>
      </c>
      <c r="Q402" s="185">
        <f>PRODUCT('Rollen-Prozess-Matrix'!U26,'Kompetenz-Prozess-Matrix'!O30)</f>
        <v>0</v>
      </c>
    </row>
    <row r="403" spans="1:19" ht="38.25" hidden="1" outlineLevel="1" x14ac:dyDescent="0.35">
      <c r="A403" s="336"/>
      <c r="B403" s="339"/>
      <c r="C403" s="180" t="s">
        <v>235</v>
      </c>
      <c r="D403" s="182">
        <f>PRODUCT('Rollen-Prozess-Matrix'!H27,'Kompetenz-Prozess-Matrix'!O31)</f>
        <v>0</v>
      </c>
      <c r="E403" s="183">
        <f>PRODUCT('Rollen-Prozess-Matrix'!I27,'Kompetenz-Prozess-Matrix'!O31)</f>
        <v>0</v>
      </c>
      <c r="F403" s="183">
        <f>PRODUCT('Rollen-Prozess-Matrix'!J27,'Kompetenz-Prozess-Matrix'!O31)</f>
        <v>0</v>
      </c>
      <c r="G403" s="183">
        <f>PRODUCT('Rollen-Prozess-Matrix'!K27,'Kompetenz-Prozess-Matrix'!O31)</f>
        <v>0</v>
      </c>
      <c r="H403" s="183">
        <f>PRODUCT('Rollen-Prozess-Matrix'!L27,'Kompetenz-Prozess-Matrix'!O31)</f>
        <v>0</v>
      </c>
      <c r="I403" s="183">
        <f>PRODUCT('Rollen-Prozess-Matrix'!M27,'Kompetenz-Prozess-Matrix'!O31)</f>
        <v>0</v>
      </c>
      <c r="J403" s="183">
        <f>PRODUCT('Rollen-Prozess-Matrix'!N27,'Kompetenz-Prozess-Matrix'!O31)</f>
        <v>0</v>
      </c>
      <c r="K403" s="183">
        <f>PRODUCT('Rollen-Prozess-Matrix'!O27,'Kompetenz-Prozess-Matrix'!O31)</f>
        <v>0</v>
      </c>
      <c r="L403" s="183">
        <f>PRODUCT('Rollen-Prozess-Matrix'!P27,'Kompetenz-Prozess-Matrix'!O31)</f>
        <v>0</v>
      </c>
      <c r="M403" s="183">
        <f>PRODUCT('Rollen-Prozess-Matrix'!Q27,'Kompetenz-Prozess-Matrix'!O31)</f>
        <v>0</v>
      </c>
      <c r="N403" s="183">
        <f>PRODUCT('Rollen-Prozess-Matrix'!R27,'Kompetenz-Prozess-Matrix'!O31)</f>
        <v>0</v>
      </c>
      <c r="O403" s="183">
        <f>PRODUCT('Rollen-Prozess-Matrix'!S27,'Kompetenz-Prozess-Matrix'!O31)</f>
        <v>0</v>
      </c>
      <c r="P403" s="183">
        <f>PRODUCT('Rollen-Prozess-Matrix'!T27,'Kompetenz-Prozess-Matrix'!O31)</f>
        <v>0</v>
      </c>
      <c r="Q403" s="185">
        <f>PRODUCT('Rollen-Prozess-Matrix'!U27,'Kompetenz-Prozess-Matrix'!O31)</f>
        <v>0</v>
      </c>
    </row>
    <row r="404" spans="1:19" ht="38.25" hidden="1" outlineLevel="1" x14ac:dyDescent="0.35">
      <c r="A404" s="336"/>
      <c r="B404" s="339"/>
      <c r="C404" s="180" t="s">
        <v>242</v>
      </c>
      <c r="D404" s="182">
        <f>PRODUCT('Rollen-Prozess-Matrix'!H28,'Kompetenz-Prozess-Matrix'!O32)</f>
        <v>1</v>
      </c>
      <c r="E404" s="183">
        <f>PRODUCT('Rollen-Prozess-Matrix'!I28,'Kompetenz-Prozess-Matrix'!O32)</f>
        <v>1</v>
      </c>
      <c r="F404" s="183">
        <f>PRODUCT('Rollen-Prozess-Matrix'!J28,'Kompetenz-Prozess-Matrix'!O32)</f>
        <v>0</v>
      </c>
      <c r="G404" s="183">
        <f>PRODUCT('Rollen-Prozess-Matrix'!K28,'Kompetenz-Prozess-Matrix'!O32)</f>
        <v>0</v>
      </c>
      <c r="H404" s="183">
        <f>PRODUCT('Rollen-Prozess-Matrix'!L28,'Kompetenz-Prozess-Matrix'!O32)</f>
        <v>3</v>
      </c>
      <c r="I404" s="183">
        <f>PRODUCT('Rollen-Prozess-Matrix'!M28,'Kompetenz-Prozess-Matrix'!O32)</f>
        <v>0</v>
      </c>
      <c r="J404" s="183">
        <f>PRODUCT('Rollen-Prozess-Matrix'!N28,'Kompetenz-Prozess-Matrix'!O32)</f>
        <v>0</v>
      </c>
      <c r="K404" s="183">
        <f>PRODUCT('Rollen-Prozess-Matrix'!O28,'Kompetenz-Prozess-Matrix'!O32)</f>
        <v>0</v>
      </c>
      <c r="L404" s="183">
        <f>PRODUCT('Rollen-Prozess-Matrix'!P28,'Kompetenz-Prozess-Matrix'!O32)</f>
        <v>2</v>
      </c>
      <c r="M404" s="183">
        <f>PRODUCT('Rollen-Prozess-Matrix'!Q28,'Kompetenz-Prozess-Matrix'!O32)</f>
        <v>0</v>
      </c>
      <c r="N404" s="183">
        <f>PRODUCT('Rollen-Prozess-Matrix'!R28,'Kompetenz-Prozess-Matrix'!O32)</f>
        <v>0</v>
      </c>
      <c r="O404" s="183">
        <f>PRODUCT('Rollen-Prozess-Matrix'!S28,'Kompetenz-Prozess-Matrix'!O32)</f>
        <v>1</v>
      </c>
      <c r="P404" s="183">
        <f>PRODUCT('Rollen-Prozess-Matrix'!T28,'Kompetenz-Prozess-Matrix'!O32)</f>
        <v>0</v>
      </c>
      <c r="Q404" s="185">
        <f>PRODUCT('Rollen-Prozess-Matrix'!U28,'Kompetenz-Prozess-Matrix'!O32)</f>
        <v>0</v>
      </c>
    </row>
    <row r="405" spans="1:19" ht="38.25" hidden="1" outlineLevel="1" x14ac:dyDescent="0.35">
      <c r="A405" s="336"/>
      <c r="B405" s="339"/>
      <c r="C405" s="180" t="s">
        <v>248</v>
      </c>
      <c r="D405" s="182">
        <f>PRODUCT('Rollen-Prozess-Matrix'!H29,'Kompetenz-Prozess-Matrix'!O33)</f>
        <v>0</v>
      </c>
      <c r="E405" s="183">
        <f>PRODUCT('Rollen-Prozess-Matrix'!I29,'Kompetenz-Prozess-Matrix'!O33)</f>
        <v>0</v>
      </c>
      <c r="F405" s="183">
        <f>PRODUCT('Rollen-Prozess-Matrix'!J29,'Kompetenz-Prozess-Matrix'!O33)</f>
        <v>0</v>
      </c>
      <c r="G405" s="183">
        <f>PRODUCT('Rollen-Prozess-Matrix'!K29,'Kompetenz-Prozess-Matrix'!O33)</f>
        <v>0</v>
      </c>
      <c r="H405" s="183">
        <f>PRODUCT('Rollen-Prozess-Matrix'!L29,'Kompetenz-Prozess-Matrix'!O33)</f>
        <v>0</v>
      </c>
      <c r="I405" s="183">
        <f>PRODUCT('Rollen-Prozess-Matrix'!M29,'Kompetenz-Prozess-Matrix'!O33)</f>
        <v>0</v>
      </c>
      <c r="J405" s="183">
        <f>PRODUCT('Rollen-Prozess-Matrix'!N29,'Kompetenz-Prozess-Matrix'!O33)</f>
        <v>0</v>
      </c>
      <c r="K405" s="183">
        <f>PRODUCT('Rollen-Prozess-Matrix'!O29,'Kompetenz-Prozess-Matrix'!O33)</f>
        <v>0</v>
      </c>
      <c r="L405" s="183">
        <f>PRODUCT('Rollen-Prozess-Matrix'!P29,'Kompetenz-Prozess-Matrix'!O33)</f>
        <v>0</v>
      </c>
      <c r="M405" s="183">
        <f>PRODUCT('Rollen-Prozess-Matrix'!Q29,'Kompetenz-Prozess-Matrix'!O33)</f>
        <v>0</v>
      </c>
      <c r="N405" s="183">
        <f>PRODUCT('Rollen-Prozess-Matrix'!R29,'Kompetenz-Prozess-Matrix'!O33)</f>
        <v>0</v>
      </c>
      <c r="O405" s="183">
        <f>PRODUCT('Rollen-Prozess-Matrix'!S29,'Kompetenz-Prozess-Matrix'!O33)</f>
        <v>0</v>
      </c>
      <c r="P405" s="183">
        <f>PRODUCT('Rollen-Prozess-Matrix'!T29,'Kompetenz-Prozess-Matrix'!O33)</f>
        <v>0</v>
      </c>
      <c r="Q405" s="185">
        <f>PRODUCT('Rollen-Prozess-Matrix'!U29,'Kompetenz-Prozess-Matrix'!O33)</f>
        <v>0</v>
      </c>
    </row>
    <row r="406" spans="1:19" ht="38.25" hidden="1" outlineLevel="1" x14ac:dyDescent="0.35">
      <c r="A406" s="336"/>
      <c r="B406" s="339"/>
      <c r="C406" s="180" t="s">
        <v>255</v>
      </c>
      <c r="D406" s="182">
        <f>PRODUCT('Rollen-Prozess-Matrix'!H30,'Kompetenz-Prozess-Matrix'!O34)</f>
        <v>0</v>
      </c>
      <c r="E406" s="183">
        <f>PRODUCT('Rollen-Prozess-Matrix'!I30,'Kompetenz-Prozess-Matrix'!O34)</f>
        <v>0</v>
      </c>
      <c r="F406" s="183">
        <f>PRODUCT('Rollen-Prozess-Matrix'!J30,'Kompetenz-Prozess-Matrix'!O34)</f>
        <v>0</v>
      </c>
      <c r="G406" s="183">
        <f>PRODUCT('Rollen-Prozess-Matrix'!K30,'Kompetenz-Prozess-Matrix'!O34)</f>
        <v>0</v>
      </c>
      <c r="H406" s="183">
        <f>PRODUCT('Rollen-Prozess-Matrix'!L30,'Kompetenz-Prozess-Matrix'!O34)</f>
        <v>0</v>
      </c>
      <c r="I406" s="183">
        <f>PRODUCT('Rollen-Prozess-Matrix'!M30,'Kompetenz-Prozess-Matrix'!O34)</f>
        <v>0</v>
      </c>
      <c r="J406" s="183">
        <f>PRODUCT('Rollen-Prozess-Matrix'!N30,'Kompetenz-Prozess-Matrix'!O34)</f>
        <v>0</v>
      </c>
      <c r="K406" s="183">
        <f>PRODUCT('Rollen-Prozess-Matrix'!O30,'Kompetenz-Prozess-Matrix'!O34)</f>
        <v>0</v>
      </c>
      <c r="L406" s="183">
        <f>PRODUCT('Rollen-Prozess-Matrix'!P30,'Kompetenz-Prozess-Matrix'!O34)</f>
        <v>0</v>
      </c>
      <c r="M406" s="183">
        <f>PRODUCT('Rollen-Prozess-Matrix'!Q30,'Kompetenz-Prozess-Matrix'!O34)</f>
        <v>0</v>
      </c>
      <c r="N406" s="183">
        <f>PRODUCT('Rollen-Prozess-Matrix'!R30,'Kompetenz-Prozess-Matrix'!O34)</f>
        <v>0</v>
      </c>
      <c r="O406" s="183">
        <f>PRODUCT('Rollen-Prozess-Matrix'!S30,'Kompetenz-Prozess-Matrix'!O34)</f>
        <v>0</v>
      </c>
      <c r="P406" s="183">
        <f>PRODUCT('Rollen-Prozess-Matrix'!T30,'Kompetenz-Prozess-Matrix'!O34)</f>
        <v>0</v>
      </c>
      <c r="Q406" s="185">
        <f>PRODUCT('Rollen-Prozess-Matrix'!U30,'Kompetenz-Prozess-Matrix'!O34)</f>
        <v>0</v>
      </c>
    </row>
    <row r="407" spans="1:19" ht="38.25" hidden="1" outlineLevel="1" x14ac:dyDescent="0.35">
      <c r="A407" s="336"/>
      <c r="B407" s="339"/>
      <c r="C407" s="180" t="s">
        <v>261</v>
      </c>
      <c r="D407" s="182">
        <f>PRODUCT('Rollen-Prozess-Matrix'!H31,'Kompetenz-Prozess-Matrix'!O35)</f>
        <v>0</v>
      </c>
      <c r="E407" s="183">
        <f>PRODUCT('Rollen-Prozess-Matrix'!I31,'Kompetenz-Prozess-Matrix'!O35)</f>
        <v>0</v>
      </c>
      <c r="F407" s="183">
        <f>PRODUCT('Rollen-Prozess-Matrix'!J31,'Kompetenz-Prozess-Matrix'!O35)</f>
        <v>0</v>
      </c>
      <c r="G407" s="183">
        <f>PRODUCT('Rollen-Prozess-Matrix'!K31,'Kompetenz-Prozess-Matrix'!O35)</f>
        <v>0</v>
      </c>
      <c r="H407" s="183">
        <f>PRODUCT('Rollen-Prozess-Matrix'!L31,'Kompetenz-Prozess-Matrix'!O35)</f>
        <v>0</v>
      </c>
      <c r="I407" s="183">
        <f>PRODUCT('Rollen-Prozess-Matrix'!M31,'Kompetenz-Prozess-Matrix'!O35)</f>
        <v>0</v>
      </c>
      <c r="J407" s="183">
        <f>PRODUCT('Rollen-Prozess-Matrix'!N31,'Kompetenz-Prozess-Matrix'!O35)</f>
        <v>0</v>
      </c>
      <c r="K407" s="183">
        <f>PRODUCT('Rollen-Prozess-Matrix'!O31,'Kompetenz-Prozess-Matrix'!O35)</f>
        <v>0</v>
      </c>
      <c r="L407" s="183">
        <f>PRODUCT('Rollen-Prozess-Matrix'!P31,'Kompetenz-Prozess-Matrix'!O35)</f>
        <v>0</v>
      </c>
      <c r="M407" s="183">
        <f>PRODUCT('Rollen-Prozess-Matrix'!Q31,'Kompetenz-Prozess-Matrix'!O35)</f>
        <v>0</v>
      </c>
      <c r="N407" s="183">
        <f>PRODUCT('Rollen-Prozess-Matrix'!R31,'Kompetenz-Prozess-Matrix'!O35)</f>
        <v>0</v>
      </c>
      <c r="O407" s="183">
        <f>PRODUCT('Rollen-Prozess-Matrix'!S31,'Kompetenz-Prozess-Matrix'!O35)</f>
        <v>0</v>
      </c>
      <c r="P407" s="183">
        <f>PRODUCT('Rollen-Prozess-Matrix'!T31,'Kompetenz-Prozess-Matrix'!O35)</f>
        <v>0</v>
      </c>
      <c r="Q407" s="185">
        <f>PRODUCT('Rollen-Prozess-Matrix'!U31,'Kompetenz-Prozess-Matrix'!O35)</f>
        <v>0</v>
      </c>
    </row>
    <row r="408" spans="1:19" hidden="1" outlineLevel="1" x14ac:dyDescent="0.35">
      <c r="A408" s="336"/>
      <c r="B408" s="339"/>
      <c r="C408" s="180" t="s">
        <v>264</v>
      </c>
      <c r="D408" s="182">
        <f>PRODUCT('Rollen-Prozess-Matrix'!H32,'Kompetenz-Prozess-Matrix'!O36)</f>
        <v>0</v>
      </c>
      <c r="E408" s="183">
        <f>PRODUCT('Rollen-Prozess-Matrix'!I32,'Kompetenz-Prozess-Matrix'!O36)</f>
        <v>0</v>
      </c>
      <c r="F408" s="183">
        <f>PRODUCT('Rollen-Prozess-Matrix'!J32,'Kompetenz-Prozess-Matrix'!O36)</f>
        <v>0</v>
      </c>
      <c r="G408" s="183">
        <f>PRODUCT('Rollen-Prozess-Matrix'!K32,'Kompetenz-Prozess-Matrix'!O36)</f>
        <v>2</v>
      </c>
      <c r="H408" s="183">
        <f>PRODUCT('Rollen-Prozess-Matrix'!L32,'Kompetenz-Prozess-Matrix'!O36)</f>
        <v>1</v>
      </c>
      <c r="I408" s="183">
        <f>PRODUCT('Rollen-Prozess-Matrix'!M32,'Kompetenz-Prozess-Matrix'!O36)</f>
        <v>0</v>
      </c>
      <c r="J408" s="183">
        <f>PRODUCT('Rollen-Prozess-Matrix'!N32,'Kompetenz-Prozess-Matrix'!O36)</f>
        <v>0</v>
      </c>
      <c r="K408" s="183">
        <f>PRODUCT('Rollen-Prozess-Matrix'!O32,'Kompetenz-Prozess-Matrix'!O36)</f>
        <v>0</v>
      </c>
      <c r="L408" s="183">
        <f>PRODUCT('Rollen-Prozess-Matrix'!P32,'Kompetenz-Prozess-Matrix'!O36)</f>
        <v>0</v>
      </c>
      <c r="M408" s="183">
        <f>PRODUCT('Rollen-Prozess-Matrix'!Q32,'Kompetenz-Prozess-Matrix'!O36)</f>
        <v>0</v>
      </c>
      <c r="N408" s="183">
        <f>PRODUCT('Rollen-Prozess-Matrix'!R32,'Kompetenz-Prozess-Matrix'!O36)</f>
        <v>0</v>
      </c>
      <c r="O408" s="183">
        <f>PRODUCT('Rollen-Prozess-Matrix'!S32,'Kompetenz-Prozess-Matrix'!O36)</f>
        <v>0</v>
      </c>
      <c r="P408" s="183">
        <f>PRODUCT('Rollen-Prozess-Matrix'!T32,'Kompetenz-Prozess-Matrix'!O36)</f>
        <v>0</v>
      </c>
      <c r="Q408" s="185">
        <f>PRODUCT('Rollen-Prozess-Matrix'!U32,'Kompetenz-Prozess-Matrix'!O36)</f>
        <v>0</v>
      </c>
    </row>
    <row r="409" spans="1:19" hidden="1" outlineLevel="1" x14ac:dyDescent="0.35">
      <c r="A409" s="336"/>
      <c r="B409" s="339"/>
      <c r="C409" s="180" t="s">
        <v>266</v>
      </c>
      <c r="D409" s="182">
        <f>PRODUCT('Rollen-Prozess-Matrix'!H33,'Kompetenz-Prozess-Matrix'!O37)</f>
        <v>0</v>
      </c>
      <c r="E409" s="183">
        <f>PRODUCT('Rollen-Prozess-Matrix'!I33,'Kompetenz-Prozess-Matrix'!O37)</f>
        <v>0</v>
      </c>
      <c r="F409" s="183">
        <f>PRODUCT('Rollen-Prozess-Matrix'!J33,'Kompetenz-Prozess-Matrix'!O37)</f>
        <v>4</v>
      </c>
      <c r="G409" s="183">
        <f>PRODUCT('Rollen-Prozess-Matrix'!K33,'Kompetenz-Prozess-Matrix'!O37)</f>
        <v>4</v>
      </c>
      <c r="H409" s="183">
        <f>PRODUCT('Rollen-Prozess-Matrix'!L33,'Kompetenz-Prozess-Matrix'!O37)</f>
        <v>0</v>
      </c>
      <c r="I409" s="183">
        <f>PRODUCT('Rollen-Prozess-Matrix'!M33,'Kompetenz-Prozess-Matrix'!O37)</f>
        <v>4</v>
      </c>
      <c r="J409" s="183">
        <f>PRODUCT('Rollen-Prozess-Matrix'!N33,'Kompetenz-Prozess-Matrix'!O37)</f>
        <v>2</v>
      </c>
      <c r="K409" s="183">
        <f>PRODUCT('Rollen-Prozess-Matrix'!O33,'Kompetenz-Prozess-Matrix'!O37)</f>
        <v>0</v>
      </c>
      <c r="L409" s="183">
        <f>PRODUCT('Rollen-Prozess-Matrix'!P33,'Kompetenz-Prozess-Matrix'!O37)</f>
        <v>2</v>
      </c>
      <c r="M409" s="183">
        <f>PRODUCT('Rollen-Prozess-Matrix'!Q33,'Kompetenz-Prozess-Matrix'!O37)</f>
        <v>0</v>
      </c>
      <c r="N409" s="183">
        <f>PRODUCT('Rollen-Prozess-Matrix'!R33,'Kompetenz-Prozess-Matrix'!O37)</f>
        <v>0</v>
      </c>
      <c r="O409" s="183">
        <f>PRODUCT('Rollen-Prozess-Matrix'!S33,'Kompetenz-Prozess-Matrix'!O37)</f>
        <v>0</v>
      </c>
      <c r="P409" s="183">
        <f>PRODUCT('Rollen-Prozess-Matrix'!T33,'Kompetenz-Prozess-Matrix'!O37)</f>
        <v>0</v>
      </c>
      <c r="Q409" s="185">
        <f>PRODUCT('Rollen-Prozess-Matrix'!U33,'Kompetenz-Prozess-Matrix'!O37)</f>
        <v>0</v>
      </c>
    </row>
    <row r="410" spans="1:19" ht="13.15" hidden="1" outlineLevel="1" thickBot="1" x14ac:dyDescent="0.4">
      <c r="A410" s="337"/>
      <c r="B410" s="340"/>
      <c r="C410" s="181" t="s">
        <v>289</v>
      </c>
      <c r="D410" s="182">
        <f>PRODUCT('Rollen-Prozess-Matrix'!H34,'Kompetenz-Prozess-Matrix'!O38)</f>
        <v>0</v>
      </c>
      <c r="E410" s="183">
        <f>PRODUCT('Rollen-Prozess-Matrix'!I34,'Kompetenz-Prozess-Matrix'!O38)</f>
        <v>0</v>
      </c>
      <c r="F410" s="183">
        <f>PRODUCT('Rollen-Prozess-Matrix'!J34,'Kompetenz-Prozess-Matrix'!O38)</f>
        <v>0</v>
      </c>
      <c r="G410" s="183">
        <f>PRODUCT('Rollen-Prozess-Matrix'!K34,'Kompetenz-Prozess-Matrix'!O38)</f>
        <v>4</v>
      </c>
      <c r="H410" s="183">
        <f>PRODUCT('Rollen-Prozess-Matrix'!L34,'Kompetenz-Prozess-Matrix'!O38)</f>
        <v>0</v>
      </c>
      <c r="I410" s="183">
        <f>PRODUCT('Rollen-Prozess-Matrix'!M34,'Kompetenz-Prozess-Matrix'!O38)</f>
        <v>0</v>
      </c>
      <c r="J410" s="183">
        <f>PRODUCT('Rollen-Prozess-Matrix'!N34,'Kompetenz-Prozess-Matrix'!O38)</f>
        <v>0</v>
      </c>
      <c r="K410" s="183">
        <f>PRODUCT('Rollen-Prozess-Matrix'!O34,'Kompetenz-Prozess-Matrix'!O38)</f>
        <v>0</v>
      </c>
      <c r="L410" s="183">
        <f>PRODUCT('Rollen-Prozess-Matrix'!P34,'Kompetenz-Prozess-Matrix'!O38)</f>
        <v>0</v>
      </c>
      <c r="M410" s="183">
        <f>PRODUCT('Rollen-Prozess-Matrix'!Q34,'Kompetenz-Prozess-Matrix'!O38)</f>
        <v>0</v>
      </c>
      <c r="N410" s="183">
        <f>PRODUCT('Rollen-Prozess-Matrix'!R34,'Kompetenz-Prozess-Matrix'!O38)</f>
        <v>0</v>
      </c>
      <c r="O410" s="183">
        <f>PRODUCT('Rollen-Prozess-Matrix'!S34,'Kompetenz-Prozess-Matrix'!O38)</f>
        <v>0</v>
      </c>
      <c r="P410" s="183">
        <f>PRODUCT('Rollen-Prozess-Matrix'!T34,'Kompetenz-Prozess-Matrix'!O38)</f>
        <v>0</v>
      </c>
      <c r="Q410" s="185">
        <f>PRODUCT('Rollen-Prozess-Matrix'!U34,'Kompetenz-Prozess-Matrix'!O38)</f>
        <v>0</v>
      </c>
    </row>
    <row r="411" spans="1:19" ht="13.15" collapsed="1" thickBot="1" x14ac:dyDescent="0.4">
      <c r="A411" s="335" t="s">
        <v>293</v>
      </c>
      <c r="B411" s="329" t="s">
        <v>81</v>
      </c>
      <c r="C411" s="204"/>
      <c r="D411" s="184">
        <f>MAX(D412:D444)</f>
        <v>0</v>
      </c>
      <c r="E411" s="184">
        <f t="shared" ref="E411" si="144">MAX(E412:E444)</f>
        <v>2</v>
      </c>
      <c r="F411" s="184">
        <f t="shared" ref="F411" si="145">MAX(F412:F444)</f>
        <v>4</v>
      </c>
      <c r="G411" s="184">
        <f t="shared" ref="G411" si="146">MAX(G412:G444)</f>
        <v>4</v>
      </c>
      <c r="H411" s="184">
        <f t="shared" ref="H411" si="147">MAX(H412:H444)</f>
        <v>6</v>
      </c>
      <c r="I411" s="184">
        <f t="shared" ref="I411" si="148">MAX(I412:I444)</f>
        <v>2</v>
      </c>
      <c r="J411" s="184">
        <f t="shared" ref="J411" si="149">MAX(J412:J444)</f>
        <v>2</v>
      </c>
      <c r="K411" s="184">
        <f t="shared" ref="K411" si="150">MAX(K412:K444)</f>
        <v>1</v>
      </c>
      <c r="L411" s="184">
        <f t="shared" ref="L411" si="151">MAX(L412:L444)</f>
        <v>4</v>
      </c>
      <c r="M411" s="184">
        <f t="shared" ref="M411" si="152">MAX(M412:M444)</f>
        <v>0</v>
      </c>
      <c r="N411" s="184">
        <f t="shared" ref="N411" si="153">MAX(N412:N444)</f>
        <v>0</v>
      </c>
      <c r="O411" s="184">
        <f t="shared" ref="O411" si="154">MAX(O412:O444)</f>
        <v>4</v>
      </c>
      <c r="P411" s="184">
        <f t="shared" ref="P411" si="155">MAX(P412:P444)</f>
        <v>2</v>
      </c>
      <c r="Q411" s="199">
        <f t="shared" ref="Q411" si="156">MAX(Q412:Q444)</f>
        <v>2</v>
      </c>
      <c r="S411" s="213">
        <v>1</v>
      </c>
    </row>
    <row r="412" spans="1:19" ht="13.15" hidden="1" outlineLevel="1" thickBot="1" x14ac:dyDescent="0.4">
      <c r="A412" s="336"/>
      <c r="B412" s="330"/>
      <c r="C412" s="190" t="s">
        <v>123</v>
      </c>
      <c r="D412" s="182">
        <f>PRODUCT('Rollen-Prozess-Matrix'!H2,'Kompetenz-Prozess-Matrix'!P6)</f>
        <v>0</v>
      </c>
      <c r="E412" s="183">
        <f>PRODUCT('Rollen-Prozess-Matrix'!I2,'Kompetenz-Prozess-Matrix'!P6)</f>
        <v>0</v>
      </c>
      <c r="F412" s="183">
        <f>PRODUCT('Rollen-Prozess-Matrix'!J2,'Kompetenz-Prozess-Matrix'!P6)</f>
        <v>0</v>
      </c>
      <c r="G412" s="183">
        <f>PRODUCT('Rollen-Prozess-Matrix'!K2,'Kompetenz-Prozess-Matrix'!P6)</f>
        <v>0</v>
      </c>
      <c r="H412" s="183">
        <f>PRODUCT('Rollen-Prozess-Matrix'!L2,'Kompetenz-Prozess-Matrix'!P6)</f>
        <v>0</v>
      </c>
      <c r="I412" s="183">
        <f>PRODUCT('Rollen-Prozess-Matrix'!M2,'Kompetenz-Prozess-Matrix'!P6)</f>
        <v>0</v>
      </c>
      <c r="J412" s="183">
        <f>PRODUCT('Rollen-Prozess-Matrix'!N2,'Kompetenz-Prozess-Matrix'!P6)</f>
        <v>0</v>
      </c>
      <c r="K412" s="183">
        <f>PRODUCT('Rollen-Prozess-Matrix'!O2,'Kompetenz-Prozess-Matrix'!P6)</f>
        <v>0</v>
      </c>
      <c r="L412" s="183">
        <f>PRODUCT('Rollen-Prozess-Matrix'!P2,'Kompetenz-Prozess-Matrix'!P6)</f>
        <v>0</v>
      </c>
      <c r="M412" s="183">
        <f>PRODUCT('Rollen-Prozess-Matrix'!Q2,'Kompetenz-Prozess-Matrix'!P6)</f>
        <v>0</v>
      </c>
      <c r="N412" s="183">
        <f>PRODUCT('Rollen-Prozess-Matrix'!R2,'Kompetenz-Prozess-Matrix'!P6)</f>
        <v>0</v>
      </c>
      <c r="O412" s="183">
        <f>PRODUCT('Rollen-Prozess-Matrix'!S2,'Kompetenz-Prozess-Matrix'!P6)</f>
        <v>0</v>
      </c>
      <c r="P412" s="183">
        <f>PRODUCT('Rollen-Prozess-Matrix'!T2,'Kompetenz-Prozess-Matrix'!P6)</f>
        <v>0</v>
      </c>
      <c r="Q412" s="185">
        <f>PRODUCT('Rollen-Prozess-Matrix'!U2,'Kompetenz-Prozess-Matrix'!P6)</f>
        <v>0</v>
      </c>
    </row>
    <row r="413" spans="1:19" ht="13.15" hidden="1" outlineLevel="1" thickBot="1" x14ac:dyDescent="0.4">
      <c r="A413" s="336"/>
      <c r="B413" s="330"/>
      <c r="C413" s="205" t="s">
        <v>127</v>
      </c>
      <c r="D413" s="182">
        <f>PRODUCT('Rollen-Prozess-Matrix'!H3,'Kompetenz-Prozess-Matrix'!P7)</f>
        <v>0</v>
      </c>
      <c r="E413" s="183">
        <f>PRODUCT('Rollen-Prozess-Matrix'!I3,'Kompetenz-Prozess-Matrix'!P7)</f>
        <v>0</v>
      </c>
      <c r="F413" s="183">
        <f>PRODUCT('Rollen-Prozess-Matrix'!J3,'Kompetenz-Prozess-Matrix'!P7)</f>
        <v>0</v>
      </c>
      <c r="G413" s="183">
        <f>PRODUCT('Rollen-Prozess-Matrix'!K3,'Kompetenz-Prozess-Matrix'!P7)</f>
        <v>0</v>
      </c>
      <c r="H413" s="183">
        <f>PRODUCT('Rollen-Prozess-Matrix'!L3,'Kompetenz-Prozess-Matrix'!P7)</f>
        <v>0</v>
      </c>
      <c r="I413" s="183">
        <f>PRODUCT('Rollen-Prozess-Matrix'!M3,'Kompetenz-Prozess-Matrix'!P7)</f>
        <v>0</v>
      </c>
      <c r="J413" s="183">
        <f>PRODUCT('Rollen-Prozess-Matrix'!N3,'Kompetenz-Prozess-Matrix'!P7)</f>
        <v>0</v>
      </c>
      <c r="K413" s="183">
        <f>PRODUCT('Rollen-Prozess-Matrix'!O3,'Kompetenz-Prozess-Matrix'!P7)</f>
        <v>0</v>
      </c>
      <c r="L413" s="183">
        <f>PRODUCT('Rollen-Prozess-Matrix'!P3,'Kompetenz-Prozess-Matrix'!P7)</f>
        <v>0</v>
      </c>
      <c r="M413" s="183">
        <f>PRODUCT('Rollen-Prozess-Matrix'!Q3,'Kompetenz-Prozess-Matrix'!P7)</f>
        <v>0</v>
      </c>
      <c r="N413" s="183">
        <f>PRODUCT('Rollen-Prozess-Matrix'!R3,'Kompetenz-Prozess-Matrix'!P7)</f>
        <v>0</v>
      </c>
      <c r="O413" s="183">
        <f>PRODUCT('Rollen-Prozess-Matrix'!S3,'Kompetenz-Prozess-Matrix'!P7)</f>
        <v>0</v>
      </c>
      <c r="P413" s="183">
        <f>PRODUCT('Rollen-Prozess-Matrix'!T3,'Kompetenz-Prozess-Matrix'!P7)</f>
        <v>0</v>
      </c>
      <c r="Q413" s="185">
        <f>PRODUCT('Rollen-Prozess-Matrix'!U3,'Kompetenz-Prozess-Matrix'!P7)</f>
        <v>0</v>
      </c>
    </row>
    <row r="414" spans="1:19" ht="51.4" hidden="1" outlineLevel="1" thickBot="1" x14ac:dyDescent="0.4">
      <c r="A414" s="336"/>
      <c r="B414" s="330"/>
      <c r="C414" s="205" t="s">
        <v>132</v>
      </c>
      <c r="D414" s="182">
        <f>PRODUCT('Rollen-Prozess-Matrix'!H4,'Kompetenz-Prozess-Matrix'!P8)</f>
        <v>0</v>
      </c>
      <c r="E414" s="183">
        <f>PRODUCT('Rollen-Prozess-Matrix'!I4,'Kompetenz-Prozess-Matrix'!P8)</f>
        <v>0</v>
      </c>
      <c r="F414" s="183">
        <f>PRODUCT('Rollen-Prozess-Matrix'!J4,'Kompetenz-Prozess-Matrix'!P8)</f>
        <v>0</v>
      </c>
      <c r="G414" s="183">
        <f>PRODUCT('Rollen-Prozess-Matrix'!K4,'Kompetenz-Prozess-Matrix'!P8)</f>
        <v>2</v>
      </c>
      <c r="H414" s="183">
        <f>PRODUCT('Rollen-Prozess-Matrix'!L4,'Kompetenz-Prozess-Matrix'!P8)</f>
        <v>6</v>
      </c>
      <c r="I414" s="183">
        <f>PRODUCT('Rollen-Prozess-Matrix'!M4,'Kompetenz-Prozess-Matrix'!P8)</f>
        <v>0</v>
      </c>
      <c r="J414" s="183">
        <f>PRODUCT('Rollen-Prozess-Matrix'!N4,'Kompetenz-Prozess-Matrix'!P8)</f>
        <v>0</v>
      </c>
      <c r="K414" s="183">
        <f>PRODUCT('Rollen-Prozess-Matrix'!O4,'Kompetenz-Prozess-Matrix'!P8)</f>
        <v>0</v>
      </c>
      <c r="L414" s="183">
        <f>PRODUCT('Rollen-Prozess-Matrix'!P4,'Kompetenz-Prozess-Matrix'!P8)</f>
        <v>0</v>
      </c>
      <c r="M414" s="183">
        <f>PRODUCT('Rollen-Prozess-Matrix'!Q4,'Kompetenz-Prozess-Matrix'!P8)</f>
        <v>0</v>
      </c>
      <c r="N414" s="183">
        <f>PRODUCT('Rollen-Prozess-Matrix'!R4,'Kompetenz-Prozess-Matrix'!P8)</f>
        <v>0</v>
      </c>
      <c r="O414" s="183">
        <f>PRODUCT('Rollen-Prozess-Matrix'!S4,'Kompetenz-Prozess-Matrix'!P8)</f>
        <v>0</v>
      </c>
      <c r="P414" s="183">
        <f>PRODUCT('Rollen-Prozess-Matrix'!T4,'Kompetenz-Prozess-Matrix'!P8)</f>
        <v>0</v>
      </c>
      <c r="Q414" s="185">
        <f>PRODUCT('Rollen-Prozess-Matrix'!U4,'Kompetenz-Prozess-Matrix'!P8)</f>
        <v>0</v>
      </c>
    </row>
    <row r="415" spans="1:19" ht="38.65" hidden="1" outlineLevel="1" thickBot="1" x14ac:dyDescent="0.4">
      <c r="A415" s="336"/>
      <c r="B415" s="330"/>
      <c r="C415" s="205" t="s">
        <v>136</v>
      </c>
      <c r="D415" s="182">
        <f>PRODUCT('Rollen-Prozess-Matrix'!H5,'Kompetenz-Prozess-Matrix'!P9)</f>
        <v>0</v>
      </c>
      <c r="E415" s="183">
        <f>PRODUCT('Rollen-Prozess-Matrix'!I5,'Kompetenz-Prozess-Matrix'!P9)</f>
        <v>0</v>
      </c>
      <c r="F415" s="183">
        <f>PRODUCT('Rollen-Prozess-Matrix'!J5,'Kompetenz-Prozess-Matrix'!P9)</f>
        <v>0</v>
      </c>
      <c r="G415" s="183">
        <f>PRODUCT('Rollen-Prozess-Matrix'!K5,'Kompetenz-Prozess-Matrix'!P9)</f>
        <v>0</v>
      </c>
      <c r="H415" s="183">
        <f>PRODUCT('Rollen-Prozess-Matrix'!L5,'Kompetenz-Prozess-Matrix'!P9)</f>
        <v>0</v>
      </c>
      <c r="I415" s="183">
        <f>PRODUCT('Rollen-Prozess-Matrix'!M5,'Kompetenz-Prozess-Matrix'!P9)</f>
        <v>0</v>
      </c>
      <c r="J415" s="183">
        <f>PRODUCT('Rollen-Prozess-Matrix'!N5,'Kompetenz-Prozess-Matrix'!P9)</f>
        <v>0</v>
      </c>
      <c r="K415" s="183">
        <f>PRODUCT('Rollen-Prozess-Matrix'!O5,'Kompetenz-Prozess-Matrix'!P9)</f>
        <v>0</v>
      </c>
      <c r="L415" s="183">
        <f>PRODUCT('Rollen-Prozess-Matrix'!P5,'Kompetenz-Prozess-Matrix'!P9)</f>
        <v>0</v>
      </c>
      <c r="M415" s="183">
        <f>PRODUCT('Rollen-Prozess-Matrix'!Q5,'Kompetenz-Prozess-Matrix'!P9)</f>
        <v>0</v>
      </c>
      <c r="N415" s="183">
        <f>PRODUCT('Rollen-Prozess-Matrix'!R5,'Kompetenz-Prozess-Matrix'!P9)</f>
        <v>0</v>
      </c>
      <c r="O415" s="183">
        <f>PRODUCT('Rollen-Prozess-Matrix'!S5,'Kompetenz-Prozess-Matrix'!P9)</f>
        <v>0</v>
      </c>
      <c r="P415" s="183">
        <f>PRODUCT('Rollen-Prozess-Matrix'!T5,'Kompetenz-Prozess-Matrix'!P9)</f>
        <v>0</v>
      </c>
      <c r="Q415" s="185">
        <f>PRODUCT('Rollen-Prozess-Matrix'!U5,'Kompetenz-Prozess-Matrix'!P9)</f>
        <v>0</v>
      </c>
    </row>
    <row r="416" spans="1:19" ht="38.65" hidden="1" outlineLevel="1" thickBot="1" x14ac:dyDescent="0.4">
      <c r="A416" s="336"/>
      <c r="B416" s="330"/>
      <c r="C416" s="205" t="s">
        <v>140</v>
      </c>
      <c r="D416" s="182">
        <f>PRODUCT('Rollen-Prozess-Matrix'!H6,'Kompetenz-Prozess-Matrix'!P10)</f>
        <v>0</v>
      </c>
      <c r="E416" s="183">
        <f>PRODUCT('Rollen-Prozess-Matrix'!I6,'Kompetenz-Prozess-Matrix'!P10)</f>
        <v>1</v>
      </c>
      <c r="F416" s="183">
        <f>PRODUCT('Rollen-Prozess-Matrix'!J6,'Kompetenz-Prozess-Matrix'!P10)</f>
        <v>1</v>
      </c>
      <c r="G416" s="183">
        <f>PRODUCT('Rollen-Prozess-Matrix'!K6,'Kompetenz-Prozess-Matrix'!P10)</f>
        <v>0</v>
      </c>
      <c r="H416" s="183">
        <f>PRODUCT('Rollen-Prozess-Matrix'!L6,'Kompetenz-Prozess-Matrix'!P10)</f>
        <v>3</v>
      </c>
      <c r="I416" s="183">
        <f>PRODUCT('Rollen-Prozess-Matrix'!M6,'Kompetenz-Prozess-Matrix'!P10)</f>
        <v>0</v>
      </c>
      <c r="J416" s="183">
        <f>PRODUCT('Rollen-Prozess-Matrix'!N6,'Kompetenz-Prozess-Matrix'!P10)</f>
        <v>0</v>
      </c>
      <c r="K416" s="183">
        <f>PRODUCT('Rollen-Prozess-Matrix'!O6,'Kompetenz-Prozess-Matrix'!P10)</f>
        <v>0</v>
      </c>
      <c r="L416" s="183">
        <f>PRODUCT('Rollen-Prozess-Matrix'!P6,'Kompetenz-Prozess-Matrix'!P10)</f>
        <v>0</v>
      </c>
      <c r="M416" s="183">
        <f>PRODUCT('Rollen-Prozess-Matrix'!Q6,'Kompetenz-Prozess-Matrix'!P10)</f>
        <v>0</v>
      </c>
      <c r="N416" s="183">
        <f>PRODUCT('Rollen-Prozess-Matrix'!R6,'Kompetenz-Prozess-Matrix'!P10)</f>
        <v>0</v>
      </c>
      <c r="O416" s="183">
        <f>PRODUCT('Rollen-Prozess-Matrix'!S6,'Kompetenz-Prozess-Matrix'!P10)</f>
        <v>0</v>
      </c>
      <c r="P416" s="183">
        <f>PRODUCT('Rollen-Prozess-Matrix'!T6,'Kompetenz-Prozess-Matrix'!P10)</f>
        <v>2</v>
      </c>
      <c r="Q416" s="185">
        <f>PRODUCT('Rollen-Prozess-Matrix'!U6,'Kompetenz-Prozess-Matrix'!P10)</f>
        <v>1</v>
      </c>
    </row>
    <row r="417" spans="1:17" ht="38.65" hidden="1" outlineLevel="1" thickBot="1" x14ac:dyDescent="0.4">
      <c r="A417" s="336"/>
      <c r="B417" s="330"/>
      <c r="C417" s="205" t="s">
        <v>144</v>
      </c>
      <c r="D417" s="182">
        <f>PRODUCT('Rollen-Prozess-Matrix'!H7,'Kompetenz-Prozess-Matrix'!P11)</f>
        <v>0</v>
      </c>
      <c r="E417" s="183">
        <f>PRODUCT('Rollen-Prozess-Matrix'!I7,'Kompetenz-Prozess-Matrix'!P11)</f>
        <v>0</v>
      </c>
      <c r="F417" s="183">
        <f>PRODUCT('Rollen-Prozess-Matrix'!J7,'Kompetenz-Prozess-Matrix'!P11)</f>
        <v>0</v>
      </c>
      <c r="G417" s="183">
        <f>PRODUCT('Rollen-Prozess-Matrix'!K7,'Kompetenz-Prozess-Matrix'!P11)</f>
        <v>0</v>
      </c>
      <c r="H417" s="183">
        <f>PRODUCT('Rollen-Prozess-Matrix'!L7,'Kompetenz-Prozess-Matrix'!P11)</f>
        <v>0</v>
      </c>
      <c r="I417" s="183">
        <f>PRODUCT('Rollen-Prozess-Matrix'!M7,'Kompetenz-Prozess-Matrix'!P11)</f>
        <v>0</v>
      </c>
      <c r="J417" s="183">
        <f>PRODUCT('Rollen-Prozess-Matrix'!N7,'Kompetenz-Prozess-Matrix'!P11)</f>
        <v>0</v>
      </c>
      <c r="K417" s="183">
        <f>PRODUCT('Rollen-Prozess-Matrix'!O7,'Kompetenz-Prozess-Matrix'!P11)</f>
        <v>0</v>
      </c>
      <c r="L417" s="183">
        <f>PRODUCT('Rollen-Prozess-Matrix'!P7,'Kompetenz-Prozess-Matrix'!P11)</f>
        <v>0</v>
      </c>
      <c r="M417" s="183">
        <f>PRODUCT('Rollen-Prozess-Matrix'!Q7,'Kompetenz-Prozess-Matrix'!P11)</f>
        <v>0</v>
      </c>
      <c r="N417" s="183">
        <f>PRODUCT('Rollen-Prozess-Matrix'!R7,'Kompetenz-Prozess-Matrix'!P11)</f>
        <v>0</v>
      </c>
      <c r="O417" s="183">
        <f>PRODUCT('Rollen-Prozess-Matrix'!S7,'Kompetenz-Prozess-Matrix'!P11)</f>
        <v>0</v>
      </c>
      <c r="P417" s="183">
        <f>PRODUCT('Rollen-Prozess-Matrix'!T7,'Kompetenz-Prozess-Matrix'!P11)</f>
        <v>0</v>
      </c>
      <c r="Q417" s="185">
        <f>PRODUCT('Rollen-Prozess-Matrix'!U7,'Kompetenz-Prozess-Matrix'!P11)</f>
        <v>0</v>
      </c>
    </row>
    <row r="418" spans="1:17" ht="38.65" hidden="1" outlineLevel="1" thickBot="1" x14ac:dyDescent="0.4">
      <c r="A418" s="336"/>
      <c r="B418" s="330"/>
      <c r="C418" s="205" t="s">
        <v>148</v>
      </c>
      <c r="D418" s="182">
        <f>PRODUCT('Rollen-Prozess-Matrix'!H8,'Kompetenz-Prozess-Matrix'!P12)</f>
        <v>0</v>
      </c>
      <c r="E418" s="183">
        <f>PRODUCT('Rollen-Prozess-Matrix'!I8,'Kompetenz-Prozess-Matrix'!P12)</f>
        <v>0</v>
      </c>
      <c r="F418" s="183">
        <f>PRODUCT('Rollen-Prozess-Matrix'!J8,'Kompetenz-Prozess-Matrix'!P12)</f>
        <v>0</v>
      </c>
      <c r="G418" s="183">
        <f>PRODUCT('Rollen-Prozess-Matrix'!K8,'Kompetenz-Prozess-Matrix'!P12)</f>
        <v>0</v>
      </c>
      <c r="H418" s="183">
        <f>PRODUCT('Rollen-Prozess-Matrix'!L8,'Kompetenz-Prozess-Matrix'!P12)</f>
        <v>6</v>
      </c>
      <c r="I418" s="183">
        <f>PRODUCT('Rollen-Prozess-Matrix'!M8,'Kompetenz-Prozess-Matrix'!P12)</f>
        <v>0</v>
      </c>
      <c r="J418" s="183">
        <f>PRODUCT('Rollen-Prozess-Matrix'!N8,'Kompetenz-Prozess-Matrix'!P12)</f>
        <v>0</v>
      </c>
      <c r="K418" s="183">
        <f>PRODUCT('Rollen-Prozess-Matrix'!O8,'Kompetenz-Prozess-Matrix'!P12)</f>
        <v>0</v>
      </c>
      <c r="L418" s="183">
        <f>PRODUCT('Rollen-Prozess-Matrix'!P8,'Kompetenz-Prozess-Matrix'!P12)</f>
        <v>2</v>
      </c>
      <c r="M418" s="183">
        <f>PRODUCT('Rollen-Prozess-Matrix'!Q8,'Kompetenz-Prozess-Matrix'!P12)</f>
        <v>0</v>
      </c>
      <c r="N418" s="183">
        <f>PRODUCT('Rollen-Prozess-Matrix'!R8,'Kompetenz-Prozess-Matrix'!P12)</f>
        <v>0</v>
      </c>
      <c r="O418" s="183">
        <f>PRODUCT('Rollen-Prozess-Matrix'!S8,'Kompetenz-Prozess-Matrix'!P12)</f>
        <v>4</v>
      </c>
      <c r="P418" s="183">
        <f>PRODUCT('Rollen-Prozess-Matrix'!T8,'Kompetenz-Prozess-Matrix'!P12)</f>
        <v>0</v>
      </c>
      <c r="Q418" s="185">
        <f>PRODUCT('Rollen-Prozess-Matrix'!U8,'Kompetenz-Prozess-Matrix'!P12)</f>
        <v>0</v>
      </c>
    </row>
    <row r="419" spans="1:17" ht="38.65" hidden="1" outlineLevel="1" thickBot="1" x14ac:dyDescent="0.4">
      <c r="A419" s="336"/>
      <c r="B419" s="330"/>
      <c r="C419" s="205" t="s">
        <v>152</v>
      </c>
      <c r="D419" s="182">
        <f>PRODUCT('Rollen-Prozess-Matrix'!H9,'Kompetenz-Prozess-Matrix'!P13)</f>
        <v>0</v>
      </c>
      <c r="E419" s="183">
        <f>PRODUCT('Rollen-Prozess-Matrix'!I9,'Kompetenz-Prozess-Matrix'!P13)</f>
        <v>0</v>
      </c>
      <c r="F419" s="183">
        <f>PRODUCT('Rollen-Prozess-Matrix'!J9,'Kompetenz-Prozess-Matrix'!P13)</f>
        <v>0</v>
      </c>
      <c r="G419" s="183">
        <f>PRODUCT('Rollen-Prozess-Matrix'!K9,'Kompetenz-Prozess-Matrix'!P13)</f>
        <v>0</v>
      </c>
      <c r="H419" s="183">
        <f>PRODUCT('Rollen-Prozess-Matrix'!L9,'Kompetenz-Prozess-Matrix'!P13)</f>
        <v>0</v>
      </c>
      <c r="I419" s="183">
        <f>PRODUCT('Rollen-Prozess-Matrix'!M9,'Kompetenz-Prozess-Matrix'!P13)</f>
        <v>0</v>
      </c>
      <c r="J419" s="183">
        <f>PRODUCT('Rollen-Prozess-Matrix'!N9,'Kompetenz-Prozess-Matrix'!P13)</f>
        <v>0</v>
      </c>
      <c r="K419" s="183">
        <f>PRODUCT('Rollen-Prozess-Matrix'!O9,'Kompetenz-Prozess-Matrix'!P13)</f>
        <v>0</v>
      </c>
      <c r="L419" s="183">
        <f>PRODUCT('Rollen-Prozess-Matrix'!P9,'Kompetenz-Prozess-Matrix'!P13)</f>
        <v>0</v>
      </c>
      <c r="M419" s="183">
        <f>PRODUCT('Rollen-Prozess-Matrix'!Q9,'Kompetenz-Prozess-Matrix'!P13)</f>
        <v>0</v>
      </c>
      <c r="N419" s="183">
        <f>PRODUCT('Rollen-Prozess-Matrix'!R9,'Kompetenz-Prozess-Matrix'!P13)</f>
        <v>0</v>
      </c>
      <c r="O419" s="183">
        <f>PRODUCT('Rollen-Prozess-Matrix'!S9,'Kompetenz-Prozess-Matrix'!P13)</f>
        <v>0</v>
      </c>
      <c r="P419" s="183">
        <f>PRODUCT('Rollen-Prozess-Matrix'!T9,'Kompetenz-Prozess-Matrix'!P13)</f>
        <v>0</v>
      </c>
      <c r="Q419" s="185">
        <f>PRODUCT('Rollen-Prozess-Matrix'!U9,'Kompetenz-Prozess-Matrix'!P13)</f>
        <v>0</v>
      </c>
    </row>
    <row r="420" spans="1:17" ht="38.65" hidden="1" outlineLevel="1" thickBot="1" x14ac:dyDescent="0.4">
      <c r="A420" s="336"/>
      <c r="B420" s="330"/>
      <c r="C420" s="205" t="s">
        <v>157</v>
      </c>
      <c r="D420" s="182">
        <f>PRODUCT('Rollen-Prozess-Matrix'!H10,'Kompetenz-Prozess-Matrix'!P14)</f>
        <v>0</v>
      </c>
      <c r="E420" s="183">
        <f>PRODUCT('Rollen-Prozess-Matrix'!I10,'Kompetenz-Prozess-Matrix'!P14)</f>
        <v>0</v>
      </c>
      <c r="F420" s="183">
        <f>PRODUCT('Rollen-Prozess-Matrix'!J10,'Kompetenz-Prozess-Matrix'!P14)</f>
        <v>4</v>
      </c>
      <c r="G420" s="183">
        <f>PRODUCT('Rollen-Prozess-Matrix'!K10,'Kompetenz-Prozess-Matrix'!P14)</f>
        <v>0</v>
      </c>
      <c r="H420" s="183">
        <f>PRODUCT('Rollen-Prozess-Matrix'!L10,'Kompetenz-Prozess-Matrix'!P14)</f>
        <v>6</v>
      </c>
      <c r="I420" s="183">
        <f>PRODUCT('Rollen-Prozess-Matrix'!M10,'Kompetenz-Prozess-Matrix'!P14)</f>
        <v>0</v>
      </c>
      <c r="J420" s="183">
        <f>PRODUCT('Rollen-Prozess-Matrix'!N10,'Kompetenz-Prozess-Matrix'!P14)</f>
        <v>0</v>
      </c>
      <c r="K420" s="183">
        <f>PRODUCT('Rollen-Prozess-Matrix'!O10,'Kompetenz-Prozess-Matrix'!P14)</f>
        <v>0</v>
      </c>
      <c r="L420" s="183">
        <f>PRODUCT('Rollen-Prozess-Matrix'!P10,'Kompetenz-Prozess-Matrix'!P14)</f>
        <v>0</v>
      </c>
      <c r="M420" s="183">
        <f>PRODUCT('Rollen-Prozess-Matrix'!Q10,'Kompetenz-Prozess-Matrix'!P14)</f>
        <v>0</v>
      </c>
      <c r="N420" s="183">
        <f>PRODUCT('Rollen-Prozess-Matrix'!R10,'Kompetenz-Prozess-Matrix'!P14)</f>
        <v>0</v>
      </c>
      <c r="O420" s="183">
        <f>PRODUCT('Rollen-Prozess-Matrix'!S10,'Kompetenz-Prozess-Matrix'!P14)</f>
        <v>0</v>
      </c>
      <c r="P420" s="183">
        <f>PRODUCT('Rollen-Prozess-Matrix'!T10,'Kompetenz-Prozess-Matrix'!P14)</f>
        <v>0</v>
      </c>
      <c r="Q420" s="185">
        <f>PRODUCT('Rollen-Prozess-Matrix'!U10,'Kompetenz-Prozess-Matrix'!P14)</f>
        <v>0</v>
      </c>
    </row>
    <row r="421" spans="1:17" ht="38.65" hidden="1" outlineLevel="1" thickBot="1" x14ac:dyDescent="0.4">
      <c r="A421" s="336"/>
      <c r="B421" s="330"/>
      <c r="C421" s="205" t="s">
        <v>161</v>
      </c>
      <c r="D421" s="182">
        <f>PRODUCT('Rollen-Prozess-Matrix'!H11,'Kompetenz-Prozess-Matrix'!P15)</f>
        <v>0</v>
      </c>
      <c r="E421" s="183">
        <f>PRODUCT('Rollen-Prozess-Matrix'!I11,'Kompetenz-Prozess-Matrix'!P15)</f>
        <v>0</v>
      </c>
      <c r="F421" s="183">
        <f>PRODUCT('Rollen-Prozess-Matrix'!J11,'Kompetenz-Prozess-Matrix'!P15)</f>
        <v>4</v>
      </c>
      <c r="G421" s="183">
        <f>PRODUCT('Rollen-Prozess-Matrix'!K11,'Kompetenz-Prozess-Matrix'!P15)</f>
        <v>0</v>
      </c>
      <c r="H421" s="183">
        <f>PRODUCT('Rollen-Prozess-Matrix'!L11,'Kompetenz-Prozess-Matrix'!P15)</f>
        <v>6</v>
      </c>
      <c r="I421" s="183">
        <f>PRODUCT('Rollen-Prozess-Matrix'!M11,'Kompetenz-Prozess-Matrix'!P15)</f>
        <v>0</v>
      </c>
      <c r="J421" s="183">
        <f>PRODUCT('Rollen-Prozess-Matrix'!N11,'Kompetenz-Prozess-Matrix'!P15)</f>
        <v>0</v>
      </c>
      <c r="K421" s="183">
        <f>PRODUCT('Rollen-Prozess-Matrix'!O11,'Kompetenz-Prozess-Matrix'!P15)</f>
        <v>0</v>
      </c>
      <c r="L421" s="183">
        <f>PRODUCT('Rollen-Prozess-Matrix'!P11,'Kompetenz-Prozess-Matrix'!P15)</f>
        <v>0</v>
      </c>
      <c r="M421" s="183">
        <f>PRODUCT('Rollen-Prozess-Matrix'!Q11,'Kompetenz-Prozess-Matrix'!P15)</f>
        <v>0</v>
      </c>
      <c r="N421" s="183">
        <f>PRODUCT('Rollen-Prozess-Matrix'!R11,'Kompetenz-Prozess-Matrix'!P15)</f>
        <v>0</v>
      </c>
      <c r="O421" s="183">
        <f>PRODUCT('Rollen-Prozess-Matrix'!S11,'Kompetenz-Prozess-Matrix'!P15)</f>
        <v>0</v>
      </c>
      <c r="P421" s="183">
        <f>PRODUCT('Rollen-Prozess-Matrix'!T11,'Kompetenz-Prozess-Matrix'!P15)</f>
        <v>0</v>
      </c>
      <c r="Q421" s="185">
        <f>PRODUCT('Rollen-Prozess-Matrix'!U11,'Kompetenz-Prozess-Matrix'!P15)</f>
        <v>2</v>
      </c>
    </row>
    <row r="422" spans="1:17" ht="38.65" hidden="1" outlineLevel="1" thickBot="1" x14ac:dyDescent="0.4">
      <c r="A422" s="336"/>
      <c r="B422" s="330"/>
      <c r="C422" s="205" t="s">
        <v>288</v>
      </c>
      <c r="D422" s="182">
        <f>PRODUCT('Rollen-Prozess-Matrix'!H12,'Kompetenz-Prozess-Matrix'!P16)</f>
        <v>0</v>
      </c>
      <c r="E422" s="183">
        <f>PRODUCT('Rollen-Prozess-Matrix'!I12,'Kompetenz-Prozess-Matrix'!P16)</f>
        <v>2</v>
      </c>
      <c r="F422" s="183">
        <f>PRODUCT('Rollen-Prozess-Matrix'!J12,'Kompetenz-Prozess-Matrix'!P16)</f>
        <v>2</v>
      </c>
      <c r="G422" s="183">
        <f>PRODUCT('Rollen-Prozess-Matrix'!K12,'Kompetenz-Prozess-Matrix'!P16)</f>
        <v>0</v>
      </c>
      <c r="H422" s="183">
        <f>PRODUCT('Rollen-Prozess-Matrix'!L12,'Kompetenz-Prozess-Matrix'!P16)</f>
        <v>3</v>
      </c>
      <c r="I422" s="183">
        <f>PRODUCT('Rollen-Prozess-Matrix'!M12,'Kompetenz-Prozess-Matrix'!P16)</f>
        <v>2</v>
      </c>
      <c r="J422" s="183">
        <f>PRODUCT('Rollen-Prozess-Matrix'!N12,'Kompetenz-Prozess-Matrix'!P16)</f>
        <v>1</v>
      </c>
      <c r="K422" s="183">
        <f>PRODUCT('Rollen-Prozess-Matrix'!O12,'Kompetenz-Prozess-Matrix'!P16)</f>
        <v>1</v>
      </c>
      <c r="L422" s="183">
        <f>PRODUCT('Rollen-Prozess-Matrix'!P12,'Kompetenz-Prozess-Matrix'!P16)</f>
        <v>1</v>
      </c>
      <c r="M422" s="183">
        <f>PRODUCT('Rollen-Prozess-Matrix'!Q12,'Kompetenz-Prozess-Matrix'!P16)</f>
        <v>0</v>
      </c>
      <c r="N422" s="183">
        <f>PRODUCT('Rollen-Prozess-Matrix'!R12,'Kompetenz-Prozess-Matrix'!P16)</f>
        <v>0</v>
      </c>
      <c r="O422" s="183">
        <f>PRODUCT('Rollen-Prozess-Matrix'!S12,'Kompetenz-Prozess-Matrix'!P16)</f>
        <v>0</v>
      </c>
      <c r="P422" s="183">
        <f>PRODUCT('Rollen-Prozess-Matrix'!T12,'Kompetenz-Prozess-Matrix'!P16)</f>
        <v>1</v>
      </c>
      <c r="Q422" s="185">
        <f>PRODUCT('Rollen-Prozess-Matrix'!U12,'Kompetenz-Prozess-Matrix'!P16)</f>
        <v>2</v>
      </c>
    </row>
    <row r="423" spans="1:17" ht="25.9" hidden="1" outlineLevel="1" thickBot="1" x14ac:dyDescent="0.4">
      <c r="A423" s="336"/>
      <c r="B423" s="330"/>
      <c r="C423" s="205" t="s">
        <v>169</v>
      </c>
      <c r="D423" s="182">
        <f>PRODUCT('Rollen-Prozess-Matrix'!H13,'Kompetenz-Prozess-Matrix'!P17)</f>
        <v>0</v>
      </c>
      <c r="E423" s="183">
        <f>PRODUCT('Rollen-Prozess-Matrix'!I13,'Kompetenz-Prozess-Matrix'!P17)</f>
        <v>1</v>
      </c>
      <c r="F423" s="183">
        <f>PRODUCT('Rollen-Prozess-Matrix'!J13,'Kompetenz-Prozess-Matrix'!P17)</f>
        <v>2</v>
      </c>
      <c r="G423" s="183">
        <f>PRODUCT('Rollen-Prozess-Matrix'!K13,'Kompetenz-Prozess-Matrix'!P17)</f>
        <v>0</v>
      </c>
      <c r="H423" s="183">
        <f>PRODUCT('Rollen-Prozess-Matrix'!L13,'Kompetenz-Prozess-Matrix'!P17)</f>
        <v>3</v>
      </c>
      <c r="I423" s="183">
        <f>PRODUCT('Rollen-Prozess-Matrix'!M13,'Kompetenz-Prozess-Matrix'!P17)</f>
        <v>2</v>
      </c>
      <c r="J423" s="183">
        <f>PRODUCT('Rollen-Prozess-Matrix'!N13,'Kompetenz-Prozess-Matrix'!P17)</f>
        <v>1</v>
      </c>
      <c r="K423" s="183">
        <f>PRODUCT('Rollen-Prozess-Matrix'!O13,'Kompetenz-Prozess-Matrix'!P17)</f>
        <v>1</v>
      </c>
      <c r="L423" s="183">
        <f>PRODUCT('Rollen-Prozess-Matrix'!P13,'Kompetenz-Prozess-Matrix'!P17)</f>
        <v>0</v>
      </c>
      <c r="M423" s="183">
        <f>PRODUCT('Rollen-Prozess-Matrix'!Q13,'Kompetenz-Prozess-Matrix'!P17)</f>
        <v>0</v>
      </c>
      <c r="N423" s="183">
        <f>PRODUCT('Rollen-Prozess-Matrix'!R13,'Kompetenz-Prozess-Matrix'!P17)</f>
        <v>0</v>
      </c>
      <c r="O423" s="183">
        <f>PRODUCT('Rollen-Prozess-Matrix'!S13,'Kompetenz-Prozess-Matrix'!P17)</f>
        <v>1</v>
      </c>
      <c r="P423" s="183">
        <f>PRODUCT('Rollen-Prozess-Matrix'!T13,'Kompetenz-Prozess-Matrix'!P17)</f>
        <v>0</v>
      </c>
      <c r="Q423" s="185">
        <f>PRODUCT('Rollen-Prozess-Matrix'!U13,'Kompetenz-Prozess-Matrix'!P17)</f>
        <v>0</v>
      </c>
    </row>
    <row r="424" spans="1:17" ht="64.150000000000006" hidden="1" outlineLevel="1" thickBot="1" x14ac:dyDescent="0.4">
      <c r="A424" s="336"/>
      <c r="B424" s="330"/>
      <c r="C424" s="205" t="s">
        <v>173</v>
      </c>
      <c r="D424" s="182">
        <f>PRODUCT('Rollen-Prozess-Matrix'!H14,'Kompetenz-Prozess-Matrix'!P18)</f>
        <v>0</v>
      </c>
      <c r="E424" s="183">
        <f>PRODUCT('Rollen-Prozess-Matrix'!I14,'Kompetenz-Prozess-Matrix'!P18)</f>
        <v>0</v>
      </c>
      <c r="F424" s="183">
        <f>PRODUCT('Rollen-Prozess-Matrix'!J14,'Kompetenz-Prozess-Matrix'!P18)</f>
        <v>0</v>
      </c>
      <c r="G424" s="183">
        <f>PRODUCT('Rollen-Prozess-Matrix'!K14,'Kompetenz-Prozess-Matrix'!P18)</f>
        <v>0</v>
      </c>
      <c r="H424" s="183">
        <f>PRODUCT('Rollen-Prozess-Matrix'!L14,'Kompetenz-Prozess-Matrix'!P18)</f>
        <v>0</v>
      </c>
      <c r="I424" s="183">
        <f>PRODUCT('Rollen-Prozess-Matrix'!M14,'Kompetenz-Prozess-Matrix'!P18)</f>
        <v>0</v>
      </c>
      <c r="J424" s="183">
        <f>PRODUCT('Rollen-Prozess-Matrix'!N14,'Kompetenz-Prozess-Matrix'!P18)</f>
        <v>0</v>
      </c>
      <c r="K424" s="183">
        <f>PRODUCT('Rollen-Prozess-Matrix'!O14,'Kompetenz-Prozess-Matrix'!P18)</f>
        <v>0</v>
      </c>
      <c r="L424" s="183">
        <f>PRODUCT('Rollen-Prozess-Matrix'!P14,'Kompetenz-Prozess-Matrix'!P18)</f>
        <v>0</v>
      </c>
      <c r="M424" s="183">
        <f>PRODUCT('Rollen-Prozess-Matrix'!Q14,'Kompetenz-Prozess-Matrix'!P18)</f>
        <v>0</v>
      </c>
      <c r="N424" s="183">
        <f>PRODUCT('Rollen-Prozess-Matrix'!R14,'Kompetenz-Prozess-Matrix'!P18)</f>
        <v>0</v>
      </c>
      <c r="O424" s="183">
        <f>PRODUCT('Rollen-Prozess-Matrix'!S14,'Kompetenz-Prozess-Matrix'!P18)</f>
        <v>0</v>
      </c>
      <c r="P424" s="183">
        <f>PRODUCT('Rollen-Prozess-Matrix'!T14,'Kompetenz-Prozess-Matrix'!P18)</f>
        <v>0</v>
      </c>
      <c r="Q424" s="185">
        <f>PRODUCT('Rollen-Prozess-Matrix'!U14,'Kompetenz-Prozess-Matrix'!P18)</f>
        <v>0</v>
      </c>
    </row>
    <row r="425" spans="1:17" ht="38.65" hidden="1" outlineLevel="1" thickBot="1" x14ac:dyDescent="0.4">
      <c r="A425" s="336"/>
      <c r="B425" s="330"/>
      <c r="C425" s="205" t="s">
        <v>177</v>
      </c>
      <c r="D425" s="182">
        <f>PRODUCT('Rollen-Prozess-Matrix'!H15,'Kompetenz-Prozess-Matrix'!P19)</f>
        <v>0</v>
      </c>
      <c r="E425" s="183">
        <f>PRODUCT('Rollen-Prozess-Matrix'!I15,'Kompetenz-Prozess-Matrix'!P19)</f>
        <v>0</v>
      </c>
      <c r="F425" s="183">
        <f>PRODUCT('Rollen-Prozess-Matrix'!J15,'Kompetenz-Prozess-Matrix'!P19)</f>
        <v>0</v>
      </c>
      <c r="G425" s="183">
        <f>PRODUCT('Rollen-Prozess-Matrix'!K15,'Kompetenz-Prozess-Matrix'!P19)</f>
        <v>0</v>
      </c>
      <c r="H425" s="183">
        <f>PRODUCT('Rollen-Prozess-Matrix'!L15,'Kompetenz-Prozess-Matrix'!P19)</f>
        <v>0</v>
      </c>
      <c r="I425" s="183">
        <f>PRODUCT('Rollen-Prozess-Matrix'!M15,'Kompetenz-Prozess-Matrix'!P19)</f>
        <v>0</v>
      </c>
      <c r="J425" s="183">
        <f>PRODUCT('Rollen-Prozess-Matrix'!N15,'Kompetenz-Prozess-Matrix'!P19)</f>
        <v>0</v>
      </c>
      <c r="K425" s="183">
        <f>PRODUCT('Rollen-Prozess-Matrix'!O15,'Kompetenz-Prozess-Matrix'!P19)</f>
        <v>0</v>
      </c>
      <c r="L425" s="183">
        <f>PRODUCT('Rollen-Prozess-Matrix'!P15,'Kompetenz-Prozess-Matrix'!P19)</f>
        <v>0</v>
      </c>
      <c r="M425" s="183">
        <f>PRODUCT('Rollen-Prozess-Matrix'!Q15,'Kompetenz-Prozess-Matrix'!P19)</f>
        <v>0</v>
      </c>
      <c r="N425" s="183">
        <f>PRODUCT('Rollen-Prozess-Matrix'!R15,'Kompetenz-Prozess-Matrix'!P19)</f>
        <v>0</v>
      </c>
      <c r="O425" s="183">
        <f>PRODUCT('Rollen-Prozess-Matrix'!S15,'Kompetenz-Prozess-Matrix'!P19)</f>
        <v>0</v>
      </c>
      <c r="P425" s="183">
        <f>PRODUCT('Rollen-Prozess-Matrix'!T15,'Kompetenz-Prozess-Matrix'!P19)</f>
        <v>0</v>
      </c>
      <c r="Q425" s="185">
        <f>PRODUCT('Rollen-Prozess-Matrix'!U15,'Kompetenz-Prozess-Matrix'!P19)</f>
        <v>0</v>
      </c>
    </row>
    <row r="426" spans="1:17" ht="13.15" hidden="1" outlineLevel="1" thickBot="1" x14ac:dyDescent="0.4">
      <c r="A426" s="336"/>
      <c r="B426" s="330"/>
      <c r="C426" s="205" t="s">
        <v>181</v>
      </c>
      <c r="D426" s="182">
        <f>PRODUCT('Rollen-Prozess-Matrix'!H16,'Kompetenz-Prozess-Matrix'!P20)</f>
        <v>0</v>
      </c>
      <c r="E426" s="183">
        <f>PRODUCT('Rollen-Prozess-Matrix'!I16,'Kompetenz-Prozess-Matrix'!P20)</f>
        <v>0</v>
      </c>
      <c r="F426" s="183">
        <f>PRODUCT('Rollen-Prozess-Matrix'!J16,'Kompetenz-Prozess-Matrix'!P20)</f>
        <v>0</v>
      </c>
      <c r="G426" s="183">
        <f>PRODUCT('Rollen-Prozess-Matrix'!K16,'Kompetenz-Prozess-Matrix'!P20)</f>
        <v>0</v>
      </c>
      <c r="H426" s="183">
        <f>PRODUCT('Rollen-Prozess-Matrix'!L16,'Kompetenz-Prozess-Matrix'!P20)</f>
        <v>6</v>
      </c>
      <c r="I426" s="183">
        <f>PRODUCT('Rollen-Prozess-Matrix'!M16,'Kompetenz-Prozess-Matrix'!P20)</f>
        <v>0</v>
      </c>
      <c r="J426" s="183">
        <f>PRODUCT('Rollen-Prozess-Matrix'!N16,'Kompetenz-Prozess-Matrix'!P20)</f>
        <v>2</v>
      </c>
      <c r="K426" s="183">
        <f>PRODUCT('Rollen-Prozess-Matrix'!O16,'Kompetenz-Prozess-Matrix'!P20)</f>
        <v>0</v>
      </c>
      <c r="L426" s="183">
        <f>PRODUCT('Rollen-Prozess-Matrix'!P16,'Kompetenz-Prozess-Matrix'!P20)</f>
        <v>4</v>
      </c>
      <c r="M426" s="183">
        <f>PRODUCT('Rollen-Prozess-Matrix'!Q16,'Kompetenz-Prozess-Matrix'!P20)</f>
        <v>0</v>
      </c>
      <c r="N426" s="183">
        <f>PRODUCT('Rollen-Prozess-Matrix'!R16,'Kompetenz-Prozess-Matrix'!P20)</f>
        <v>0</v>
      </c>
      <c r="O426" s="183">
        <f>PRODUCT('Rollen-Prozess-Matrix'!S16,'Kompetenz-Prozess-Matrix'!P20)</f>
        <v>0</v>
      </c>
      <c r="P426" s="183">
        <f>PRODUCT('Rollen-Prozess-Matrix'!T16,'Kompetenz-Prozess-Matrix'!P20)</f>
        <v>0</v>
      </c>
      <c r="Q426" s="185">
        <f>PRODUCT('Rollen-Prozess-Matrix'!U16,'Kompetenz-Prozess-Matrix'!P20)</f>
        <v>0</v>
      </c>
    </row>
    <row r="427" spans="1:17" ht="38.65" hidden="1" outlineLevel="1" thickBot="1" x14ac:dyDescent="0.4">
      <c r="A427" s="336"/>
      <c r="B427" s="330"/>
      <c r="C427" s="205" t="s">
        <v>185</v>
      </c>
      <c r="D427" s="182">
        <f>PRODUCT('Rollen-Prozess-Matrix'!H17,'Kompetenz-Prozess-Matrix'!P21)</f>
        <v>0</v>
      </c>
      <c r="E427" s="183">
        <f>PRODUCT('Rollen-Prozess-Matrix'!I17,'Kompetenz-Prozess-Matrix'!P21)</f>
        <v>2</v>
      </c>
      <c r="F427" s="183">
        <f>PRODUCT('Rollen-Prozess-Matrix'!J17,'Kompetenz-Prozess-Matrix'!P21)</f>
        <v>2</v>
      </c>
      <c r="G427" s="183">
        <f>PRODUCT('Rollen-Prozess-Matrix'!K17,'Kompetenz-Prozess-Matrix'!P21)</f>
        <v>0</v>
      </c>
      <c r="H427" s="183">
        <f>PRODUCT('Rollen-Prozess-Matrix'!L17,'Kompetenz-Prozess-Matrix'!P21)</f>
        <v>6</v>
      </c>
      <c r="I427" s="183">
        <f>PRODUCT('Rollen-Prozess-Matrix'!M17,'Kompetenz-Prozess-Matrix'!P21)</f>
        <v>0</v>
      </c>
      <c r="J427" s="183">
        <f>PRODUCT('Rollen-Prozess-Matrix'!N17,'Kompetenz-Prozess-Matrix'!P21)</f>
        <v>0</v>
      </c>
      <c r="K427" s="183">
        <f>PRODUCT('Rollen-Prozess-Matrix'!O17,'Kompetenz-Prozess-Matrix'!P21)</f>
        <v>0</v>
      </c>
      <c r="L427" s="183">
        <f>PRODUCT('Rollen-Prozess-Matrix'!P17,'Kompetenz-Prozess-Matrix'!P21)</f>
        <v>4</v>
      </c>
      <c r="M427" s="183">
        <f>PRODUCT('Rollen-Prozess-Matrix'!Q17,'Kompetenz-Prozess-Matrix'!P21)</f>
        <v>0</v>
      </c>
      <c r="N427" s="183">
        <f>PRODUCT('Rollen-Prozess-Matrix'!R17,'Kompetenz-Prozess-Matrix'!P21)</f>
        <v>0</v>
      </c>
      <c r="O427" s="183">
        <f>PRODUCT('Rollen-Prozess-Matrix'!S17,'Kompetenz-Prozess-Matrix'!P21)</f>
        <v>4</v>
      </c>
      <c r="P427" s="183">
        <f>PRODUCT('Rollen-Prozess-Matrix'!T17,'Kompetenz-Prozess-Matrix'!P21)</f>
        <v>0</v>
      </c>
      <c r="Q427" s="185">
        <f>PRODUCT('Rollen-Prozess-Matrix'!U17,'Kompetenz-Prozess-Matrix'!P21)</f>
        <v>0</v>
      </c>
    </row>
    <row r="428" spans="1:17" ht="51.4" hidden="1" outlineLevel="1" thickBot="1" x14ac:dyDescent="0.4">
      <c r="A428" s="336"/>
      <c r="B428" s="330"/>
      <c r="C428" s="205" t="s">
        <v>190</v>
      </c>
      <c r="D428" s="182">
        <f>PRODUCT('Rollen-Prozess-Matrix'!H18,'Kompetenz-Prozess-Matrix'!P22)</f>
        <v>0</v>
      </c>
      <c r="E428" s="183">
        <f>PRODUCT('Rollen-Prozess-Matrix'!I18,'Kompetenz-Prozess-Matrix'!P22)</f>
        <v>2</v>
      </c>
      <c r="F428" s="183">
        <f>PRODUCT('Rollen-Prozess-Matrix'!J18,'Kompetenz-Prozess-Matrix'!P22)</f>
        <v>0</v>
      </c>
      <c r="G428" s="183">
        <f>PRODUCT('Rollen-Prozess-Matrix'!K18,'Kompetenz-Prozess-Matrix'!P22)</f>
        <v>0</v>
      </c>
      <c r="H428" s="183">
        <f>PRODUCT('Rollen-Prozess-Matrix'!L18,'Kompetenz-Prozess-Matrix'!P22)</f>
        <v>3</v>
      </c>
      <c r="I428" s="183">
        <f>PRODUCT('Rollen-Prozess-Matrix'!M18,'Kompetenz-Prozess-Matrix'!P22)</f>
        <v>0</v>
      </c>
      <c r="J428" s="183">
        <f>PRODUCT('Rollen-Prozess-Matrix'!N18,'Kompetenz-Prozess-Matrix'!P22)</f>
        <v>0</v>
      </c>
      <c r="K428" s="183">
        <f>PRODUCT('Rollen-Prozess-Matrix'!O18,'Kompetenz-Prozess-Matrix'!P22)</f>
        <v>0</v>
      </c>
      <c r="L428" s="183">
        <f>PRODUCT('Rollen-Prozess-Matrix'!P18,'Kompetenz-Prozess-Matrix'!P22)</f>
        <v>0</v>
      </c>
      <c r="M428" s="183">
        <f>PRODUCT('Rollen-Prozess-Matrix'!Q18,'Kompetenz-Prozess-Matrix'!P22)</f>
        <v>0</v>
      </c>
      <c r="N428" s="183">
        <f>PRODUCT('Rollen-Prozess-Matrix'!R18,'Kompetenz-Prozess-Matrix'!P22)</f>
        <v>0</v>
      </c>
      <c r="O428" s="183">
        <f>PRODUCT('Rollen-Prozess-Matrix'!S18,'Kompetenz-Prozess-Matrix'!P22)</f>
        <v>0</v>
      </c>
      <c r="P428" s="183">
        <f>PRODUCT('Rollen-Prozess-Matrix'!T18,'Kompetenz-Prozess-Matrix'!P22)</f>
        <v>2</v>
      </c>
      <c r="Q428" s="185">
        <f>PRODUCT('Rollen-Prozess-Matrix'!U18,'Kompetenz-Prozess-Matrix'!P22)</f>
        <v>1</v>
      </c>
    </row>
    <row r="429" spans="1:17" ht="64.150000000000006" hidden="1" outlineLevel="1" thickBot="1" x14ac:dyDescent="0.4">
      <c r="A429" s="336"/>
      <c r="B429" s="330"/>
      <c r="C429" s="205" t="s">
        <v>194</v>
      </c>
      <c r="D429" s="182">
        <f>PRODUCT('Rollen-Prozess-Matrix'!H19,'Kompetenz-Prozess-Matrix'!P23)</f>
        <v>0</v>
      </c>
      <c r="E429" s="183">
        <f>PRODUCT('Rollen-Prozess-Matrix'!I19,'Kompetenz-Prozess-Matrix'!P23)</f>
        <v>2</v>
      </c>
      <c r="F429" s="183">
        <f>PRODUCT('Rollen-Prozess-Matrix'!J19,'Kompetenz-Prozess-Matrix'!P23)</f>
        <v>0</v>
      </c>
      <c r="G429" s="183">
        <f>PRODUCT('Rollen-Prozess-Matrix'!K19,'Kompetenz-Prozess-Matrix'!P23)</f>
        <v>0</v>
      </c>
      <c r="H429" s="183">
        <f>PRODUCT('Rollen-Prozess-Matrix'!L19,'Kompetenz-Prozess-Matrix'!P23)</f>
        <v>3</v>
      </c>
      <c r="I429" s="183">
        <f>PRODUCT('Rollen-Prozess-Matrix'!M19,'Kompetenz-Prozess-Matrix'!P23)</f>
        <v>1</v>
      </c>
      <c r="J429" s="183">
        <f>PRODUCT('Rollen-Prozess-Matrix'!N19,'Kompetenz-Prozess-Matrix'!P23)</f>
        <v>0</v>
      </c>
      <c r="K429" s="183">
        <f>PRODUCT('Rollen-Prozess-Matrix'!O19,'Kompetenz-Prozess-Matrix'!P23)</f>
        <v>0</v>
      </c>
      <c r="L429" s="183">
        <f>PRODUCT('Rollen-Prozess-Matrix'!P19,'Kompetenz-Prozess-Matrix'!P23)</f>
        <v>1</v>
      </c>
      <c r="M429" s="183">
        <f>PRODUCT('Rollen-Prozess-Matrix'!Q19,'Kompetenz-Prozess-Matrix'!P23)</f>
        <v>0</v>
      </c>
      <c r="N429" s="183">
        <f>PRODUCT('Rollen-Prozess-Matrix'!R19,'Kompetenz-Prozess-Matrix'!P23)</f>
        <v>0</v>
      </c>
      <c r="O429" s="183">
        <f>PRODUCT('Rollen-Prozess-Matrix'!S19,'Kompetenz-Prozess-Matrix'!P23)</f>
        <v>0</v>
      </c>
      <c r="P429" s="183">
        <f>PRODUCT('Rollen-Prozess-Matrix'!T19,'Kompetenz-Prozess-Matrix'!P23)</f>
        <v>0</v>
      </c>
      <c r="Q429" s="185">
        <f>PRODUCT('Rollen-Prozess-Matrix'!U19,'Kompetenz-Prozess-Matrix'!P23)</f>
        <v>0</v>
      </c>
    </row>
    <row r="430" spans="1:17" ht="64.150000000000006" hidden="1" outlineLevel="1" thickBot="1" x14ac:dyDescent="0.4">
      <c r="A430" s="336"/>
      <c r="B430" s="330"/>
      <c r="C430" s="205" t="s">
        <v>201</v>
      </c>
      <c r="D430" s="182">
        <f>PRODUCT('Rollen-Prozess-Matrix'!H20,'Kompetenz-Prozess-Matrix'!P24)</f>
        <v>0</v>
      </c>
      <c r="E430" s="183">
        <f>PRODUCT('Rollen-Prozess-Matrix'!I20,'Kompetenz-Prozess-Matrix'!P24)</f>
        <v>2</v>
      </c>
      <c r="F430" s="183">
        <f>PRODUCT('Rollen-Prozess-Matrix'!J20,'Kompetenz-Prozess-Matrix'!P24)</f>
        <v>0</v>
      </c>
      <c r="G430" s="183">
        <f>PRODUCT('Rollen-Prozess-Matrix'!K20,'Kompetenz-Prozess-Matrix'!P24)</f>
        <v>0</v>
      </c>
      <c r="H430" s="183">
        <f>PRODUCT('Rollen-Prozess-Matrix'!L20,'Kompetenz-Prozess-Matrix'!P24)</f>
        <v>3</v>
      </c>
      <c r="I430" s="183">
        <f>PRODUCT('Rollen-Prozess-Matrix'!M20,'Kompetenz-Prozess-Matrix'!P24)</f>
        <v>2</v>
      </c>
      <c r="J430" s="183">
        <f>PRODUCT('Rollen-Prozess-Matrix'!N20,'Kompetenz-Prozess-Matrix'!P24)</f>
        <v>1</v>
      </c>
      <c r="K430" s="183">
        <f>PRODUCT('Rollen-Prozess-Matrix'!O20,'Kompetenz-Prozess-Matrix'!P24)</f>
        <v>0</v>
      </c>
      <c r="L430" s="183">
        <f>PRODUCT('Rollen-Prozess-Matrix'!P20,'Kompetenz-Prozess-Matrix'!P24)</f>
        <v>1</v>
      </c>
      <c r="M430" s="183">
        <f>PRODUCT('Rollen-Prozess-Matrix'!Q20,'Kompetenz-Prozess-Matrix'!P24)</f>
        <v>0</v>
      </c>
      <c r="N430" s="183">
        <f>PRODUCT('Rollen-Prozess-Matrix'!R20,'Kompetenz-Prozess-Matrix'!P24)</f>
        <v>0</v>
      </c>
      <c r="O430" s="183">
        <f>PRODUCT('Rollen-Prozess-Matrix'!S20,'Kompetenz-Prozess-Matrix'!P24)</f>
        <v>0</v>
      </c>
      <c r="P430" s="183">
        <f>PRODUCT('Rollen-Prozess-Matrix'!T20,'Kompetenz-Prozess-Matrix'!P24)</f>
        <v>0</v>
      </c>
      <c r="Q430" s="185">
        <f>PRODUCT('Rollen-Prozess-Matrix'!U20,'Kompetenz-Prozess-Matrix'!P24)</f>
        <v>0</v>
      </c>
    </row>
    <row r="431" spans="1:17" ht="51.4" hidden="1" outlineLevel="1" thickBot="1" x14ac:dyDescent="0.4">
      <c r="A431" s="336"/>
      <c r="B431" s="330"/>
      <c r="C431" s="205" t="s">
        <v>205</v>
      </c>
      <c r="D431" s="182">
        <f>PRODUCT('Rollen-Prozess-Matrix'!H21,'Kompetenz-Prozess-Matrix'!P25)</f>
        <v>0</v>
      </c>
      <c r="E431" s="183">
        <f>PRODUCT('Rollen-Prozess-Matrix'!I21,'Kompetenz-Prozess-Matrix'!P25)</f>
        <v>1</v>
      </c>
      <c r="F431" s="183">
        <f>PRODUCT('Rollen-Prozess-Matrix'!J21,'Kompetenz-Prozess-Matrix'!P25)</f>
        <v>0</v>
      </c>
      <c r="G431" s="183">
        <f>PRODUCT('Rollen-Prozess-Matrix'!K21,'Kompetenz-Prozess-Matrix'!P25)</f>
        <v>0</v>
      </c>
      <c r="H431" s="183">
        <f>PRODUCT('Rollen-Prozess-Matrix'!L21,'Kompetenz-Prozess-Matrix'!P25)</f>
        <v>3</v>
      </c>
      <c r="I431" s="183">
        <f>PRODUCT('Rollen-Prozess-Matrix'!M21,'Kompetenz-Prozess-Matrix'!P25)</f>
        <v>2</v>
      </c>
      <c r="J431" s="183">
        <f>PRODUCT('Rollen-Prozess-Matrix'!N21,'Kompetenz-Prozess-Matrix'!P25)</f>
        <v>1</v>
      </c>
      <c r="K431" s="183">
        <f>PRODUCT('Rollen-Prozess-Matrix'!O21,'Kompetenz-Prozess-Matrix'!P25)</f>
        <v>0</v>
      </c>
      <c r="L431" s="183">
        <f>PRODUCT('Rollen-Prozess-Matrix'!P21,'Kompetenz-Prozess-Matrix'!P25)</f>
        <v>0</v>
      </c>
      <c r="M431" s="183">
        <f>PRODUCT('Rollen-Prozess-Matrix'!Q21,'Kompetenz-Prozess-Matrix'!P25)</f>
        <v>0</v>
      </c>
      <c r="N431" s="183">
        <f>PRODUCT('Rollen-Prozess-Matrix'!R21,'Kompetenz-Prozess-Matrix'!P25)</f>
        <v>0</v>
      </c>
      <c r="O431" s="183">
        <f>PRODUCT('Rollen-Prozess-Matrix'!S21,'Kompetenz-Prozess-Matrix'!P25)</f>
        <v>0</v>
      </c>
      <c r="P431" s="183">
        <f>PRODUCT('Rollen-Prozess-Matrix'!T21,'Kompetenz-Prozess-Matrix'!P25)</f>
        <v>0</v>
      </c>
      <c r="Q431" s="185">
        <f>PRODUCT('Rollen-Prozess-Matrix'!U21,'Kompetenz-Prozess-Matrix'!P25)</f>
        <v>0</v>
      </c>
    </row>
    <row r="432" spans="1:17" ht="38.65" hidden="1" outlineLevel="1" thickBot="1" x14ac:dyDescent="0.4">
      <c r="A432" s="336"/>
      <c r="B432" s="330"/>
      <c r="C432" s="205" t="s">
        <v>209</v>
      </c>
      <c r="D432" s="182">
        <f>PRODUCT('Rollen-Prozess-Matrix'!H22,'Kompetenz-Prozess-Matrix'!P26)</f>
        <v>0</v>
      </c>
      <c r="E432" s="183">
        <f>PRODUCT('Rollen-Prozess-Matrix'!I22,'Kompetenz-Prozess-Matrix'!P26)</f>
        <v>0</v>
      </c>
      <c r="F432" s="183">
        <f>PRODUCT('Rollen-Prozess-Matrix'!J22,'Kompetenz-Prozess-Matrix'!P26)</f>
        <v>0</v>
      </c>
      <c r="G432" s="183">
        <f>PRODUCT('Rollen-Prozess-Matrix'!K22,'Kompetenz-Prozess-Matrix'!P26)</f>
        <v>0</v>
      </c>
      <c r="H432" s="183">
        <f>PRODUCT('Rollen-Prozess-Matrix'!L22,'Kompetenz-Prozess-Matrix'!P26)</f>
        <v>0</v>
      </c>
      <c r="I432" s="183">
        <f>PRODUCT('Rollen-Prozess-Matrix'!M22,'Kompetenz-Prozess-Matrix'!P26)</f>
        <v>0</v>
      </c>
      <c r="J432" s="183">
        <f>PRODUCT('Rollen-Prozess-Matrix'!N22,'Kompetenz-Prozess-Matrix'!P26)</f>
        <v>0</v>
      </c>
      <c r="K432" s="183">
        <f>PRODUCT('Rollen-Prozess-Matrix'!O22,'Kompetenz-Prozess-Matrix'!P26)</f>
        <v>0</v>
      </c>
      <c r="L432" s="183">
        <f>PRODUCT('Rollen-Prozess-Matrix'!P22,'Kompetenz-Prozess-Matrix'!P26)</f>
        <v>0</v>
      </c>
      <c r="M432" s="183">
        <f>PRODUCT('Rollen-Prozess-Matrix'!Q22,'Kompetenz-Prozess-Matrix'!P26)</f>
        <v>0</v>
      </c>
      <c r="N432" s="183">
        <f>PRODUCT('Rollen-Prozess-Matrix'!R22,'Kompetenz-Prozess-Matrix'!P26)</f>
        <v>0</v>
      </c>
      <c r="O432" s="183">
        <f>PRODUCT('Rollen-Prozess-Matrix'!S22,'Kompetenz-Prozess-Matrix'!P26)</f>
        <v>0</v>
      </c>
      <c r="P432" s="183">
        <f>PRODUCT('Rollen-Prozess-Matrix'!T22,'Kompetenz-Prozess-Matrix'!P26)</f>
        <v>0</v>
      </c>
      <c r="Q432" s="185">
        <f>PRODUCT('Rollen-Prozess-Matrix'!U22,'Kompetenz-Prozess-Matrix'!P26)</f>
        <v>0</v>
      </c>
    </row>
    <row r="433" spans="1:19" ht="38.65" hidden="1" outlineLevel="1" thickBot="1" x14ac:dyDescent="0.4">
      <c r="A433" s="336"/>
      <c r="B433" s="330"/>
      <c r="C433" s="205" t="s">
        <v>213</v>
      </c>
      <c r="D433" s="182">
        <f>PRODUCT('Rollen-Prozess-Matrix'!H23,'Kompetenz-Prozess-Matrix'!P27)</f>
        <v>0</v>
      </c>
      <c r="E433" s="183">
        <f>PRODUCT('Rollen-Prozess-Matrix'!I23,'Kompetenz-Prozess-Matrix'!P27)</f>
        <v>0</v>
      </c>
      <c r="F433" s="183">
        <f>PRODUCT('Rollen-Prozess-Matrix'!J23,'Kompetenz-Prozess-Matrix'!P27)</f>
        <v>0</v>
      </c>
      <c r="G433" s="183">
        <f>PRODUCT('Rollen-Prozess-Matrix'!K23,'Kompetenz-Prozess-Matrix'!P27)</f>
        <v>0</v>
      </c>
      <c r="H433" s="183">
        <f>PRODUCT('Rollen-Prozess-Matrix'!L23,'Kompetenz-Prozess-Matrix'!P27)</f>
        <v>0</v>
      </c>
      <c r="I433" s="183">
        <f>PRODUCT('Rollen-Prozess-Matrix'!M23,'Kompetenz-Prozess-Matrix'!P27)</f>
        <v>0</v>
      </c>
      <c r="J433" s="183">
        <f>PRODUCT('Rollen-Prozess-Matrix'!N23,'Kompetenz-Prozess-Matrix'!P27)</f>
        <v>0</v>
      </c>
      <c r="K433" s="183">
        <f>PRODUCT('Rollen-Prozess-Matrix'!O23,'Kompetenz-Prozess-Matrix'!P27)</f>
        <v>0</v>
      </c>
      <c r="L433" s="183">
        <f>PRODUCT('Rollen-Prozess-Matrix'!P23,'Kompetenz-Prozess-Matrix'!P27)</f>
        <v>0</v>
      </c>
      <c r="M433" s="183">
        <f>PRODUCT('Rollen-Prozess-Matrix'!Q23,'Kompetenz-Prozess-Matrix'!P27)</f>
        <v>0</v>
      </c>
      <c r="N433" s="183">
        <f>PRODUCT('Rollen-Prozess-Matrix'!R23,'Kompetenz-Prozess-Matrix'!P27)</f>
        <v>0</v>
      </c>
      <c r="O433" s="183">
        <f>PRODUCT('Rollen-Prozess-Matrix'!S23,'Kompetenz-Prozess-Matrix'!P27)</f>
        <v>0</v>
      </c>
      <c r="P433" s="183">
        <f>PRODUCT('Rollen-Prozess-Matrix'!T23,'Kompetenz-Prozess-Matrix'!P27)</f>
        <v>0</v>
      </c>
      <c r="Q433" s="185">
        <f>PRODUCT('Rollen-Prozess-Matrix'!U23,'Kompetenz-Prozess-Matrix'!P27)</f>
        <v>0</v>
      </c>
    </row>
    <row r="434" spans="1:19" ht="38.65" hidden="1" outlineLevel="1" thickBot="1" x14ac:dyDescent="0.4">
      <c r="A434" s="336"/>
      <c r="B434" s="330"/>
      <c r="C434" s="205" t="s">
        <v>217</v>
      </c>
      <c r="D434" s="182">
        <f>PRODUCT('Rollen-Prozess-Matrix'!H24,'Kompetenz-Prozess-Matrix'!P28)</f>
        <v>0</v>
      </c>
      <c r="E434" s="183">
        <f>PRODUCT('Rollen-Prozess-Matrix'!I24,'Kompetenz-Prozess-Matrix'!P28)</f>
        <v>0</v>
      </c>
      <c r="F434" s="183">
        <f>PRODUCT('Rollen-Prozess-Matrix'!J24,'Kompetenz-Prozess-Matrix'!P28)</f>
        <v>0</v>
      </c>
      <c r="G434" s="183">
        <f>PRODUCT('Rollen-Prozess-Matrix'!K24,'Kompetenz-Prozess-Matrix'!P28)</f>
        <v>0</v>
      </c>
      <c r="H434" s="183">
        <f>PRODUCT('Rollen-Prozess-Matrix'!L24,'Kompetenz-Prozess-Matrix'!P28)</f>
        <v>0</v>
      </c>
      <c r="I434" s="183">
        <f>PRODUCT('Rollen-Prozess-Matrix'!M24,'Kompetenz-Prozess-Matrix'!P28)</f>
        <v>0</v>
      </c>
      <c r="J434" s="183">
        <f>PRODUCT('Rollen-Prozess-Matrix'!N24,'Kompetenz-Prozess-Matrix'!P28)</f>
        <v>0</v>
      </c>
      <c r="K434" s="183">
        <f>PRODUCT('Rollen-Prozess-Matrix'!O24,'Kompetenz-Prozess-Matrix'!P28)</f>
        <v>0</v>
      </c>
      <c r="L434" s="183">
        <f>PRODUCT('Rollen-Prozess-Matrix'!P24,'Kompetenz-Prozess-Matrix'!P28)</f>
        <v>0</v>
      </c>
      <c r="M434" s="183">
        <f>PRODUCT('Rollen-Prozess-Matrix'!Q24,'Kompetenz-Prozess-Matrix'!P28)</f>
        <v>0</v>
      </c>
      <c r="N434" s="183">
        <f>PRODUCT('Rollen-Prozess-Matrix'!R24,'Kompetenz-Prozess-Matrix'!P28)</f>
        <v>0</v>
      </c>
      <c r="O434" s="183">
        <f>PRODUCT('Rollen-Prozess-Matrix'!S24,'Kompetenz-Prozess-Matrix'!P28)</f>
        <v>0</v>
      </c>
      <c r="P434" s="183">
        <f>PRODUCT('Rollen-Prozess-Matrix'!T24,'Kompetenz-Prozess-Matrix'!P28)</f>
        <v>0</v>
      </c>
      <c r="Q434" s="185">
        <f>PRODUCT('Rollen-Prozess-Matrix'!U24,'Kompetenz-Prozess-Matrix'!P28)</f>
        <v>0</v>
      </c>
    </row>
    <row r="435" spans="1:19" ht="38.65" hidden="1" outlineLevel="1" thickBot="1" x14ac:dyDescent="0.4">
      <c r="A435" s="336"/>
      <c r="B435" s="330"/>
      <c r="C435" s="205" t="s">
        <v>223</v>
      </c>
      <c r="D435" s="182">
        <f>PRODUCT('Rollen-Prozess-Matrix'!H25,'Kompetenz-Prozess-Matrix'!P29)</f>
        <v>0</v>
      </c>
      <c r="E435" s="183">
        <f>PRODUCT('Rollen-Prozess-Matrix'!I25,'Kompetenz-Prozess-Matrix'!P29)</f>
        <v>0</v>
      </c>
      <c r="F435" s="183">
        <f>PRODUCT('Rollen-Prozess-Matrix'!J25,'Kompetenz-Prozess-Matrix'!P29)</f>
        <v>0</v>
      </c>
      <c r="G435" s="183">
        <f>PRODUCT('Rollen-Prozess-Matrix'!K25,'Kompetenz-Prozess-Matrix'!P29)</f>
        <v>0</v>
      </c>
      <c r="H435" s="183">
        <f>PRODUCT('Rollen-Prozess-Matrix'!L25,'Kompetenz-Prozess-Matrix'!P29)</f>
        <v>0</v>
      </c>
      <c r="I435" s="183">
        <f>PRODUCT('Rollen-Prozess-Matrix'!M25,'Kompetenz-Prozess-Matrix'!P29)</f>
        <v>0</v>
      </c>
      <c r="J435" s="183">
        <f>PRODUCT('Rollen-Prozess-Matrix'!N25,'Kompetenz-Prozess-Matrix'!P29)</f>
        <v>0</v>
      </c>
      <c r="K435" s="183">
        <f>PRODUCT('Rollen-Prozess-Matrix'!O25,'Kompetenz-Prozess-Matrix'!P29)</f>
        <v>0</v>
      </c>
      <c r="L435" s="183">
        <f>PRODUCT('Rollen-Prozess-Matrix'!P25,'Kompetenz-Prozess-Matrix'!P29)</f>
        <v>0</v>
      </c>
      <c r="M435" s="183">
        <f>PRODUCT('Rollen-Prozess-Matrix'!Q25,'Kompetenz-Prozess-Matrix'!P29)</f>
        <v>0</v>
      </c>
      <c r="N435" s="183">
        <f>PRODUCT('Rollen-Prozess-Matrix'!R25,'Kompetenz-Prozess-Matrix'!P29)</f>
        <v>0</v>
      </c>
      <c r="O435" s="183">
        <f>PRODUCT('Rollen-Prozess-Matrix'!S25,'Kompetenz-Prozess-Matrix'!P29)</f>
        <v>0</v>
      </c>
      <c r="P435" s="183">
        <f>PRODUCT('Rollen-Prozess-Matrix'!T25,'Kompetenz-Prozess-Matrix'!P29)</f>
        <v>0</v>
      </c>
      <c r="Q435" s="185">
        <f>PRODUCT('Rollen-Prozess-Matrix'!U25,'Kompetenz-Prozess-Matrix'!P29)</f>
        <v>0</v>
      </c>
    </row>
    <row r="436" spans="1:19" ht="38.65" hidden="1" outlineLevel="1" thickBot="1" x14ac:dyDescent="0.4">
      <c r="A436" s="336"/>
      <c r="B436" s="330"/>
      <c r="C436" s="205" t="s">
        <v>229</v>
      </c>
      <c r="D436" s="182">
        <f>PRODUCT('Rollen-Prozess-Matrix'!H26,'Kompetenz-Prozess-Matrix'!P30)</f>
        <v>0</v>
      </c>
      <c r="E436" s="183">
        <f>PRODUCT('Rollen-Prozess-Matrix'!I26,'Kompetenz-Prozess-Matrix'!P30)</f>
        <v>0</v>
      </c>
      <c r="F436" s="183">
        <f>PRODUCT('Rollen-Prozess-Matrix'!J26,'Kompetenz-Prozess-Matrix'!P30)</f>
        <v>0</v>
      </c>
      <c r="G436" s="183">
        <f>PRODUCT('Rollen-Prozess-Matrix'!K26,'Kompetenz-Prozess-Matrix'!P30)</f>
        <v>0</v>
      </c>
      <c r="H436" s="183">
        <f>PRODUCT('Rollen-Prozess-Matrix'!L26,'Kompetenz-Prozess-Matrix'!P30)</f>
        <v>0</v>
      </c>
      <c r="I436" s="183">
        <f>PRODUCT('Rollen-Prozess-Matrix'!M26,'Kompetenz-Prozess-Matrix'!P30)</f>
        <v>0</v>
      </c>
      <c r="J436" s="183">
        <f>PRODUCT('Rollen-Prozess-Matrix'!N26,'Kompetenz-Prozess-Matrix'!P30)</f>
        <v>0</v>
      </c>
      <c r="K436" s="183">
        <f>PRODUCT('Rollen-Prozess-Matrix'!O26,'Kompetenz-Prozess-Matrix'!P30)</f>
        <v>0</v>
      </c>
      <c r="L436" s="183">
        <f>PRODUCT('Rollen-Prozess-Matrix'!P26,'Kompetenz-Prozess-Matrix'!P30)</f>
        <v>0</v>
      </c>
      <c r="M436" s="183">
        <f>PRODUCT('Rollen-Prozess-Matrix'!Q26,'Kompetenz-Prozess-Matrix'!P30)</f>
        <v>0</v>
      </c>
      <c r="N436" s="183">
        <f>PRODUCT('Rollen-Prozess-Matrix'!R26,'Kompetenz-Prozess-Matrix'!P30)</f>
        <v>0</v>
      </c>
      <c r="O436" s="183">
        <f>PRODUCT('Rollen-Prozess-Matrix'!S26,'Kompetenz-Prozess-Matrix'!P30)</f>
        <v>0</v>
      </c>
      <c r="P436" s="183">
        <f>PRODUCT('Rollen-Prozess-Matrix'!T26,'Kompetenz-Prozess-Matrix'!P30)</f>
        <v>0</v>
      </c>
      <c r="Q436" s="185">
        <f>PRODUCT('Rollen-Prozess-Matrix'!U26,'Kompetenz-Prozess-Matrix'!P30)</f>
        <v>0</v>
      </c>
    </row>
    <row r="437" spans="1:19" ht="38.65" hidden="1" outlineLevel="1" thickBot="1" x14ac:dyDescent="0.4">
      <c r="A437" s="336"/>
      <c r="B437" s="330"/>
      <c r="C437" s="205" t="s">
        <v>235</v>
      </c>
      <c r="D437" s="182">
        <f>PRODUCT('Rollen-Prozess-Matrix'!H27,'Kompetenz-Prozess-Matrix'!P31)</f>
        <v>0</v>
      </c>
      <c r="E437" s="183">
        <f>PRODUCT('Rollen-Prozess-Matrix'!I27,'Kompetenz-Prozess-Matrix'!P31)</f>
        <v>0</v>
      </c>
      <c r="F437" s="183">
        <f>PRODUCT('Rollen-Prozess-Matrix'!J27,'Kompetenz-Prozess-Matrix'!P31)</f>
        <v>0</v>
      </c>
      <c r="G437" s="183">
        <f>PRODUCT('Rollen-Prozess-Matrix'!K27,'Kompetenz-Prozess-Matrix'!P31)</f>
        <v>0</v>
      </c>
      <c r="H437" s="183">
        <f>PRODUCT('Rollen-Prozess-Matrix'!L27,'Kompetenz-Prozess-Matrix'!P31)</f>
        <v>0</v>
      </c>
      <c r="I437" s="183">
        <f>PRODUCT('Rollen-Prozess-Matrix'!M27,'Kompetenz-Prozess-Matrix'!P31)</f>
        <v>0</v>
      </c>
      <c r="J437" s="183">
        <f>PRODUCT('Rollen-Prozess-Matrix'!N27,'Kompetenz-Prozess-Matrix'!P31)</f>
        <v>0</v>
      </c>
      <c r="K437" s="183">
        <f>PRODUCT('Rollen-Prozess-Matrix'!O27,'Kompetenz-Prozess-Matrix'!P31)</f>
        <v>0</v>
      </c>
      <c r="L437" s="183">
        <f>PRODUCT('Rollen-Prozess-Matrix'!P27,'Kompetenz-Prozess-Matrix'!P31)</f>
        <v>0</v>
      </c>
      <c r="M437" s="183">
        <f>PRODUCT('Rollen-Prozess-Matrix'!Q27,'Kompetenz-Prozess-Matrix'!P31)</f>
        <v>0</v>
      </c>
      <c r="N437" s="183">
        <f>PRODUCT('Rollen-Prozess-Matrix'!R27,'Kompetenz-Prozess-Matrix'!P31)</f>
        <v>0</v>
      </c>
      <c r="O437" s="183">
        <f>PRODUCT('Rollen-Prozess-Matrix'!S27,'Kompetenz-Prozess-Matrix'!P31)</f>
        <v>0</v>
      </c>
      <c r="P437" s="183">
        <f>PRODUCT('Rollen-Prozess-Matrix'!T27,'Kompetenz-Prozess-Matrix'!P31)</f>
        <v>0</v>
      </c>
      <c r="Q437" s="185">
        <f>PRODUCT('Rollen-Prozess-Matrix'!U27,'Kompetenz-Prozess-Matrix'!P31)</f>
        <v>0</v>
      </c>
    </row>
    <row r="438" spans="1:19" ht="38.65" hidden="1" outlineLevel="1" thickBot="1" x14ac:dyDescent="0.4">
      <c r="A438" s="336"/>
      <c r="B438" s="330"/>
      <c r="C438" s="205" t="s">
        <v>242</v>
      </c>
      <c r="D438" s="182">
        <f>PRODUCT('Rollen-Prozess-Matrix'!H28,'Kompetenz-Prozess-Matrix'!P32)</f>
        <v>0</v>
      </c>
      <c r="E438" s="183">
        <f>PRODUCT('Rollen-Prozess-Matrix'!I28,'Kompetenz-Prozess-Matrix'!P32)</f>
        <v>0</v>
      </c>
      <c r="F438" s="183">
        <f>PRODUCT('Rollen-Prozess-Matrix'!J28,'Kompetenz-Prozess-Matrix'!P32)</f>
        <v>0</v>
      </c>
      <c r="G438" s="183">
        <f>PRODUCT('Rollen-Prozess-Matrix'!K28,'Kompetenz-Prozess-Matrix'!P32)</f>
        <v>0</v>
      </c>
      <c r="H438" s="183">
        <f>PRODUCT('Rollen-Prozess-Matrix'!L28,'Kompetenz-Prozess-Matrix'!P32)</f>
        <v>0</v>
      </c>
      <c r="I438" s="183">
        <f>PRODUCT('Rollen-Prozess-Matrix'!M28,'Kompetenz-Prozess-Matrix'!P32)</f>
        <v>0</v>
      </c>
      <c r="J438" s="183">
        <f>PRODUCT('Rollen-Prozess-Matrix'!N28,'Kompetenz-Prozess-Matrix'!P32)</f>
        <v>0</v>
      </c>
      <c r="K438" s="183">
        <f>PRODUCT('Rollen-Prozess-Matrix'!O28,'Kompetenz-Prozess-Matrix'!P32)</f>
        <v>0</v>
      </c>
      <c r="L438" s="183">
        <f>PRODUCT('Rollen-Prozess-Matrix'!P28,'Kompetenz-Prozess-Matrix'!P32)</f>
        <v>0</v>
      </c>
      <c r="M438" s="183">
        <f>PRODUCT('Rollen-Prozess-Matrix'!Q28,'Kompetenz-Prozess-Matrix'!P32)</f>
        <v>0</v>
      </c>
      <c r="N438" s="183">
        <f>PRODUCT('Rollen-Prozess-Matrix'!R28,'Kompetenz-Prozess-Matrix'!P32)</f>
        <v>0</v>
      </c>
      <c r="O438" s="183">
        <f>PRODUCT('Rollen-Prozess-Matrix'!S28,'Kompetenz-Prozess-Matrix'!P32)</f>
        <v>0</v>
      </c>
      <c r="P438" s="183">
        <f>PRODUCT('Rollen-Prozess-Matrix'!T28,'Kompetenz-Prozess-Matrix'!P32)</f>
        <v>0</v>
      </c>
      <c r="Q438" s="185">
        <f>PRODUCT('Rollen-Prozess-Matrix'!U28,'Kompetenz-Prozess-Matrix'!P32)</f>
        <v>0</v>
      </c>
    </row>
    <row r="439" spans="1:19" ht="38.65" hidden="1" outlineLevel="1" thickBot="1" x14ac:dyDescent="0.4">
      <c r="A439" s="336"/>
      <c r="B439" s="330"/>
      <c r="C439" s="205" t="s">
        <v>248</v>
      </c>
      <c r="D439" s="182">
        <f>PRODUCT('Rollen-Prozess-Matrix'!H29,'Kompetenz-Prozess-Matrix'!P33)</f>
        <v>0</v>
      </c>
      <c r="E439" s="183">
        <f>PRODUCT('Rollen-Prozess-Matrix'!I29,'Kompetenz-Prozess-Matrix'!P33)</f>
        <v>0</v>
      </c>
      <c r="F439" s="183">
        <f>PRODUCT('Rollen-Prozess-Matrix'!J29,'Kompetenz-Prozess-Matrix'!P33)</f>
        <v>0</v>
      </c>
      <c r="G439" s="183">
        <f>PRODUCT('Rollen-Prozess-Matrix'!K29,'Kompetenz-Prozess-Matrix'!P33)</f>
        <v>0</v>
      </c>
      <c r="H439" s="183">
        <f>PRODUCT('Rollen-Prozess-Matrix'!L29,'Kompetenz-Prozess-Matrix'!P33)</f>
        <v>0</v>
      </c>
      <c r="I439" s="183">
        <f>PRODUCT('Rollen-Prozess-Matrix'!M29,'Kompetenz-Prozess-Matrix'!P33)</f>
        <v>0</v>
      </c>
      <c r="J439" s="183">
        <f>PRODUCT('Rollen-Prozess-Matrix'!N29,'Kompetenz-Prozess-Matrix'!P33)</f>
        <v>0</v>
      </c>
      <c r="K439" s="183">
        <f>PRODUCT('Rollen-Prozess-Matrix'!O29,'Kompetenz-Prozess-Matrix'!P33)</f>
        <v>0</v>
      </c>
      <c r="L439" s="183">
        <f>PRODUCT('Rollen-Prozess-Matrix'!P29,'Kompetenz-Prozess-Matrix'!P33)</f>
        <v>0</v>
      </c>
      <c r="M439" s="183">
        <f>PRODUCT('Rollen-Prozess-Matrix'!Q29,'Kompetenz-Prozess-Matrix'!P33)</f>
        <v>0</v>
      </c>
      <c r="N439" s="183">
        <f>PRODUCT('Rollen-Prozess-Matrix'!R29,'Kompetenz-Prozess-Matrix'!P33)</f>
        <v>0</v>
      </c>
      <c r="O439" s="183">
        <f>PRODUCT('Rollen-Prozess-Matrix'!S29,'Kompetenz-Prozess-Matrix'!P33)</f>
        <v>0</v>
      </c>
      <c r="P439" s="183">
        <f>PRODUCT('Rollen-Prozess-Matrix'!T29,'Kompetenz-Prozess-Matrix'!P33)</f>
        <v>0</v>
      </c>
      <c r="Q439" s="185">
        <f>PRODUCT('Rollen-Prozess-Matrix'!U29,'Kompetenz-Prozess-Matrix'!P33)</f>
        <v>0</v>
      </c>
    </row>
    <row r="440" spans="1:19" ht="38.65" hidden="1" outlineLevel="1" thickBot="1" x14ac:dyDescent="0.4">
      <c r="A440" s="336"/>
      <c r="B440" s="330"/>
      <c r="C440" s="205" t="s">
        <v>255</v>
      </c>
      <c r="D440" s="182">
        <f>PRODUCT('Rollen-Prozess-Matrix'!H30,'Kompetenz-Prozess-Matrix'!P34)</f>
        <v>0</v>
      </c>
      <c r="E440" s="183">
        <f>PRODUCT('Rollen-Prozess-Matrix'!I30,'Kompetenz-Prozess-Matrix'!P34)</f>
        <v>0</v>
      </c>
      <c r="F440" s="183">
        <f>PRODUCT('Rollen-Prozess-Matrix'!J30,'Kompetenz-Prozess-Matrix'!P34)</f>
        <v>0</v>
      </c>
      <c r="G440" s="183">
        <f>PRODUCT('Rollen-Prozess-Matrix'!K30,'Kompetenz-Prozess-Matrix'!P34)</f>
        <v>0</v>
      </c>
      <c r="H440" s="183">
        <f>PRODUCT('Rollen-Prozess-Matrix'!L30,'Kompetenz-Prozess-Matrix'!P34)</f>
        <v>0</v>
      </c>
      <c r="I440" s="183">
        <f>PRODUCT('Rollen-Prozess-Matrix'!M30,'Kompetenz-Prozess-Matrix'!P34)</f>
        <v>0</v>
      </c>
      <c r="J440" s="183">
        <f>PRODUCT('Rollen-Prozess-Matrix'!N30,'Kompetenz-Prozess-Matrix'!P34)</f>
        <v>0</v>
      </c>
      <c r="K440" s="183">
        <f>PRODUCT('Rollen-Prozess-Matrix'!O30,'Kompetenz-Prozess-Matrix'!P34)</f>
        <v>0</v>
      </c>
      <c r="L440" s="183">
        <f>PRODUCT('Rollen-Prozess-Matrix'!P30,'Kompetenz-Prozess-Matrix'!P34)</f>
        <v>0</v>
      </c>
      <c r="M440" s="183">
        <f>PRODUCT('Rollen-Prozess-Matrix'!Q30,'Kompetenz-Prozess-Matrix'!P34)</f>
        <v>0</v>
      </c>
      <c r="N440" s="183">
        <f>PRODUCT('Rollen-Prozess-Matrix'!R30,'Kompetenz-Prozess-Matrix'!P34)</f>
        <v>0</v>
      </c>
      <c r="O440" s="183">
        <f>PRODUCT('Rollen-Prozess-Matrix'!S30,'Kompetenz-Prozess-Matrix'!P34)</f>
        <v>0</v>
      </c>
      <c r="P440" s="183">
        <f>PRODUCT('Rollen-Prozess-Matrix'!T30,'Kompetenz-Prozess-Matrix'!P34)</f>
        <v>0</v>
      </c>
      <c r="Q440" s="185">
        <f>PRODUCT('Rollen-Prozess-Matrix'!U30,'Kompetenz-Prozess-Matrix'!P34)</f>
        <v>0</v>
      </c>
    </row>
    <row r="441" spans="1:19" ht="38.65" hidden="1" outlineLevel="1" thickBot="1" x14ac:dyDescent="0.4">
      <c r="A441" s="336"/>
      <c r="B441" s="330"/>
      <c r="C441" s="205" t="s">
        <v>261</v>
      </c>
      <c r="D441" s="182">
        <f>PRODUCT('Rollen-Prozess-Matrix'!H31,'Kompetenz-Prozess-Matrix'!P35)</f>
        <v>0</v>
      </c>
      <c r="E441" s="183">
        <f>PRODUCT('Rollen-Prozess-Matrix'!I31,'Kompetenz-Prozess-Matrix'!P35)</f>
        <v>0</v>
      </c>
      <c r="F441" s="183">
        <f>PRODUCT('Rollen-Prozess-Matrix'!J31,'Kompetenz-Prozess-Matrix'!P35)</f>
        <v>0</v>
      </c>
      <c r="G441" s="183">
        <f>PRODUCT('Rollen-Prozess-Matrix'!K31,'Kompetenz-Prozess-Matrix'!P35)</f>
        <v>0</v>
      </c>
      <c r="H441" s="183">
        <f>PRODUCT('Rollen-Prozess-Matrix'!L31,'Kompetenz-Prozess-Matrix'!P35)</f>
        <v>0</v>
      </c>
      <c r="I441" s="183">
        <f>PRODUCT('Rollen-Prozess-Matrix'!M31,'Kompetenz-Prozess-Matrix'!P35)</f>
        <v>0</v>
      </c>
      <c r="J441" s="183">
        <f>PRODUCT('Rollen-Prozess-Matrix'!N31,'Kompetenz-Prozess-Matrix'!P35)</f>
        <v>0</v>
      </c>
      <c r="K441" s="183">
        <f>PRODUCT('Rollen-Prozess-Matrix'!O31,'Kompetenz-Prozess-Matrix'!P35)</f>
        <v>0</v>
      </c>
      <c r="L441" s="183">
        <f>PRODUCT('Rollen-Prozess-Matrix'!P31,'Kompetenz-Prozess-Matrix'!P35)</f>
        <v>0</v>
      </c>
      <c r="M441" s="183">
        <f>PRODUCT('Rollen-Prozess-Matrix'!Q31,'Kompetenz-Prozess-Matrix'!P35)</f>
        <v>0</v>
      </c>
      <c r="N441" s="183">
        <f>PRODUCT('Rollen-Prozess-Matrix'!R31,'Kompetenz-Prozess-Matrix'!P35)</f>
        <v>0</v>
      </c>
      <c r="O441" s="183">
        <f>PRODUCT('Rollen-Prozess-Matrix'!S31,'Kompetenz-Prozess-Matrix'!P35)</f>
        <v>0</v>
      </c>
      <c r="P441" s="183">
        <f>PRODUCT('Rollen-Prozess-Matrix'!T31,'Kompetenz-Prozess-Matrix'!P35)</f>
        <v>0</v>
      </c>
      <c r="Q441" s="185">
        <f>PRODUCT('Rollen-Prozess-Matrix'!U31,'Kompetenz-Prozess-Matrix'!P35)</f>
        <v>0</v>
      </c>
    </row>
    <row r="442" spans="1:19" ht="13.15" hidden="1" outlineLevel="1" thickBot="1" x14ac:dyDescent="0.4">
      <c r="A442" s="336"/>
      <c r="B442" s="330"/>
      <c r="C442" s="205" t="s">
        <v>264</v>
      </c>
      <c r="D442" s="182">
        <f>PRODUCT('Rollen-Prozess-Matrix'!H32,'Kompetenz-Prozess-Matrix'!P36)</f>
        <v>0</v>
      </c>
      <c r="E442" s="183">
        <f>PRODUCT('Rollen-Prozess-Matrix'!I32,'Kompetenz-Prozess-Matrix'!P36)</f>
        <v>0</v>
      </c>
      <c r="F442" s="183">
        <f>PRODUCT('Rollen-Prozess-Matrix'!J32,'Kompetenz-Prozess-Matrix'!P36)</f>
        <v>0</v>
      </c>
      <c r="G442" s="183">
        <f>PRODUCT('Rollen-Prozess-Matrix'!K32,'Kompetenz-Prozess-Matrix'!P36)</f>
        <v>4</v>
      </c>
      <c r="H442" s="183">
        <f>PRODUCT('Rollen-Prozess-Matrix'!L32,'Kompetenz-Prozess-Matrix'!P36)</f>
        <v>2</v>
      </c>
      <c r="I442" s="183">
        <f>PRODUCT('Rollen-Prozess-Matrix'!M32,'Kompetenz-Prozess-Matrix'!P36)</f>
        <v>0</v>
      </c>
      <c r="J442" s="183">
        <f>PRODUCT('Rollen-Prozess-Matrix'!N32,'Kompetenz-Prozess-Matrix'!P36)</f>
        <v>0</v>
      </c>
      <c r="K442" s="183">
        <f>PRODUCT('Rollen-Prozess-Matrix'!O32,'Kompetenz-Prozess-Matrix'!P36)</f>
        <v>0</v>
      </c>
      <c r="L442" s="183">
        <f>PRODUCT('Rollen-Prozess-Matrix'!P32,'Kompetenz-Prozess-Matrix'!P36)</f>
        <v>0</v>
      </c>
      <c r="M442" s="183">
        <f>PRODUCT('Rollen-Prozess-Matrix'!Q32,'Kompetenz-Prozess-Matrix'!P36)</f>
        <v>0</v>
      </c>
      <c r="N442" s="183">
        <f>PRODUCT('Rollen-Prozess-Matrix'!R32,'Kompetenz-Prozess-Matrix'!P36)</f>
        <v>0</v>
      </c>
      <c r="O442" s="183">
        <f>PRODUCT('Rollen-Prozess-Matrix'!S32,'Kompetenz-Prozess-Matrix'!P36)</f>
        <v>0</v>
      </c>
      <c r="P442" s="183">
        <f>PRODUCT('Rollen-Prozess-Matrix'!T32,'Kompetenz-Prozess-Matrix'!P36)</f>
        <v>0</v>
      </c>
      <c r="Q442" s="185">
        <f>PRODUCT('Rollen-Prozess-Matrix'!U32,'Kompetenz-Prozess-Matrix'!P36)</f>
        <v>0</v>
      </c>
    </row>
    <row r="443" spans="1:19" ht="13.15" hidden="1" outlineLevel="1" thickBot="1" x14ac:dyDescent="0.4">
      <c r="A443" s="336"/>
      <c r="B443" s="330"/>
      <c r="C443" s="205" t="s">
        <v>266</v>
      </c>
      <c r="D443" s="182">
        <f>PRODUCT('Rollen-Prozess-Matrix'!H33,'Kompetenz-Prozess-Matrix'!P37)</f>
        <v>0</v>
      </c>
      <c r="E443" s="183">
        <f>PRODUCT('Rollen-Prozess-Matrix'!I33,'Kompetenz-Prozess-Matrix'!P37)</f>
        <v>0</v>
      </c>
      <c r="F443" s="183">
        <f>PRODUCT('Rollen-Prozess-Matrix'!J33,'Kompetenz-Prozess-Matrix'!P37)</f>
        <v>0</v>
      </c>
      <c r="G443" s="183">
        <f>PRODUCT('Rollen-Prozess-Matrix'!K33,'Kompetenz-Prozess-Matrix'!P37)</f>
        <v>0</v>
      </c>
      <c r="H443" s="183">
        <f>PRODUCT('Rollen-Prozess-Matrix'!L33,'Kompetenz-Prozess-Matrix'!P37)</f>
        <v>0</v>
      </c>
      <c r="I443" s="183">
        <f>PRODUCT('Rollen-Prozess-Matrix'!M33,'Kompetenz-Prozess-Matrix'!P37)</f>
        <v>0</v>
      </c>
      <c r="J443" s="183">
        <f>PRODUCT('Rollen-Prozess-Matrix'!N33,'Kompetenz-Prozess-Matrix'!P37)</f>
        <v>0</v>
      </c>
      <c r="K443" s="183">
        <f>PRODUCT('Rollen-Prozess-Matrix'!O33,'Kompetenz-Prozess-Matrix'!P37)</f>
        <v>0</v>
      </c>
      <c r="L443" s="183">
        <f>PRODUCT('Rollen-Prozess-Matrix'!P33,'Kompetenz-Prozess-Matrix'!P37)</f>
        <v>0</v>
      </c>
      <c r="M443" s="183">
        <f>PRODUCT('Rollen-Prozess-Matrix'!Q33,'Kompetenz-Prozess-Matrix'!P37)</f>
        <v>0</v>
      </c>
      <c r="N443" s="183">
        <f>PRODUCT('Rollen-Prozess-Matrix'!R33,'Kompetenz-Prozess-Matrix'!P37)</f>
        <v>0</v>
      </c>
      <c r="O443" s="183">
        <f>PRODUCT('Rollen-Prozess-Matrix'!S33,'Kompetenz-Prozess-Matrix'!P37)</f>
        <v>0</v>
      </c>
      <c r="P443" s="183">
        <f>PRODUCT('Rollen-Prozess-Matrix'!T33,'Kompetenz-Prozess-Matrix'!P37)</f>
        <v>0</v>
      </c>
      <c r="Q443" s="185">
        <f>PRODUCT('Rollen-Prozess-Matrix'!U33,'Kompetenz-Prozess-Matrix'!P37)</f>
        <v>0</v>
      </c>
    </row>
    <row r="444" spans="1:19" ht="13.15" hidden="1" outlineLevel="1" thickBot="1" x14ac:dyDescent="0.4">
      <c r="A444" s="336"/>
      <c r="B444" s="331"/>
      <c r="C444" s="206" t="s">
        <v>289</v>
      </c>
      <c r="D444" s="182">
        <f>PRODUCT('Rollen-Prozess-Matrix'!H34,'Kompetenz-Prozess-Matrix'!P38)</f>
        <v>0</v>
      </c>
      <c r="E444" s="183">
        <f>PRODUCT('Rollen-Prozess-Matrix'!I34,'Kompetenz-Prozess-Matrix'!P38)</f>
        <v>0</v>
      </c>
      <c r="F444" s="183">
        <f>PRODUCT('Rollen-Prozess-Matrix'!J34,'Kompetenz-Prozess-Matrix'!P38)</f>
        <v>0</v>
      </c>
      <c r="G444" s="183">
        <f>PRODUCT('Rollen-Prozess-Matrix'!K34,'Kompetenz-Prozess-Matrix'!P38)</f>
        <v>4</v>
      </c>
      <c r="H444" s="183">
        <f>PRODUCT('Rollen-Prozess-Matrix'!L34,'Kompetenz-Prozess-Matrix'!P38)</f>
        <v>0</v>
      </c>
      <c r="I444" s="183">
        <f>PRODUCT('Rollen-Prozess-Matrix'!M34,'Kompetenz-Prozess-Matrix'!P38)</f>
        <v>0</v>
      </c>
      <c r="J444" s="183">
        <f>PRODUCT('Rollen-Prozess-Matrix'!N34,'Kompetenz-Prozess-Matrix'!P38)</f>
        <v>0</v>
      </c>
      <c r="K444" s="183">
        <f>PRODUCT('Rollen-Prozess-Matrix'!O34,'Kompetenz-Prozess-Matrix'!P38)</f>
        <v>0</v>
      </c>
      <c r="L444" s="183">
        <f>PRODUCT('Rollen-Prozess-Matrix'!P34,'Kompetenz-Prozess-Matrix'!P38)</f>
        <v>0</v>
      </c>
      <c r="M444" s="183">
        <f>PRODUCT('Rollen-Prozess-Matrix'!Q34,'Kompetenz-Prozess-Matrix'!P38)</f>
        <v>0</v>
      </c>
      <c r="N444" s="183">
        <f>PRODUCT('Rollen-Prozess-Matrix'!R34,'Kompetenz-Prozess-Matrix'!P38)</f>
        <v>0</v>
      </c>
      <c r="O444" s="183">
        <f>PRODUCT('Rollen-Prozess-Matrix'!S34,'Kompetenz-Prozess-Matrix'!P38)</f>
        <v>0</v>
      </c>
      <c r="P444" s="183">
        <f>PRODUCT('Rollen-Prozess-Matrix'!T34,'Kompetenz-Prozess-Matrix'!P38)</f>
        <v>0</v>
      </c>
      <c r="Q444" s="185">
        <f>PRODUCT('Rollen-Prozess-Matrix'!U34,'Kompetenz-Prozess-Matrix'!P38)</f>
        <v>0</v>
      </c>
    </row>
    <row r="445" spans="1:19" ht="13.15" collapsed="1" thickBot="1" x14ac:dyDescent="0.4">
      <c r="A445" s="336"/>
      <c r="B445" s="329" t="s">
        <v>90</v>
      </c>
      <c r="C445" s="204"/>
      <c r="D445" s="184">
        <f>MAX(D446:D478)</f>
        <v>1</v>
      </c>
      <c r="E445" s="184">
        <f t="shared" ref="E445" si="157">MAX(E446:E478)</f>
        <v>4</v>
      </c>
      <c r="F445" s="184">
        <f t="shared" ref="F445" si="158">MAX(F446:F478)</f>
        <v>4</v>
      </c>
      <c r="G445" s="184">
        <f t="shared" ref="G445" si="159">MAX(G446:G478)</f>
        <v>4</v>
      </c>
      <c r="H445" s="184">
        <f t="shared" ref="H445" si="160">MAX(H446:H478)</f>
        <v>6</v>
      </c>
      <c r="I445" s="184">
        <f t="shared" ref="I445" si="161">MAX(I446:I478)</f>
        <v>4</v>
      </c>
      <c r="J445" s="184">
        <f t="shared" ref="J445" si="162">MAX(J446:J478)</f>
        <v>2</v>
      </c>
      <c r="K445" s="184">
        <f t="shared" ref="K445" si="163">MAX(K446:K478)</f>
        <v>2</v>
      </c>
      <c r="L445" s="184">
        <f t="shared" ref="L445" si="164">MAX(L446:L478)</f>
        <v>2</v>
      </c>
      <c r="M445" s="184">
        <f t="shared" ref="M445" si="165">MAX(M446:M478)</f>
        <v>2</v>
      </c>
      <c r="N445" s="184">
        <f t="shared" ref="N445" si="166">MAX(N446:N478)</f>
        <v>0</v>
      </c>
      <c r="O445" s="184">
        <f t="shared" ref="O445" si="167">MAX(O446:O478)</f>
        <v>2</v>
      </c>
      <c r="P445" s="184">
        <f t="shared" ref="P445" si="168">MAX(P446:P478)</f>
        <v>4</v>
      </c>
      <c r="Q445" s="199">
        <f t="shared" ref="Q445" si="169">MAX(Q446:Q478)</f>
        <v>4</v>
      </c>
      <c r="S445" s="213">
        <v>1</v>
      </c>
    </row>
    <row r="446" spans="1:19" ht="13.15" hidden="1" outlineLevel="1" thickBot="1" x14ac:dyDescent="0.4">
      <c r="A446" s="336"/>
      <c r="B446" s="330"/>
      <c r="C446" s="190" t="s">
        <v>123</v>
      </c>
      <c r="D446" s="182">
        <f>PRODUCT('Rollen-Prozess-Matrix'!H2,'Kompetenz-Prozess-Matrix'!Q6)</f>
        <v>0</v>
      </c>
      <c r="E446" s="183">
        <f>PRODUCT('Rollen-Prozess-Matrix'!I2,'Kompetenz-Prozess-Matrix'!Q6)</f>
        <v>0</v>
      </c>
      <c r="F446" s="183">
        <f>PRODUCT('Rollen-Prozess-Matrix'!J2,'Kompetenz-Prozess-Matrix'!Q6)</f>
        <v>0</v>
      </c>
      <c r="G446" s="183">
        <f>PRODUCT('Rollen-Prozess-Matrix'!K2,'Kompetenz-Prozess-Matrix'!Q6)</f>
        <v>0</v>
      </c>
      <c r="H446" s="183">
        <f>PRODUCT('Rollen-Prozess-Matrix'!L2,'Kompetenz-Prozess-Matrix'!Q6)</f>
        <v>0</v>
      </c>
      <c r="I446" s="183">
        <f>PRODUCT('Rollen-Prozess-Matrix'!M2,'Kompetenz-Prozess-Matrix'!Q6)</f>
        <v>0</v>
      </c>
      <c r="J446" s="183">
        <f>PRODUCT('Rollen-Prozess-Matrix'!N2,'Kompetenz-Prozess-Matrix'!Q6)</f>
        <v>0</v>
      </c>
      <c r="K446" s="183">
        <f>PRODUCT('Rollen-Prozess-Matrix'!O2,'Kompetenz-Prozess-Matrix'!Q6)</f>
        <v>0</v>
      </c>
      <c r="L446" s="183">
        <f>PRODUCT('Rollen-Prozess-Matrix'!P2,'Kompetenz-Prozess-Matrix'!Q6)</f>
        <v>0</v>
      </c>
      <c r="M446" s="183">
        <f>PRODUCT('Rollen-Prozess-Matrix'!Q2,'Kompetenz-Prozess-Matrix'!Q6)</f>
        <v>0</v>
      </c>
      <c r="N446" s="183">
        <f>PRODUCT('Rollen-Prozess-Matrix'!R2,'Kompetenz-Prozess-Matrix'!Q6)</f>
        <v>0</v>
      </c>
      <c r="O446" s="183">
        <f>PRODUCT('Rollen-Prozess-Matrix'!S2,'Kompetenz-Prozess-Matrix'!Q6)</f>
        <v>0</v>
      </c>
      <c r="P446" s="183">
        <f>PRODUCT('Rollen-Prozess-Matrix'!T2,'Kompetenz-Prozess-Matrix'!Q6)</f>
        <v>0</v>
      </c>
      <c r="Q446" s="185">
        <f>PRODUCT('Rollen-Prozess-Matrix'!U2,'Kompetenz-Prozess-Matrix'!Q6)</f>
        <v>0</v>
      </c>
    </row>
    <row r="447" spans="1:19" ht="13.15" hidden="1" outlineLevel="1" thickBot="1" x14ac:dyDescent="0.4">
      <c r="A447" s="336"/>
      <c r="B447" s="330"/>
      <c r="C447" s="205" t="s">
        <v>127</v>
      </c>
      <c r="D447" s="182">
        <f>PRODUCT('Rollen-Prozess-Matrix'!H3,'Kompetenz-Prozess-Matrix'!Q7)</f>
        <v>0</v>
      </c>
      <c r="E447" s="183">
        <f>PRODUCT('Rollen-Prozess-Matrix'!I3,'Kompetenz-Prozess-Matrix'!Q7)</f>
        <v>0</v>
      </c>
      <c r="F447" s="183">
        <f>PRODUCT('Rollen-Prozess-Matrix'!J3,'Kompetenz-Prozess-Matrix'!Q7)</f>
        <v>0</v>
      </c>
      <c r="G447" s="183">
        <f>PRODUCT('Rollen-Prozess-Matrix'!K3,'Kompetenz-Prozess-Matrix'!Q7)</f>
        <v>0</v>
      </c>
      <c r="H447" s="183">
        <f>PRODUCT('Rollen-Prozess-Matrix'!L3,'Kompetenz-Prozess-Matrix'!Q7)</f>
        <v>0</v>
      </c>
      <c r="I447" s="183">
        <f>PRODUCT('Rollen-Prozess-Matrix'!M3,'Kompetenz-Prozess-Matrix'!Q7)</f>
        <v>0</v>
      </c>
      <c r="J447" s="183">
        <f>PRODUCT('Rollen-Prozess-Matrix'!N3,'Kompetenz-Prozess-Matrix'!Q7)</f>
        <v>0</v>
      </c>
      <c r="K447" s="183">
        <f>PRODUCT('Rollen-Prozess-Matrix'!O3,'Kompetenz-Prozess-Matrix'!Q7)</f>
        <v>0</v>
      </c>
      <c r="L447" s="183">
        <f>PRODUCT('Rollen-Prozess-Matrix'!P3,'Kompetenz-Prozess-Matrix'!Q7)</f>
        <v>0</v>
      </c>
      <c r="M447" s="183">
        <f>PRODUCT('Rollen-Prozess-Matrix'!Q3,'Kompetenz-Prozess-Matrix'!Q7)</f>
        <v>0</v>
      </c>
      <c r="N447" s="183">
        <f>PRODUCT('Rollen-Prozess-Matrix'!R3,'Kompetenz-Prozess-Matrix'!Q7)</f>
        <v>0</v>
      </c>
      <c r="O447" s="183">
        <f>PRODUCT('Rollen-Prozess-Matrix'!S3,'Kompetenz-Prozess-Matrix'!Q7)</f>
        <v>0</v>
      </c>
      <c r="P447" s="183">
        <f>PRODUCT('Rollen-Prozess-Matrix'!T3,'Kompetenz-Prozess-Matrix'!Q7)</f>
        <v>0</v>
      </c>
      <c r="Q447" s="185">
        <f>PRODUCT('Rollen-Prozess-Matrix'!U3,'Kompetenz-Prozess-Matrix'!Q7)</f>
        <v>0</v>
      </c>
    </row>
    <row r="448" spans="1:19" ht="51.4" hidden="1" outlineLevel="1" thickBot="1" x14ac:dyDescent="0.4">
      <c r="A448" s="336"/>
      <c r="B448" s="330"/>
      <c r="C448" s="205" t="s">
        <v>132</v>
      </c>
      <c r="D448" s="182">
        <f>PRODUCT('Rollen-Prozess-Matrix'!H4,'Kompetenz-Prozess-Matrix'!Q8)</f>
        <v>0</v>
      </c>
      <c r="E448" s="183">
        <f>PRODUCT('Rollen-Prozess-Matrix'!I4,'Kompetenz-Prozess-Matrix'!Q8)</f>
        <v>0</v>
      </c>
      <c r="F448" s="183">
        <f>PRODUCT('Rollen-Prozess-Matrix'!J4,'Kompetenz-Prozess-Matrix'!Q8)</f>
        <v>0</v>
      </c>
      <c r="G448" s="183">
        <f>PRODUCT('Rollen-Prozess-Matrix'!K4,'Kompetenz-Prozess-Matrix'!Q8)</f>
        <v>2</v>
      </c>
      <c r="H448" s="183">
        <f>PRODUCT('Rollen-Prozess-Matrix'!L4,'Kompetenz-Prozess-Matrix'!Q8)</f>
        <v>6</v>
      </c>
      <c r="I448" s="183">
        <f>PRODUCT('Rollen-Prozess-Matrix'!M4,'Kompetenz-Prozess-Matrix'!Q8)</f>
        <v>0</v>
      </c>
      <c r="J448" s="183">
        <f>PRODUCT('Rollen-Prozess-Matrix'!N4,'Kompetenz-Prozess-Matrix'!Q8)</f>
        <v>0</v>
      </c>
      <c r="K448" s="183">
        <f>PRODUCT('Rollen-Prozess-Matrix'!O4,'Kompetenz-Prozess-Matrix'!Q8)</f>
        <v>0</v>
      </c>
      <c r="L448" s="183">
        <f>PRODUCT('Rollen-Prozess-Matrix'!P4,'Kompetenz-Prozess-Matrix'!Q8)</f>
        <v>0</v>
      </c>
      <c r="M448" s="183">
        <f>PRODUCT('Rollen-Prozess-Matrix'!Q4,'Kompetenz-Prozess-Matrix'!Q8)</f>
        <v>0</v>
      </c>
      <c r="N448" s="183">
        <f>PRODUCT('Rollen-Prozess-Matrix'!R4,'Kompetenz-Prozess-Matrix'!Q8)</f>
        <v>0</v>
      </c>
      <c r="O448" s="183">
        <f>PRODUCT('Rollen-Prozess-Matrix'!S4,'Kompetenz-Prozess-Matrix'!Q8)</f>
        <v>0</v>
      </c>
      <c r="P448" s="183">
        <f>PRODUCT('Rollen-Prozess-Matrix'!T4,'Kompetenz-Prozess-Matrix'!Q8)</f>
        <v>0</v>
      </c>
      <c r="Q448" s="185">
        <f>PRODUCT('Rollen-Prozess-Matrix'!U4,'Kompetenz-Prozess-Matrix'!Q8)</f>
        <v>0</v>
      </c>
    </row>
    <row r="449" spans="1:17" ht="38.65" hidden="1" outlineLevel="1" thickBot="1" x14ac:dyDescent="0.4">
      <c r="A449" s="336"/>
      <c r="B449" s="330"/>
      <c r="C449" s="205" t="s">
        <v>136</v>
      </c>
      <c r="D449" s="182">
        <f>PRODUCT('Rollen-Prozess-Matrix'!H5,'Kompetenz-Prozess-Matrix'!Q9)</f>
        <v>0</v>
      </c>
      <c r="E449" s="183">
        <f>PRODUCT('Rollen-Prozess-Matrix'!I5,'Kompetenz-Prozess-Matrix'!Q9)</f>
        <v>0</v>
      </c>
      <c r="F449" s="183">
        <f>PRODUCT('Rollen-Prozess-Matrix'!J5,'Kompetenz-Prozess-Matrix'!Q9)</f>
        <v>0</v>
      </c>
      <c r="G449" s="183">
        <f>PRODUCT('Rollen-Prozess-Matrix'!K5,'Kompetenz-Prozess-Matrix'!Q9)</f>
        <v>2</v>
      </c>
      <c r="H449" s="183">
        <f>PRODUCT('Rollen-Prozess-Matrix'!L5,'Kompetenz-Prozess-Matrix'!Q9)</f>
        <v>3</v>
      </c>
      <c r="I449" s="183">
        <f>PRODUCT('Rollen-Prozess-Matrix'!M5,'Kompetenz-Prozess-Matrix'!Q9)</f>
        <v>0</v>
      </c>
      <c r="J449" s="183">
        <f>PRODUCT('Rollen-Prozess-Matrix'!N5,'Kompetenz-Prozess-Matrix'!Q9)</f>
        <v>0</v>
      </c>
      <c r="K449" s="183">
        <f>PRODUCT('Rollen-Prozess-Matrix'!O5,'Kompetenz-Prozess-Matrix'!Q9)</f>
        <v>0</v>
      </c>
      <c r="L449" s="183">
        <f>PRODUCT('Rollen-Prozess-Matrix'!P5,'Kompetenz-Prozess-Matrix'!Q9)</f>
        <v>0</v>
      </c>
      <c r="M449" s="183">
        <f>PRODUCT('Rollen-Prozess-Matrix'!Q5,'Kompetenz-Prozess-Matrix'!Q9)</f>
        <v>0</v>
      </c>
      <c r="N449" s="183">
        <f>PRODUCT('Rollen-Prozess-Matrix'!R5,'Kompetenz-Prozess-Matrix'!Q9)</f>
        <v>0</v>
      </c>
      <c r="O449" s="183">
        <f>PRODUCT('Rollen-Prozess-Matrix'!S5,'Kompetenz-Prozess-Matrix'!Q9)</f>
        <v>0</v>
      </c>
      <c r="P449" s="183">
        <f>PRODUCT('Rollen-Prozess-Matrix'!T5,'Kompetenz-Prozess-Matrix'!Q9)</f>
        <v>0</v>
      </c>
      <c r="Q449" s="185">
        <f>PRODUCT('Rollen-Prozess-Matrix'!U5,'Kompetenz-Prozess-Matrix'!Q9)</f>
        <v>0</v>
      </c>
    </row>
    <row r="450" spans="1:17" ht="38.65" hidden="1" outlineLevel="1" thickBot="1" x14ac:dyDescent="0.4">
      <c r="A450" s="336"/>
      <c r="B450" s="330"/>
      <c r="C450" s="205" t="s">
        <v>140</v>
      </c>
      <c r="D450" s="182">
        <f>PRODUCT('Rollen-Prozess-Matrix'!H6,'Kompetenz-Prozess-Matrix'!Q10)</f>
        <v>0</v>
      </c>
      <c r="E450" s="183">
        <f>PRODUCT('Rollen-Prozess-Matrix'!I6,'Kompetenz-Prozess-Matrix'!Q10)</f>
        <v>2</v>
      </c>
      <c r="F450" s="183">
        <f>PRODUCT('Rollen-Prozess-Matrix'!J6,'Kompetenz-Prozess-Matrix'!Q10)</f>
        <v>2</v>
      </c>
      <c r="G450" s="183">
        <f>PRODUCT('Rollen-Prozess-Matrix'!K6,'Kompetenz-Prozess-Matrix'!Q10)</f>
        <v>0</v>
      </c>
      <c r="H450" s="183">
        <f>PRODUCT('Rollen-Prozess-Matrix'!L6,'Kompetenz-Prozess-Matrix'!Q10)</f>
        <v>6</v>
      </c>
      <c r="I450" s="183">
        <f>PRODUCT('Rollen-Prozess-Matrix'!M6,'Kompetenz-Prozess-Matrix'!Q10)</f>
        <v>0</v>
      </c>
      <c r="J450" s="183">
        <f>PRODUCT('Rollen-Prozess-Matrix'!N6,'Kompetenz-Prozess-Matrix'!Q10)</f>
        <v>0</v>
      </c>
      <c r="K450" s="183">
        <f>PRODUCT('Rollen-Prozess-Matrix'!O6,'Kompetenz-Prozess-Matrix'!Q10)</f>
        <v>0</v>
      </c>
      <c r="L450" s="183">
        <f>PRODUCT('Rollen-Prozess-Matrix'!P6,'Kompetenz-Prozess-Matrix'!Q10)</f>
        <v>0</v>
      </c>
      <c r="M450" s="183">
        <f>PRODUCT('Rollen-Prozess-Matrix'!Q6,'Kompetenz-Prozess-Matrix'!Q10)</f>
        <v>0</v>
      </c>
      <c r="N450" s="183">
        <f>PRODUCT('Rollen-Prozess-Matrix'!R6,'Kompetenz-Prozess-Matrix'!Q10)</f>
        <v>0</v>
      </c>
      <c r="O450" s="183">
        <f>PRODUCT('Rollen-Prozess-Matrix'!S6,'Kompetenz-Prozess-Matrix'!Q10)</f>
        <v>0</v>
      </c>
      <c r="P450" s="183">
        <f>PRODUCT('Rollen-Prozess-Matrix'!T6,'Kompetenz-Prozess-Matrix'!Q10)</f>
        <v>4</v>
      </c>
      <c r="Q450" s="185">
        <f>PRODUCT('Rollen-Prozess-Matrix'!U6,'Kompetenz-Prozess-Matrix'!Q10)</f>
        <v>2</v>
      </c>
    </row>
    <row r="451" spans="1:17" ht="38.65" hidden="1" outlineLevel="1" thickBot="1" x14ac:dyDescent="0.4">
      <c r="A451" s="336"/>
      <c r="B451" s="330"/>
      <c r="C451" s="205" t="s">
        <v>144</v>
      </c>
      <c r="D451" s="182">
        <f>PRODUCT('Rollen-Prozess-Matrix'!H7,'Kompetenz-Prozess-Matrix'!Q11)</f>
        <v>0</v>
      </c>
      <c r="E451" s="183">
        <f>PRODUCT('Rollen-Prozess-Matrix'!I7,'Kompetenz-Prozess-Matrix'!Q11)</f>
        <v>0</v>
      </c>
      <c r="F451" s="183">
        <f>PRODUCT('Rollen-Prozess-Matrix'!J7,'Kompetenz-Prozess-Matrix'!Q11)</f>
        <v>0</v>
      </c>
      <c r="G451" s="183">
        <f>PRODUCT('Rollen-Prozess-Matrix'!K7,'Kompetenz-Prozess-Matrix'!Q11)</f>
        <v>0</v>
      </c>
      <c r="H451" s="183">
        <f>PRODUCT('Rollen-Prozess-Matrix'!L7,'Kompetenz-Prozess-Matrix'!Q11)</f>
        <v>0</v>
      </c>
      <c r="I451" s="183">
        <f>PRODUCT('Rollen-Prozess-Matrix'!M7,'Kompetenz-Prozess-Matrix'!Q11)</f>
        <v>0</v>
      </c>
      <c r="J451" s="183">
        <f>PRODUCT('Rollen-Prozess-Matrix'!N7,'Kompetenz-Prozess-Matrix'!Q11)</f>
        <v>0</v>
      </c>
      <c r="K451" s="183">
        <f>PRODUCT('Rollen-Prozess-Matrix'!O7,'Kompetenz-Prozess-Matrix'!Q11)</f>
        <v>0</v>
      </c>
      <c r="L451" s="183">
        <f>PRODUCT('Rollen-Prozess-Matrix'!P7,'Kompetenz-Prozess-Matrix'!Q11)</f>
        <v>0</v>
      </c>
      <c r="M451" s="183">
        <f>PRODUCT('Rollen-Prozess-Matrix'!Q7,'Kompetenz-Prozess-Matrix'!Q11)</f>
        <v>0</v>
      </c>
      <c r="N451" s="183">
        <f>PRODUCT('Rollen-Prozess-Matrix'!R7,'Kompetenz-Prozess-Matrix'!Q11)</f>
        <v>0</v>
      </c>
      <c r="O451" s="183">
        <f>PRODUCT('Rollen-Prozess-Matrix'!S7,'Kompetenz-Prozess-Matrix'!Q11)</f>
        <v>0</v>
      </c>
      <c r="P451" s="183">
        <f>PRODUCT('Rollen-Prozess-Matrix'!T7,'Kompetenz-Prozess-Matrix'!Q11)</f>
        <v>0</v>
      </c>
      <c r="Q451" s="185">
        <f>PRODUCT('Rollen-Prozess-Matrix'!U7,'Kompetenz-Prozess-Matrix'!Q11)</f>
        <v>0</v>
      </c>
    </row>
    <row r="452" spans="1:17" ht="38.65" hidden="1" outlineLevel="1" thickBot="1" x14ac:dyDescent="0.4">
      <c r="A452" s="336"/>
      <c r="B452" s="330"/>
      <c r="C452" s="205" t="s">
        <v>148</v>
      </c>
      <c r="D452" s="182">
        <f>PRODUCT('Rollen-Prozess-Matrix'!H8,'Kompetenz-Prozess-Matrix'!Q12)</f>
        <v>0</v>
      </c>
      <c r="E452" s="183">
        <f>PRODUCT('Rollen-Prozess-Matrix'!I8,'Kompetenz-Prozess-Matrix'!Q12)</f>
        <v>0</v>
      </c>
      <c r="F452" s="183">
        <f>PRODUCT('Rollen-Prozess-Matrix'!J8,'Kompetenz-Prozess-Matrix'!Q12)</f>
        <v>0</v>
      </c>
      <c r="G452" s="183">
        <f>PRODUCT('Rollen-Prozess-Matrix'!K8,'Kompetenz-Prozess-Matrix'!Q12)</f>
        <v>0</v>
      </c>
      <c r="H452" s="183">
        <f>PRODUCT('Rollen-Prozess-Matrix'!L8,'Kompetenz-Prozess-Matrix'!Q12)</f>
        <v>0</v>
      </c>
      <c r="I452" s="183">
        <f>PRODUCT('Rollen-Prozess-Matrix'!M8,'Kompetenz-Prozess-Matrix'!Q12)</f>
        <v>0</v>
      </c>
      <c r="J452" s="183">
        <f>PRODUCT('Rollen-Prozess-Matrix'!N8,'Kompetenz-Prozess-Matrix'!Q12)</f>
        <v>0</v>
      </c>
      <c r="K452" s="183">
        <f>PRODUCT('Rollen-Prozess-Matrix'!O8,'Kompetenz-Prozess-Matrix'!Q12)</f>
        <v>0</v>
      </c>
      <c r="L452" s="183">
        <f>PRODUCT('Rollen-Prozess-Matrix'!P8,'Kompetenz-Prozess-Matrix'!Q12)</f>
        <v>0</v>
      </c>
      <c r="M452" s="183">
        <f>PRODUCT('Rollen-Prozess-Matrix'!Q8,'Kompetenz-Prozess-Matrix'!Q12)</f>
        <v>0</v>
      </c>
      <c r="N452" s="183">
        <f>PRODUCT('Rollen-Prozess-Matrix'!R8,'Kompetenz-Prozess-Matrix'!Q12)</f>
        <v>0</v>
      </c>
      <c r="O452" s="183">
        <f>PRODUCT('Rollen-Prozess-Matrix'!S8,'Kompetenz-Prozess-Matrix'!Q12)</f>
        <v>0</v>
      </c>
      <c r="P452" s="183">
        <f>PRODUCT('Rollen-Prozess-Matrix'!T8,'Kompetenz-Prozess-Matrix'!Q12)</f>
        <v>0</v>
      </c>
      <c r="Q452" s="185">
        <f>PRODUCT('Rollen-Prozess-Matrix'!U8,'Kompetenz-Prozess-Matrix'!Q12)</f>
        <v>0</v>
      </c>
    </row>
    <row r="453" spans="1:17" ht="38.65" hidden="1" outlineLevel="1" thickBot="1" x14ac:dyDescent="0.4">
      <c r="A453" s="336"/>
      <c r="B453" s="330"/>
      <c r="C453" s="205" t="s">
        <v>152</v>
      </c>
      <c r="D453" s="182">
        <f>PRODUCT('Rollen-Prozess-Matrix'!H9,'Kompetenz-Prozess-Matrix'!Q13)</f>
        <v>0</v>
      </c>
      <c r="E453" s="183">
        <f>PRODUCT('Rollen-Prozess-Matrix'!I9,'Kompetenz-Prozess-Matrix'!Q13)</f>
        <v>0</v>
      </c>
      <c r="F453" s="183">
        <f>PRODUCT('Rollen-Prozess-Matrix'!J9,'Kompetenz-Prozess-Matrix'!Q13)</f>
        <v>0</v>
      </c>
      <c r="G453" s="183">
        <f>PRODUCT('Rollen-Prozess-Matrix'!K9,'Kompetenz-Prozess-Matrix'!Q13)</f>
        <v>0</v>
      </c>
      <c r="H453" s="183">
        <f>PRODUCT('Rollen-Prozess-Matrix'!L9,'Kompetenz-Prozess-Matrix'!Q13)</f>
        <v>0</v>
      </c>
      <c r="I453" s="183">
        <f>PRODUCT('Rollen-Prozess-Matrix'!M9,'Kompetenz-Prozess-Matrix'!Q13)</f>
        <v>0</v>
      </c>
      <c r="J453" s="183">
        <f>PRODUCT('Rollen-Prozess-Matrix'!N9,'Kompetenz-Prozess-Matrix'!Q13)</f>
        <v>0</v>
      </c>
      <c r="K453" s="183">
        <f>PRODUCT('Rollen-Prozess-Matrix'!O9,'Kompetenz-Prozess-Matrix'!Q13)</f>
        <v>0</v>
      </c>
      <c r="L453" s="183">
        <f>PRODUCT('Rollen-Prozess-Matrix'!P9,'Kompetenz-Prozess-Matrix'!Q13)</f>
        <v>0</v>
      </c>
      <c r="M453" s="183">
        <f>PRODUCT('Rollen-Prozess-Matrix'!Q9,'Kompetenz-Prozess-Matrix'!Q13)</f>
        <v>0</v>
      </c>
      <c r="N453" s="183">
        <f>PRODUCT('Rollen-Prozess-Matrix'!R9,'Kompetenz-Prozess-Matrix'!Q13)</f>
        <v>0</v>
      </c>
      <c r="O453" s="183">
        <f>PRODUCT('Rollen-Prozess-Matrix'!S9,'Kompetenz-Prozess-Matrix'!Q13)</f>
        <v>0</v>
      </c>
      <c r="P453" s="183">
        <f>PRODUCT('Rollen-Prozess-Matrix'!T9,'Kompetenz-Prozess-Matrix'!Q13)</f>
        <v>0</v>
      </c>
      <c r="Q453" s="185">
        <f>PRODUCT('Rollen-Prozess-Matrix'!U9,'Kompetenz-Prozess-Matrix'!Q13)</f>
        <v>0</v>
      </c>
    </row>
    <row r="454" spans="1:17" ht="38.65" hidden="1" outlineLevel="1" thickBot="1" x14ac:dyDescent="0.4">
      <c r="A454" s="336"/>
      <c r="B454" s="330"/>
      <c r="C454" s="205" t="s">
        <v>157</v>
      </c>
      <c r="D454" s="182">
        <f>PRODUCT('Rollen-Prozess-Matrix'!H10,'Kompetenz-Prozess-Matrix'!Q14)</f>
        <v>0</v>
      </c>
      <c r="E454" s="183">
        <f>PRODUCT('Rollen-Prozess-Matrix'!I10,'Kompetenz-Prozess-Matrix'!Q14)</f>
        <v>0</v>
      </c>
      <c r="F454" s="183">
        <f>PRODUCT('Rollen-Prozess-Matrix'!J10,'Kompetenz-Prozess-Matrix'!Q14)</f>
        <v>2</v>
      </c>
      <c r="G454" s="183">
        <f>PRODUCT('Rollen-Prozess-Matrix'!K10,'Kompetenz-Prozess-Matrix'!Q14)</f>
        <v>0</v>
      </c>
      <c r="H454" s="183">
        <f>PRODUCT('Rollen-Prozess-Matrix'!L10,'Kompetenz-Prozess-Matrix'!Q14)</f>
        <v>3</v>
      </c>
      <c r="I454" s="183">
        <f>PRODUCT('Rollen-Prozess-Matrix'!M10,'Kompetenz-Prozess-Matrix'!Q14)</f>
        <v>0</v>
      </c>
      <c r="J454" s="183">
        <f>PRODUCT('Rollen-Prozess-Matrix'!N10,'Kompetenz-Prozess-Matrix'!Q14)</f>
        <v>0</v>
      </c>
      <c r="K454" s="183">
        <f>PRODUCT('Rollen-Prozess-Matrix'!O10,'Kompetenz-Prozess-Matrix'!Q14)</f>
        <v>0</v>
      </c>
      <c r="L454" s="183">
        <f>PRODUCT('Rollen-Prozess-Matrix'!P10,'Kompetenz-Prozess-Matrix'!Q14)</f>
        <v>0</v>
      </c>
      <c r="M454" s="183">
        <f>PRODUCT('Rollen-Prozess-Matrix'!Q10,'Kompetenz-Prozess-Matrix'!Q14)</f>
        <v>0</v>
      </c>
      <c r="N454" s="183">
        <f>PRODUCT('Rollen-Prozess-Matrix'!R10,'Kompetenz-Prozess-Matrix'!Q14)</f>
        <v>0</v>
      </c>
      <c r="O454" s="183">
        <f>PRODUCT('Rollen-Prozess-Matrix'!S10,'Kompetenz-Prozess-Matrix'!Q14)</f>
        <v>0</v>
      </c>
      <c r="P454" s="183">
        <f>PRODUCT('Rollen-Prozess-Matrix'!T10,'Kompetenz-Prozess-Matrix'!Q14)</f>
        <v>0</v>
      </c>
      <c r="Q454" s="185">
        <f>PRODUCT('Rollen-Prozess-Matrix'!U10,'Kompetenz-Prozess-Matrix'!Q14)</f>
        <v>0</v>
      </c>
    </row>
    <row r="455" spans="1:17" ht="38.65" hidden="1" outlineLevel="1" thickBot="1" x14ac:dyDescent="0.4">
      <c r="A455" s="336"/>
      <c r="B455" s="330"/>
      <c r="C455" s="205" t="s">
        <v>161</v>
      </c>
      <c r="D455" s="182">
        <f>PRODUCT('Rollen-Prozess-Matrix'!H11,'Kompetenz-Prozess-Matrix'!Q15)</f>
        <v>0</v>
      </c>
      <c r="E455" s="183">
        <f>PRODUCT('Rollen-Prozess-Matrix'!I11,'Kompetenz-Prozess-Matrix'!Q15)</f>
        <v>0</v>
      </c>
      <c r="F455" s="183">
        <f>PRODUCT('Rollen-Prozess-Matrix'!J11,'Kompetenz-Prozess-Matrix'!Q15)</f>
        <v>2</v>
      </c>
      <c r="G455" s="183">
        <f>PRODUCT('Rollen-Prozess-Matrix'!K11,'Kompetenz-Prozess-Matrix'!Q15)</f>
        <v>0</v>
      </c>
      <c r="H455" s="183">
        <f>PRODUCT('Rollen-Prozess-Matrix'!L11,'Kompetenz-Prozess-Matrix'!Q15)</f>
        <v>3</v>
      </c>
      <c r="I455" s="183">
        <f>PRODUCT('Rollen-Prozess-Matrix'!M11,'Kompetenz-Prozess-Matrix'!Q15)</f>
        <v>0</v>
      </c>
      <c r="J455" s="183">
        <f>PRODUCT('Rollen-Prozess-Matrix'!N11,'Kompetenz-Prozess-Matrix'!Q15)</f>
        <v>0</v>
      </c>
      <c r="K455" s="183">
        <f>PRODUCT('Rollen-Prozess-Matrix'!O11,'Kompetenz-Prozess-Matrix'!Q15)</f>
        <v>0</v>
      </c>
      <c r="L455" s="183">
        <f>PRODUCT('Rollen-Prozess-Matrix'!P11,'Kompetenz-Prozess-Matrix'!Q15)</f>
        <v>0</v>
      </c>
      <c r="M455" s="183">
        <f>PRODUCT('Rollen-Prozess-Matrix'!Q11,'Kompetenz-Prozess-Matrix'!Q15)</f>
        <v>0</v>
      </c>
      <c r="N455" s="183">
        <f>PRODUCT('Rollen-Prozess-Matrix'!R11,'Kompetenz-Prozess-Matrix'!Q15)</f>
        <v>0</v>
      </c>
      <c r="O455" s="183">
        <f>PRODUCT('Rollen-Prozess-Matrix'!S11,'Kompetenz-Prozess-Matrix'!Q15)</f>
        <v>0</v>
      </c>
      <c r="P455" s="183">
        <f>PRODUCT('Rollen-Prozess-Matrix'!T11,'Kompetenz-Prozess-Matrix'!Q15)</f>
        <v>0</v>
      </c>
      <c r="Q455" s="185">
        <f>PRODUCT('Rollen-Prozess-Matrix'!U11,'Kompetenz-Prozess-Matrix'!Q15)</f>
        <v>1</v>
      </c>
    </row>
    <row r="456" spans="1:17" ht="38.65" hidden="1" outlineLevel="1" thickBot="1" x14ac:dyDescent="0.4">
      <c r="A456" s="336"/>
      <c r="B456" s="330"/>
      <c r="C456" s="205" t="s">
        <v>288</v>
      </c>
      <c r="D456" s="182">
        <f>PRODUCT('Rollen-Prozess-Matrix'!H12,'Kompetenz-Prozess-Matrix'!Q16)</f>
        <v>0</v>
      </c>
      <c r="E456" s="183">
        <f>PRODUCT('Rollen-Prozess-Matrix'!I12,'Kompetenz-Prozess-Matrix'!Q16)</f>
        <v>4</v>
      </c>
      <c r="F456" s="183">
        <f>PRODUCT('Rollen-Prozess-Matrix'!J12,'Kompetenz-Prozess-Matrix'!Q16)</f>
        <v>4</v>
      </c>
      <c r="G456" s="183">
        <f>PRODUCT('Rollen-Prozess-Matrix'!K12,'Kompetenz-Prozess-Matrix'!Q16)</f>
        <v>0</v>
      </c>
      <c r="H456" s="183">
        <f>PRODUCT('Rollen-Prozess-Matrix'!L12,'Kompetenz-Prozess-Matrix'!Q16)</f>
        <v>6</v>
      </c>
      <c r="I456" s="183">
        <f>PRODUCT('Rollen-Prozess-Matrix'!M12,'Kompetenz-Prozess-Matrix'!Q16)</f>
        <v>4</v>
      </c>
      <c r="J456" s="183">
        <f>PRODUCT('Rollen-Prozess-Matrix'!N12,'Kompetenz-Prozess-Matrix'!Q16)</f>
        <v>2</v>
      </c>
      <c r="K456" s="183">
        <f>PRODUCT('Rollen-Prozess-Matrix'!O12,'Kompetenz-Prozess-Matrix'!Q16)</f>
        <v>2</v>
      </c>
      <c r="L456" s="183">
        <f>PRODUCT('Rollen-Prozess-Matrix'!P12,'Kompetenz-Prozess-Matrix'!Q16)</f>
        <v>2</v>
      </c>
      <c r="M456" s="183">
        <f>PRODUCT('Rollen-Prozess-Matrix'!Q12,'Kompetenz-Prozess-Matrix'!Q16)</f>
        <v>0</v>
      </c>
      <c r="N456" s="183">
        <f>PRODUCT('Rollen-Prozess-Matrix'!R12,'Kompetenz-Prozess-Matrix'!Q16)</f>
        <v>0</v>
      </c>
      <c r="O456" s="183">
        <f>PRODUCT('Rollen-Prozess-Matrix'!S12,'Kompetenz-Prozess-Matrix'!Q16)</f>
        <v>0</v>
      </c>
      <c r="P456" s="183">
        <f>PRODUCT('Rollen-Prozess-Matrix'!T12,'Kompetenz-Prozess-Matrix'!Q16)</f>
        <v>2</v>
      </c>
      <c r="Q456" s="185">
        <f>PRODUCT('Rollen-Prozess-Matrix'!U12,'Kompetenz-Prozess-Matrix'!Q16)</f>
        <v>4</v>
      </c>
    </row>
    <row r="457" spans="1:17" ht="25.9" hidden="1" outlineLevel="1" thickBot="1" x14ac:dyDescent="0.4">
      <c r="A457" s="336"/>
      <c r="B457" s="330"/>
      <c r="C457" s="205" t="s">
        <v>169</v>
      </c>
      <c r="D457" s="182">
        <f>PRODUCT('Rollen-Prozess-Matrix'!H13,'Kompetenz-Prozess-Matrix'!Q17)</f>
        <v>0</v>
      </c>
      <c r="E457" s="183">
        <f>PRODUCT('Rollen-Prozess-Matrix'!I13,'Kompetenz-Prozess-Matrix'!Q17)</f>
        <v>2</v>
      </c>
      <c r="F457" s="183">
        <f>PRODUCT('Rollen-Prozess-Matrix'!J13,'Kompetenz-Prozess-Matrix'!Q17)</f>
        <v>4</v>
      </c>
      <c r="G457" s="183">
        <f>PRODUCT('Rollen-Prozess-Matrix'!K13,'Kompetenz-Prozess-Matrix'!Q17)</f>
        <v>0</v>
      </c>
      <c r="H457" s="183">
        <f>PRODUCT('Rollen-Prozess-Matrix'!L13,'Kompetenz-Prozess-Matrix'!Q17)</f>
        <v>6</v>
      </c>
      <c r="I457" s="183">
        <f>PRODUCT('Rollen-Prozess-Matrix'!M13,'Kompetenz-Prozess-Matrix'!Q17)</f>
        <v>4</v>
      </c>
      <c r="J457" s="183">
        <f>PRODUCT('Rollen-Prozess-Matrix'!N13,'Kompetenz-Prozess-Matrix'!Q17)</f>
        <v>2</v>
      </c>
      <c r="K457" s="183">
        <f>PRODUCT('Rollen-Prozess-Matrix'!O13,'Kompetenz-Prozess-Matrix'!Q17)</f>
        <v>2</v>
      </c>
      <c r="L457" s="183">
        <f>PRODUCT('Rollen-Prozess-Matrix'!P13,'Kompetenz-Prozess-Matrix'!Q17)</f>
        <v>0</v>
      </c>
      <c r="M457" s="183">
        <f>PRODUCT('Rollen-Prozess-Matrix'!Q13,'Kompetenz-Prozess-Matrix'!Q17)</f>
        <v>0</v>
      </c>
      <c r="N457" s="183">
        <f>PRODUCT('Rollen-Prozess-Matrix'!R13,'Kompetenz-Prozess-Matrix'!Q17)</f>
        <v>0</v>
      </c>
      <c r="O457" s="183">
        <f>PRODUCT('Rollen-Prozess-Matrix'!S13,'Kompetenz-Prozess-Matrix'!Q17)</f>
        <v>2</v>
      </c>
      <c r="P457" s="183">
        <f>PRODUCT('Rollen-Prozess-Matrix'!T13,'Kompetenz-Prozess-Matrix'!Q17)</f>
        <v>0</v>
      </c>
      <c r="Q457" s="185">
        <f>PRODUCT('Rollen-Prozess-Matrix'!U13,'Kompetenz-Prozess-Matrix'!Q17)</f>
        <v>0</v>
      </c>
    </row>
    <row r="458" spans="1:17" ht="64.150000000000006" hidden="1" outlineLevel="1" thickBot="1" x14ac:dyDescent="0.4">
      <c r="A458" s="336"/>
      <c r="B458" s="330"/>
      <c r="C458" s="205" t="s">
        <v>173</v>
      </c>
      <c r="D458" s="182">
        <f>PRODUCT('Rollen-Prozess-Matrix'!H14,'Kompetenz-Prozess-Matrix'!Q18)</f>
        <v>0</v>
      </c>
      <c r="E458" s="183">
        <f>PRODUCT('Rollen-Prozess-Matrix'!I14,'Kompetenz-Prozess-Matrix'!Q18)</f>
        <v>0</v>
      </c>
      <c r="F458" s="183">
        <f>PRODUCT('Rollen-Prozess-Matrix'!J14,'Kompetenz-Prozess-Matrix'!Q18)</f>
        <v>0</v>
      </c>
      <c r="G458" s="183">
        <f>PRODUCT('Rollen-Prozess-Matrix'!K14,'Kompetenz-Prozess-Matrix'!Q18)</f>
        <v>0</v>
      </c>
      <c r="H458" s="183">
        <f>PRODUCT('Rollen-Prozess-Matrix'!L14,'Kompetenz-Prozess-Matrix'!Q18)</f>
        <v>0</v>
      </c>
      <c r="I458" s="183">
        <f>PRODUCT('Rollen-Prozess-Matrix'!M14,'Kompetenz-Prozess-Matrix'!Q18)</f>
        <v>0</v>
      </c>
      <c r="J458" s="183">
        <f>PRODUCT('Rollen-Prozess-Matrix'!N14,'Kompetenz-Prozess-Matrix'!Q18)</f>
        <v>0</v>
      </c>
      <c r="K458" s="183">
        <f>PRODUCT('Rollen-Prozess-Matrix'!O14,'Kompetenz-Prozess-Matrix'!Q18)</f>
        <v>0</v>
      </c>
      <c r="L458" s="183">
        <f>PRODUCT('Rollen-Prozess-Matrix'!P14,'Kompetenz-Prozess-Matrix'!Q18)</f>
        <v>0</v>
      </c>
      <c r="M458" s="183">
        <f>PRODUCT('Rollen-Prozess-Matrix'!Q14,'Kompetenz-Prozess-Matrix'!Q18)</f>
        <v>0</v>
      </c>
      <c r="N458" s="183">
        <f>PRODUCT('Rollen-Prozess-Matrix'!R14,'Kompetenz-Prozess-Matrix'!Q18)</f>
        <v>0</v>
      </c>
      <c r="O458" s="183">
        <f>PRODUCT('Rollen-Prozess-Matrix'!S14,'Kompetenz-Prozess-Matrix'!Q18)</f>
        <v>0</v>
      </c>
      <c r="P458" s="183">
        <f>PRODUCT('Rollen-Prozess-Matrix'!T14,'Kompetenz-Prozess-Matrix'!Q18)</f>
        <v>0</v>
      </c>
      <c r="Q458" s="185">
        <f>PRODUCT('Rollen-Prozess-Matrix'!U14,'Kompetenz-Prozess-Matrix'!Q18)</f>
        <v>0</v>
      </c>
    </row>
    <row r="459" spans="1:17" ht="38.65" hidden="1" outlineLevel="1" thickBot="1" x14ac:dyDescent="0.4">
      <c r="A459" s="336"/>
      <c r="B459" s="330"/>
      <c r="C459" s="205" t="s">
        <v>177</v>
      </c>
      <c r="D459" s="182">
        <f>PRODUCT('Rollen-Prozess-Matrix'!H15,'Kompetenz-Prozess-Matrix'!Q19)</f>
        <v>0</v>
      </c>
      <c r="E459" s="183">
        <f>PRODUCT('Rollen-Prozess-Matrix'!I15,'Kompetenz-Prozess-Matrix'!Q19)</f>
        <v>0</v>
      </c>
      <c r="F459" s="183">
        <f>PRODUCT('Rollen-Prozess-Matrix'!J15,'Kompetenz-Prozess-Matrix'!Q19)</f>
        <v>0</v>
      </c>
      <c r="G459" s="183">
        <f>PRODUCT('Rollen-Prozess-Matrix'!K15,'Kompetenz-Prozess-Matrix'!Q19)</f>
        <v>0</v>
      </c>
      <c r="H459" s="183">
        <f>PRODUCT('Rollen-Prozess-Matrix'!L15,'Kompetenz-Prozess-Matrix'!Q19)</f>
        <v>0</v>
      </c>
      <c r="I459" s="183">
        <f>PRODUCT('Rollen-Prozess-Matrix'!M15,'Kompetenz-Prozess-Matrix'!Q19)</f>
        <v>0</v>
      </c>
      <c r="J459" s="183">
        <f>PRODUCT('Rollen-Prozess-Matrix'!N15,'Kompetenz-Prozess-Matrix'!Q19)</f>
        <v>0</v>
      </c>
      <c r="K459" s="183">
        <f>PRODUCT('Rollen-Prozess-Matrix'!O15,'Kompetenz-Prozess-Matrix'!Q19)</f>
        <v>0</v>
      </c>
      <c r="L459" s="183">
        <f>PRODUCT('Rollen-Prozess-Matrix'!P15,'Kompetenz-Prozess-Matrix'!Q19)</f>
        <v>0</v>
      </c>
      <c r="M459" s="183">
        <f>PRODUCT('Rollen-Prozess-Matrix'!Q15,'Kompetenz-Prozess-Matrix'!Q19)</f>
        <v>0</v>
      </c>
      <c r="N459" s="183">
        <f>PRODUCT('Rollen-Prozess-Matrix'!R15,'Kompetenz-Prozess-Matrix'!Q19)</f>
        <v>0</v>
      </c>
      <c r="O459" s="183">
        <f>PRODUCT('Rollen-Prozess-Matrix'!S15,'Kompetenz-Prozess-Matrix'!Q19)</f>
        <v>0</v>
      </c>
      <c r="P459" s="183">
        <f>PRODUCT('Rollen-Prozess-Matrix'!T15,'Kompetenz-Prozess-Matrix'!Q19)</f>
        <v>0</v>
      </c>
      <c r="Q459" s="185">
        <f>PRODUCT('Rollen-Prozess-Matrix'!U15,'Kompetenz-Prozess-Matrix'!Q19)</f>
        <v>0</v>
      </c>
    </row>
    <row r="460" spans="1:17" ht="13.15" hidden="1" outlineLevel="1" thickBot="1" x14ac:dyDescent="0.4">
      <c r="A460" s="336"/>
      <c r="B460" s="330"/>
      <c r="C460" s="205" t="s">
        <v>181</v>
      </c>
      <c r="D460" s="182">
        <f>PRODUCT('Rollen-Prozess-Matrix'!H16,'Kompetenz-Prozess-Matrix'!Q20)</f>
        <v>0</v>
      </c>
      <c r="E460" s="183">
        <f>PRODUCT('Rollen-Prozess-Matrix'!I16,'Kompetenz-Prozess-Matrix'!Q20)</f>
        <v>0</v>
      </c>
      <c r="F460" s="183">
        <f>PRODUCT('Rollen-Prozess-Matrix'!J16,'Kompetenz-Prozess-Matrix'!Q20)</f>
        <v>0</v>
      </c>
      <c r="G460" s="183">
        <f>PRODUCT('Rollen-Prozess-Matrix'!K16,'Kompetenz-Prozess-Matrix'!Q20)</f>
        <v>0</v>
      </c>
      <c r="H460" s="183">
        <f>PRODUCT('Rollen-Prozess-Matrix'!L16,'Kompetenz-Prozess-Matrix'!Q20)</f>
        <v>0</v>
      </c>
      <c r="I460" s="183">
        <f>PRODUCT('Rollen-Prozess-Matrix'!M16,'Kompetenz-Prozess-Matrix'!Q20)</f>
        <v>0</v>
      </c>
      <c r="J460" s="183">
        <f>PRODUCT('Rollen-Prozess-Matrix'!N16,'Kompetenz-Prozess-Matrix'!Q20)</f>
        <v>0</v>
      </c>
      <c r="K460" s="183">
        <f>PRODUCT('Rollen-Prozess-Matrix'!O16,'Kompetenz-Prozess-Matrix'!Q20)</f>
        <v>0</v>
      </c>
      <c r="L460" s="183">
        <f>PRODUCT('Rollen-Prozess-Matrix'!P16,'Kompetenz-Prozess-Matrix'!Q20)</f>
        <v>0</v>
      </c>
      <c r="M460" s="183">
        <f>PRODUCT('Rollen-Prozess-Matrix'!Q16,'Kompetenz-Prozess-Matrix'!Q20)</f>
        <v>0</v>
      </c>
      <c r="N460" s="183">
        <f>PRODUCT('Rollen-Prozess-Matrix'!R16,'Kompetenz-Prozess-Matrix'!Q20)</f>
        <v>0</v>
      </c>
      <c r="O460" s="183">
        <f>PRODUCT('Rollen-Prozess-Matrix'!S16,'Kompetenz-Prozess-Matrix'!Q20)</f>
        <v>0</v>
      </c>
      <c r="P460" s="183">
        <f>PRODUCT('Rollen-Prozess-Matrix'!T16,'Kompetenz-Prozess-Matrix'!Q20)</f>
        <v>0</v>
      </c>
      <c r="Q460" s="185">
        <f>PRODUCT('Rollen-Prozess-Matrix'!U16,'Kompetenz-Prozess-Matrix'!Q20)</f>
        <v>0</v>
      </c>
    </row>
    <row r="461" spans="1:17" ht="38.65" hidden="1" outlineLevel="1" thickBot="1" x14ac:dyDescent="0.4">
      <c r="A461" s="336"/>
      <c r="B461" s="330"/>
      <c r="C461" s="205" t="s">
        <v>185</v>
      </c>
      <c r="D461" s="182">
        <f>PRODUCT('Rollen-Prozess-Matrix'!H17,'Kompetenz-Prozess-Matrix'!Q21)</f>
        <v>0</v>
      </c>
      <c r="E461" s="183">
        <f>PRODUCT('Rollen-Prozess-Matrix'!I17,'Kompetenz-Prozess-Matrix'!Q21)</f>
        <v>0</v>
      </c>
      <c r="F461" s="183">
        <f>PRODUCT('Rollen-Prozess-Matrix'!J17,'Kompetenz-Prozess-Matrix'!Q21)</f>
        <v>0</v>
      </c>
      <c r="G461" s="183">
        <f>PRODUCT('Rollen-Prozess-Matrix'!K17,'Kompetenz-Prozess-Matrix'!Q21)</f>
        <v>0</v>
      </c>
      <c r="H461" s="183">
        <f>PRODUCT('Rollen-Prozess-Matrix'!L17,'Kompetenz-Prozess-Matrix'!Q21)</f>
        <v>0</v>
      </c>
      <c r="I461" s="183">
        <f>PRODUCT('Rollen-Prozess-Matrix'!M17,'Kompetenz-Prozess-Matrix'!Q21)</f>
        <v>0</v>
      </c>
      <c r="J461" s="183">
        <f>PRODUCT('Rollen-Prozess-Matrix'!N17,'Kompetenz-Prozess-Matrix'!Q21)</f>
        <v>0</v>
      </c>
      <c r="K461" s="183">
        <f>PRODUCT('Rollen-Prozess-Matrix'!O17,'Kompetenz-Prozess-Matrix'!Q21)</f>
        <v>0</v>
      </c>
      <c r="L461" s="183">
        <f>PRODUCT('Rollen-Prozess-Matrix'!P17,'Kompetenz-Prozess-Matrix'!Q21)</f>
        <v>0</v>
      </c>
      <c r="M461" s="183">
        <f>PRODUCT('Rollen-Prozess-Matrix'!Q17,'Kompetenz-Prozess-Matrix'!Q21)</f>
        <v>0</v>
      </c>
      <c r="N461" s="183">
        <f>PRODUCT('Rollen-Prozess-Matrix'!R17,'Kompetenz-Prozess-Matrix'!Q21)</f>
        <v>0</v>
      </c>
      <c r="O461" s="183">
        <f>PRODUCT('Rollen-Prozess-Matrix'!S17,'Kompetenz-Prozess-Matrix'!Q21)</f>
        <v>0</v>
      </c>
      <c r="P461" s="183">
        <f>PRODUCT('Rollen-Prozess-Matrix'!T17,'Kompetenz-Prozess-Matrix'!Q21)</f>
        <v>0</v>
      </c>
      <c r="Q461" s="185">
        <f>PRODUCT('Rollen-Prozess-Matrix'!U17,'Kompetenz-Prozess-Matrix'!Q21)</f>
        <v>0</v>
      </c>
    </row>
    <row r="462" spans="1:17" ht="51.4" hidden="1" outlineLevel="1" thickBot="1" x14ac:dyDescent="0.4">
      <c r="A462" s="336"/>
      <c r="B462" s="330"/>
      <c r="C462" s="205" t="s">
        <v>190</v>
      </c>
      <c r="D462" s="182">
        <f>PRODUCT('Rollen-Prozess-Matrix'!H18,'Kompetenz-Prozess-Matrix'!Q22)</f>
        <v>0</v>
      </c>
      <c r="E462" s="183">
        <f>PRODUCT('Rollen-Prozess-Matrix'!I18,'Kompetenz-Prozess-Matrix'!Q22)</f>
        <v>2</v>
      </c>
      <c r="F462" s="183">
        <f>PRODUCT('Rollen-Prozess-Matrix'!J18,'Kompetenz-Prozess-Matrix'!Q22)</f>
        <v>0</v>
      </c>
      <c r="G462" s="183">
        <f>PRODUCT('Rollen-Prozess-Matrix'!K18,'Kompetenz-Prozess-Matrix'!Q22)</f>
        <v>0</v>
      </c>
      <c r="H462" s="183">
        <f>PRODUCT('Rollen-Prozess-Matrix'!L18,'Kompetenz-Prozess-Matrix'!Q22)</f>
        <v>3</v>
      </c>
      <c r="I462" s="183">
        <f>PRODUCT('Rollen-Prozess-Matrix'!M18,'Kompetenz-Prozess-Matrix'!Q22)</f>
        <v>0</v>
      </c>
      <c r="J462" s="183">
        <f>PRODUCT('Rollen-Prozess-Matrix'!N18,'Kompetenz-Prozess-Matrix'!Q22)</f>
        <v>0</v>
      </c>
      <c r="K462" s="183">
        <f>PRODUCT('Rollen-Prozess-Matrix'!O18,'Kompetenz-Prozess-Matrix'!Q22)</f>
        <v>0</v>
      </c>
      <c r="L462" s="183">
        <f>PRODUCT('Rollen-Prozess-Matrix'!P18,'Kompetenz-Prozess-Matrix'!Q22)</f>
        <v>0</v>
      </c>
      <c r="M462" s="183">
        <f>PRODUCT('Rollen-Prozess-Matrix'!Q18,'Kompetenz-Prozess-Matrix'!Q22)</f>
        <v>0</v>
      </c>
      <c r="N462" s="183">
        <f>PRODUCT('Rollen-Prozess-Matrix'!R18,'Kompetenz-Prozess-Matrix'!Q22)</f>
        <v>0</v>
      </c>
      <c r="O462" s="183">
        <f>PRODUCT('Rollen-Prozess-Matrix'!S18,'Kompetenz-Prozess-Matrix'!Q22)</f>
        <v>0</v>
      </c>
      <c r="P462" s="183">
        <f>PRODUCT('Rollen-Prozess-Matrix'!T18,'Kompetenz-Prozess-Matrix'!Q22)</f>
        <v>2</v>
      </c>
      <c r="Q462" s="185">
        <f>PRODUCT('Rollen-Prozess-Matrix'!U18,'Kompetenz-Prozess-Matrix'!Q22)</f>
        <v>1</v>
      </c>
    </row>
    <row r="463" spans="1:17" ht="64.150000000000006" hidden="1" outlineLevel="1" thickBot="1" x14ac:dyDescent="0.4">
      <c r="A463" s="336"/>
      <c r="B463" s="330"/>
      <c r="C463" s="205" t="s">
        <v>194</v>
      </c>
      <c r="D463" s="182">
        <f>PRODUCT('Rollen-Prozess-Matrix'!H19,'Kompetenz-Prozess-Matrix'!Q23)</f>
        <v>0</v>
      </c>
      <c r="E463" s="183">
        <f>PRODUCT('Rollen-Prozess-Matrix'!I19,'Kompetenz-Prozess-Matrix'!Q23)</f>
        <v>2</v>
      </c>
      <c r="F463" s="183">
        <f>PRODUCT('Rollen-Prozess-Matrix'!J19,'Kompetenz-Prozess-Matrix'!Q23)</f>
        <v>0</v>
      </c>
      <c r="G463" s="183">
        <f>PRODUCT('Rollen-Prozess-Matrix'!K19,'Kompetenz-Prozess-Matrix'!Q23)</f>
        <v>0</v>
      </c>
      <c r="H463" s="183">
        <f>PRODUCT('Rollen-Prozess-Matrix'!L19,'Kompetenz-Prozess-Matrix'!Q23)</f>
        <v>3</v>
      </c>
      <c r="I463" s="183">
        <f>PRODUCT('Rollen-Prozess-Matrix'!M19,'Kompetenz-Prozess-Matrix'!Q23)</f>
        <v>1</v>
      </c>
      <c r="J463" s="183">
        <f>PRODUCT('Rollen-Prozess-Matrix'!N19,'Kompetenz-Prozess-Matrix'!Q23)</f>
        <v>0</v>
      </c>
      <c r="K463" s="183">
        <f>PRODUCT('Rollen-Prozess-Matrix'!O19,'Kompetenz-Prozess-Matrix'!Q23)</f>
        <v>0</v>
      </c>
      <c r="L463" s="183">
        <f>PRODUCT('Rollen-Prozess-Matrix'!P19,'Kompetenz-Prozess-Matrix'!Q23)</f>
        <v>1</v>
      </c>
      <c r="M463" s="183">
        <f>PRODUCT('Rollen-Prozess-Matrix'!Q19,'Kompetenz-Prozess-Matrix'!Q23)</f>
        <v>0</v>
      </c>
      <c r="N463" s="183">
        <f>PRODUCT('Rollen-Prozess-Matrix'!R19,'Kompetenz-Prozess-Matrix'!Q23)</f>
        <v>0</v>
      </c>
      <c r="O463" s="183">
        <f>PRODUCT('Rollen-Prozess-Matrix'!S19,'Kompetenz-Prozess-Matrix'!Q23)</f>
        <v>0</v>
      </c>
      <c r="P463" s="183">
        <f>PRODUCT('Rollen-Prozess-Matrix'!T19,'Kompetenz-Prozess-Matrix'!Q23)</f>
        <v>0</v>
      </c>
      <c r="Q463" s="185">
        <f>PRODUCT('Rollen-Prozess-Matrix'!U19,'Kompetenz-Prozess-Matrix'!Q23)</f>
        <v>0</v>
      </c>
    </row>
    <row r="464" spans="1:17" ht="64.150000000000006" hidden="1" outlineLevel="1" thickBot="1" x14ac:dyDescent="0.4">
      <c r="A464" s="336"/>
      <c r="B464" s="330"/>
      <c r="C464" s="205" t="s">
        <v>201</v>
      </c>
      <c r="D464" s="182">
        <f>PRODUCT('Rollen-Prozess-Matrix'!H20,'Kompetenz-Prozess-Matrix'!Q24)</f>
        <v>0</v>
      </c>
      <c r="E464" s="183">
        <f>PRODUCT('Rollen-Prozess-Matrix'!I20,'Kompetenz-Prozess-Matrix'!Q24)</f>
        <v>2</v>
      </c>
      <c r="F464" s="183">
        <f>PRODUCT('Rollen-Prozess-Matrix'!J20,'Kompetenz-Prozess-Matrix'!Q24)</f>
        <v>0</v>
      </c>
      <c r="G464" s="183">
        <f>PRODUCT('Rollen-Prozess-Matrix'!K20,'Kompetenz-Prozess-Matrix'!Q24)</f>
        <v>0</v>
      </c>
      <c r="H464" s="183">
        <f>PRODUCT('Rollen-Prozess-Matrix'!L20,'Kompetenz-Prozess-Matrix'!Q24)</f>
        <v>3</v>
      </c>
      <c r="I464" s="183">
        <f>PRODUCT('Rollen-Prozess-Matrix'!M20,'Kompetenz-Prozess-Matrix'!Q24)</f>
        <v>2</v>
      </c>
      <c r="J464" s="183">
        <f>PRODUCT('Rollen-Prozess-Matrix'!N20,'Kompetenz-Prozess-Matrix'!Q24)</f>
        <v>1</v>
      </c>
      <c r="K464" s="183">
        <f>PRODUCT('Rollen-Prozess-Matrix'!O20,'Kompetenz-Prozess-Matrix'!Q24)</f>
        <v>0</v>
      </c>
      <c r="L464" s="183">
        <f>PRODUCT('Rollen-Prozess-Matrix'!P20,'Kompetenz-Prozess-Matrix'!Q24)</f>
        <v>1</v>
      </c>
      <c r="M464" s="183">
        <f>PRODUCT('Rollen-Prozess-Matrix'!Q20,'Kompetenz-Prozess-Matrix'!Q24)</f>
        <v>0</v>
      </c>
      <c r="N464" s="183">
        <f>PRODUCT('Rollen-Prozess-Matrix'!R20,'Kompetenz-Prozess-Matrix'!Q24)</f>
        <v>0</v>
      </c>
      <c r="O464" s="183">
        <f>PRODUCT('Rollen-Prozess-Matrix'!S20,'Kompetenz-Prozess-Matrix'!Q24)</f>
        <v>0</v>
      </c>
      <c r="P464" s="183">
        <f>PRODUCT('Rollen-Prozess-Matrix'!T20,'Kompetenz-Prozess-Matrix'!Q24)</f>
        <v>0</v>
      </c>
      <c r="Q464" s="185">
        <f>PRODUCT('Rollen-Prozess-Matrix'!U20,'Kompetenz-Prozess-Matrix'!Q24)</f>
        <v>0</v>
      </c>
    </row>
    <row r="465" spans="1:19" ht="51.4" hidden="1" outlineLevel="1" thickBot="1" x14ac:dyDescent="0.4">
      <c r="A465" s="336"/>
      <c r="B465" s="330"/>
      <c r="C465" s="205" t="s">
        <v>205</v>
      </c>
      <c r="D465" s="182">
        <f>PRODUCT('Rollen-Prozess-Matrix'!H21,'Kompetenz-Prozess-Matrix'!Q25)</f>
        <v>0</v>
      </c>
      <c r="E465" s="183">
        <f>PRODUCT('Rollen-Prozess-Matrix'!I21,'Kompetenz-Prozess-Matrix'!Q25)</f>
        <v>2</v>
      </c>
      <c r="F465" s="183">
        <f>PRODUCT('Rollen-Prozess-Matrix'!J21,'Kompetenz-Prozess-Matrix'!Q25)</f>
        <v>0</v>
      </c>
      <c r="G465" s="183">
        <f>PRODUCT('Rollen-Prozess-Matrix'!K21,'Kompetenz-Prozess-Matrix'!Q25)</f>
        <v>0</v>
      </c>
      <c r="H465" s="183">
        <f>PRODUCT('Rollen-Prozess-Matrix'!L21,'Kompetenz-Prozess-Matrix'!Q25)</f>
        <v>6</v>
      </c>
      <c r="I465" s="183">
        <f>PRODUCT('Rollen-Prozess-Matrix'!M21,'Kompetenz-Prozess-Matrix'!Q25)</f>
        <v>4</v>
      </c>
      <c r="J465" s="183">
        <f>PRODUCT('Rollen-Prozess-Matrix'!N21,'Kompetenz-Prozess-Matrix'!Q25)</f>
        <v>2</v>
      </c>
      <c r="K465" s="183">
        <f>PRODUCT('Rollen-Prozess-Matrix'!O21,'Kompetenz-Prozess-Matrix'!Q25)</f>
        <v>0</v>
      </c>
      <c r="L465" s="183">
        <f>PRODUCT('Rollen-Prozess-Matrix'!P21,'Kompetenz-Prozess-Matrix'!Q25)</f>
        <v>0</v>
      </c>
      <c r="M465" s="183">
        <f>PRODUCT('Rollen-Prozess-Matrix'!Q21,'Kompetenz-Prozess-Matrix'!Q25)</f>
        <v>0</v>
      </c>
      <c r="N465" s="183">
        <f>PRODUCT('Rollen-Prozess-Matrix'!R21,'Kompetenz-Prozess-Matrix'!Q25)</f>
        <v>0</v>
      </c>
      <c r="O465" s="183">
        <f>PRODUCT('Rollen-Prozess-Matrix'!S21,'Kompetenz-Prozess-Matrix'!Q25)</f>
        <v>0</v>
      </c>
      <c r="P465" s="183">
        <f>PRODUCT('Rollen-Prozess-Matrix'!T21,'Kompetenz-Prozess-Matrix'!Q25)</f>
        <v>0</v>
      </c>
      <c r="Q465" s="185">
        <f>PRODUCT('Rollen-Prozess-Matrix'!U21,'Kompetenz-Prozess-Matrix'!Q25)</f>
        <v>0</v>
      </c>
    </row>
    <row r="466" spans="1:19" ht="38.65" hidden="1" outlineLevel="1" thickBot="1" x14ac:dyDescent="0.4">
      <c r="A466" s="336"/>
      <c r="B466" s="330"/>
      <c r="C466" s="205" t="s">
        <v>209</v>
      </c>
      <c r="D466" s="182">
        <f>PRODUCT('Rollen-Prozess-Matrix'!H22,'Kompetenz-Prozess-Matrix'!Q26)</f>
        <v>0</v>
      </c>
      <c r="E466" s="183">
        <f>PRODUCT('Rollen-Prozess-Matrix'!I22,'Kompetenz-Prozess-Matrix'!Q26)</f>
        <v>1</v>
      </c>
      <c r="F466" s="183">
        <f>PRODUCT('Rollen-Prozess-Matrix'!J22,'Kompetenz-Prozess-Matrix'!Q26)</f>
        <v>0</v>
      </c>
      <c r="G466" s="183">
        <f>PRODUCT('Rollen-Prozess-Matrix'!K22,'Kompetenz-Prozess-Matrix'!Q26)</f>
        <v>0</v>
      </c>
      <c r="H466" s="183">
        <f>PRODUCT('Rollen-Prozess-Matrix'!L22,'Kompetenz-Prozess-Matrix'!Q26)</f>
        <v>3</v>
      </c>
      <c r="I466" s="183">
        <f>PRODUCT('Rollen-Prozess-Matrix'!M22,'Kompetenz-Prozess-Matrix'!Q26)</f>
        <v>2</v>
      </c>
      <c r="J466" s="183">
        <f>PRODUCT('Rollen-Prozess-Matrix'!N22,'Kompetenz-Prozess-Matrix'!Q26)</f>
        <v>2</v>
      </c>
      <c r="K466" s="183">
        <f>PRODUCT('Rollen-Prozess-Matrix'!O22,'Kompetenz-Prozess-Matrix'!Q26)</f>
        <v>0</v>
      </c>
      <c r="L466" s="183">
        <f>PRODUCT('Rollen-Prozess-Matrix'!P22,'Kompetenz-Prozess-Matrix'!Q26)</f>
        <v>0</v>
      </c>
      <c r="M466" s="183">
        <f>PRODUCT('Rollen-Prozess-Matrix'!Q22,'Kompetenz-Prozess-Matrix'!Q26)</f>
        <v>0</v>
      </c>
      <c r="N466" s="183">
        <f>PRODUCT('Rollen-Prozess-Matrix'!R22,'Kompetenz-Prozess-Matrix'!Q26)</f>
        <v>0</v>
      </c>
      <c r="O466" s="183">
        <f>PRODUCT('Rollen-Prozess-Matrix'!S22,'Kompetenz-Prozess-Matrix'!Q26)</f>
        <v>0</v>
      </c>
      <c r="P466" s="183">
        <f>PRODUCT('Rollen-Prozess-Matrix'!T22,'Kompetenz-Prozess-Matrix'!Q26)</f>
        <v>0</v>
      </c>
      <c r="Q466" s="185">
        <f>PRODUCT('Rollen-Prozess-Matrix'!U22,'Kompetenz-Prozess-Matrix'!Q26)</f>
        <v>0</v>
      </c>
    </row>
    <row r="467" spans="1:19" ht="38.65" hidden="1" outlineLevel="1" thickBot="1" x14ac:dyDescent="0.4">
      <c r="A467" s="336"/>
      <c r="B467" s="330"/>
      <c r="C467" s="205" t="s">
        <v>213</v>
      </c>
      <c r="D467" s="182">
        <f>PRODUCT('Rollen-Prozess-Matrix'!H23,'Kompetenz-Prozess-Matrix'!Q27)</f>
        <v>0</v>
      </c>
      <c r="E467" s="183">
        <f>PRODUCT('Rollen-Prozess-Matrix'!I23,'Kompetenz-Prozess-Matrix'!Q27)</f>
        <v>0</v>
      </c>
      <c r="F467" s="183">
        <f>PRODUCT('Rollen-Prozess-Matrix'!J23,'Kompetenz-Prozess-Matrix'!Q27)</f>
        <v>0</v>
      </c>
      <c r="G467" s="183">
        <f>PRODUCT('Rollen-Prozess-Matrix'!K23,'Kompetenz-Prozess-Matrix'!Q27)</f>
        <v>0</v>
      </c>
      <c r="H467" s="183">
        <f>PRODUCT('Rollen-Prozess-Matrix'!L23,'Kompetenz-Prozess-Matrix'!Q27)</f>
        <v>0</v>
      </c>
      <c r="I467" s="183">
        <f>PRODUCT('Rollen-Prozess-Matrix'!M23,'Kompetenz-Prozess-Matrix'!Q27)</f>
        <v>0</v>
      </c>
      <c r="J467" s="183">
        <f>PRODUCT('Rollen-Prozess-Matrix'!N23,'Kompetenz-Prozess-Matrix'!Q27)</f>
        <v>0</v>
      </c>
      <c r="K467" s="183">
        <f>PRODUCT('Rollen-Prozess-Matrix'!O23,'Kompetenz-Prozess-Matrix'!Q27)</f>
        <v>0</v>
      </c>
      <c r="L467" s="183">
        <f>PRODUCT('Rollen-Prozess-Matrix'!P23,'Kompetenz-Prozess-Matrix'!Q27)</f>
        <v>0</v>
      </c>
      <c r="M467" s="183">
        <f>PRODUCT('Rollen-Prozess-Matrix'!Q23,'Kompetenz-Prozess-Matrix'!Q27)</f>
        <v>0</v>
      </c>
      <c r="N467" s="183">
        <f>PRODUCT('Rollen-Prozess-Matrix'!R23,'Kompetenz-Prozess-Matrix'!Q27)</f>
        <v>0</v>
      </c>
      <c r="O467" s="183">
        <f>PRODUCT('Rollen-Prozess-Matrix'!S23,'Kompetenz-Prozess-Matrix'!Q27)</f>
        <v>0</v>
      </c>
      <c r="P467" s="183">
        <f>PRODUCT('Rollen-Prozess-Matrix'!T23,'Kompetenz-Prozess-Matrix'!Q27)</f>
        <v>0</v>
      </c>
      <c r="Q467" s="185">
        <f>PRODUCT('Rollen-Prozess-Matrix'!U23,'Kompetenz-Prozess-Matrix'!Q27)</f>
        <v>0</v>
      </c>
    </row>
    <row r="468" spans="1:19" ht="38.65" hidden="1" outlineLevel="1" thickBot="1" x14ac:dyDescent="0.4">
      <c r="A468" s="336"/>
      <c r="B468" s="330"/>
      <c r="C468" s="205" t="s">
        <v>217</v>
      </c>
      <c r="D468" s="182">
        <f>PRODUCT('Rollen-Prozess-Matrix'!H24,'Kompetenz-Prozess-Matrix'!Q28)</f>
        <v>0</v>
      </c>
      <c r="E468" s="183">
        <f>PRODUCT('Rollen-Prozess-Matrix'!I24,'Kompetenz-Prozess-Matrix'!Q28)</f>
        <v>0</v>
      </c>
      <c r="F468" s="183">
        <f>PRODUCT('Rollen-Prozess-Matrix'!J24,'Kompetenz-Prozess-Matrix'!Q28)</f>
        <v>0</v>
      </c>
      <c r="G468" s="183">
        <f>PRODUCT('Rollen-Prozess-Matrix'!K24,'Kompetenz-Prozess-Matrix'!Q28)</f>
        <v>0</v>
      </c>
      <c r="H468" s="183">
        <f>PRODUCT('Rollen-Prozess-Matrix'!L24,'Kompetenz-Prozess-Matrix'!Q28)</f>
        <v>0</v>
      </c>
      <c r="I468" s="183">
        <f>PRODUCT('Rollen-Prozess-Matrix'!M24,'Kompetenz-Prozess-Matrix'!Q28)</f>
        <v>0</v>
      </c>
      <c r="J468" s="183">
        <f>PRODUCT('Rollen-Prozess-Matrix'!N24,'Kompetenz-Prozess-Matrix'!Q28)</f>
        <v>0</v>
      </c>
      <c r="K468" s="183">
        <f>PRODUCT('Rollen-Prozess-Matrix'!O24,'Kompetenz-Prozess-Matrix'!Q28)</f>
        <v>0</v>
      </c>
      <c r="L468" s="183">
        <f>PRODUCT('Rollen-Prozess-Matrix'!P24,'Kompetenz-Prozess-Matrix'!Q28)</f>
        <v>0</v>
      </c>
      <c r="M468" s="183">
        <f>PRODUCT('Rollen-Prozess-Matrix'!Q24,'Kompetenz-Prozess-Matrix'!Q28)</f>
        <v>0</v>
      </c>
      <c r="N468" s="183">
        <f>PRODUCT('Rollen-Prozess-Matrix'!R24,'Kompetenz-Prozess-Matrix'!Q28)</f>
        <v>0</v>
      </c>
      <c r="O468" s="183">
        <f>PRODUCT('Rollen-Prozess-Matrix'!S24,'Kompetenz-Prozess-Matrix'!Q28)</f>
        <v>0</v>
      </c>
      <c r="P468" s="183">
        <f>PRODUCT('Rollen-Prozess-Matrix'!T24,'Kompetenz-Prozess-Matrix'!Q28)</f>
        <v>0</v>
      </c>
      <c r="Q468" s="185">
        <f>PRODUCT('Rollen-Prozess-Matrix'!U24,'Kompetenz-Prozess-Matrix'!Q28)</f>
        <v>0</v>
      </c>
    </row>
    <row r="469" spans="1:19" ht="38.65" hidden="1" outlineLevel="1" thickBot="1" x14ac:dyDescent="0.4">
      <c r="A469" s="336"/>
      <c r="B469" s="330"/>
      <c r="C469" s="205" t="s">
        <v>223</v>
      </c>
      <c r="D469" s="182">
        <f>PRODUCT('Rollen-Prozess-Matrix'!H25,'Kompetenz-Prozess-Matrix'!Q29)</f>
        <v>0</v>
      </c>
      <c r="E469" s="183">
        <f>PRODUCT('Rollen-Prozess-Matrix'!I25,'Kompetenz-Prozess-Matrix'!Q29)</f>
        <v>1</v>
      </c>
      <c r="F469" s="183">
        <f>PRODUCT('Rollen-Prozess-Matrix'!J25,'Kompetenz-Prozess-Matrix'!Q29)</f>
        <v>0</v>
      </c>
      <c r="G469" s="183">
        <f>PRODUCT('Rollen-Prozess-Matrix'!K25,'Kompetenz-Prozess-Matrix'!Q29)</f>
        <v>0</v>
      </c>
      <c r="H469" s="183">
        <f>PRODUCT('Rollen-Prozess-Matrix'!L25,'Kompetenz-Prozess-Matrix'!Q29)</f>
        <v>3</v>
      </c>
      <c r="I469" s="183">
        <f>PRODUCT('Rollen-Prozess-Matrix'!M25,'Kompetenz-Prozess-Matrix'!Q29)</f>
        <v>0</v>
      </c>
      <c r="J469" s="183">
        <f>PRODUCT('Rollen-Prozess-Matrix'!N25,'Kompetenz-Prozess-Matrix'!Q29)</f>
        <v>0</v>
      </c>
      <c r="K469" s="183">
        <f>PRODUCT('Rollen-Prozess-Matrix'!O25,'Kompetenz-Prozess-Matrix'!Q29)</f>
        <v>1</v>
      </c>
      <c r="L469" s="183">
        <f>PRODUCT('Rollen-Prozess-Matrix'!P25,'Kompetenz-Prozess-Matrix'!Q29)</f>
        <v>1</v>
      </c>
      <c r="M469" s="183">
        <f>PRODUCT('Rollen-Prozess-Matrix'!Q25,'Kompetenz-Prozess-Matrix'!Q29)</f>
        <v>2</v>
      </c>
      <c r="N469" s="183">
        <f>PRODUCT('Rollen-Prozess-Matrix'!R25,'Kompetenz-Prozess-Matrix'!Q29)</f>
        <v>0</v>
      </c>
      <c r="O469" s="183">
        <f>PRODUCT('Rollen-Prozess-Matrix'!S25,'Kompetenz-Prozess-Matrix'!Q29)</f>
        <v>0</v>
      </c>
      <c r="P469" s="183">
        <f>PRODUCT('Rollen-Prozess-Matrix'!T25,'Kompetenz-Prozess-Matrix'!Q29)</f>
        <v>0</v>
      </c>
      <c r="Q469" s="185">
        <f>PRODUCT('Rollen-Prozess-Matrix'!U25,'Kompetenz-Prozess-Matrix'!Q29)</f>
        <v>0</v>
      </c>
    </row>
    <row r="470" spans="1:19" ht="38.65" hidden="1" outlineLevel="1" thickBot="1" x14ac:dyDescent="0.4">
      <c r="A470" s="336"/>
      <c r="B470" s="330"/>
      <c r="C470" s="205" t="s">
        <v>229</v>
      </c>
      <c r="D470" s="182">
        <f>PRODUCT('Rollen-Prozess-Matrix'!H26,'Kompetenz-Prozess-Matrix'!Q30)</f>
        <v>0</v>
      </c>
      <c r="E470" s="183">
        <f>PRODUCT('Rollen-Prozess-Matrix'!I26,'Kompetenz-Prozess-Matrix'!Q30)</f>
        <v>1</v>
      </c>
      <c r="F470" s="183">
        <f>PRODUCT('Rollen-Prozess-Matrix'!J26,'Kompetenz-Prozess-Matrix'!Q30)</f>
        <v>0</v>
      </c>
      <c r="G470" s="183">
        <f>PRODUCT('Rollen-Prozess-Matrix'!K26,'Kompetenz-Prozess-Matrix'!Q30)</f>
        <v>0</v>
      </c>
      <c r="H470" s="183">
        <f>PRODUCT('Rollen-Prozess-Matrix'!L26,'Kompetenz-Prozess-Matrix'!Q30)</f>
        <v>3</v>
      </c>
      <c r="I470" s="183">
        <f>PRODUCT('Rollen-Prozess-Matrix'!M26,'Kompetenz-Prozess-Matrix'!Q30)</f>
        <v>1</v>
      </c>
      <c r="J470" s="183">
        <f>PRODUCT('Rollen-Prozess-Matrix'!N26,'Kompetenz-Prozess-Matrix'!Q30)</f>
        <v>1</v>
      </c>
      <c r="K470" s="183">
        <f>PRODUCT('Rollen-Prozess-Matrix'!O26,'Kompetenz-Prozess-Matrix'!Q30)</f>
        <v>0</v>
      </c>
      <c r="L470" s="183">
        <f>PRODUCT('Rollen-Prozess-Matrix'!P26,'Kompetenz-Prozess-Matrix'!Q30)</f>
        <v>2</v>
      </c>
      <c r="M470" s="183">
        <f>PRODUCT('Rollen-Prozess-Matrix'!Q26,'Kompetenz-Prozess-Matrix'!Q30)</f>
        <v>0</v>
      </c>
      <c r="N470" s="183">
        <f>PRODUCT('Rollen-Prozess-Matrix'!R26,'Kompetenz-Prozess-Matrix'!Q30)</f>
        <v>0</v>
      </c>
      <c r="O470" s="183">
        <f>PRODUCT('Rollen-Prozess-Matrix'!S26,'Kompetenz-Prozess-Matrix'!Q30)</f>
        <v>1</v>
      </c>
      <c r="P470" s="183">
        <f>PRODUCT('Rollen-Prozess-Matrix'!T26,'Kompetenz-Prozess-Matrix'!Q30)</f>
        <v>0</v>
      </c>
      <c r="Q470" s="185">
        <f>PRODUCT('Rollen-Prozess-Matrix'!U26,'Kompetenz-Prozess-Matrix'!Q30)</f>
        <v>0</v>
      </c>
    </row>
    <row r="471" spans="1:19" ht="38.65" hidden="1" outlineLevel="1" thickBot="1" x14ac:dyDescent="0.4">
      <c r="A471" s="336"/>
      <c r="B471" s="330"/>
      <c r="C471" s="205" t="s">
        <v>235</v>
      </c>
      <c r="D471" s="182">
        <f>PRODUCT('Rollen-Prozess-Matrix'!H27,'Kompetenz-Prozess-Matrix'!Q31)</f>
        <v>0</v>
      </c>
      <c r="E471" s="183">
        <f>PRODUCT('Rollen-Prozess-Matrix'!I27,'Kompetenz-Prozess-Matrix'!Q31)</f>
        <v>0</v>
      </c>
      <c r="F471" s="183">
        <f>PRODUCT('Rollen-Prozess-Matrix'!J27,'Kompetenz-Prozess-Matrix'!Q31)</f>
        <v>0</v>
      </c>
      <c r="G471" s="183">
        <f>PRODUCT('Rollen-Prozess-Matrix'!K27,'Kompetenz-Prozess-Matrix'!Q31)</f>
        <v>0</v>
      </c>
      <c r="H471" s="183">
        <f>PRODUCT('Rollen-Prozess-Matrix'!L27,'Kompetenz-Prozess-Matrix'!Q31)</f>
        <v>0</v>
      </c>
      <c r="I471" s="183">
        <f>PRODUCT('Rollen-Prozess-Matrix'!M27,'Kompetenz-Prozess-Matrix'!Q31)</f>
        <v>0</v>
      </c>
      <c r="J471" s="183">
        <f>PRODUCT('Rollen-Prozess-Matrix'!N27,'Kompetenz-Prozess-Matrix'!Q31)</f>
        <v>0</v>
      </c>
      <c r="K471" s="183">
        <f>PRODUCT('Rollen-Prozess-Matrix'!O27,'Kompetenz-Prozess-Matrix'!Q31)</f>
        <v>0</v>
      </c>
      <c r="L471" s="183">
        <f>PRODUCT('Rollen-Prozess-Matrix'!P27,'Kompetenz-Prozess-Matrix'!Q31)</f>
        <v>0</v>
      </c>
      <c r="M471" s="183">
        <f>PRODUCT('Rollen-Prozess-Matrix'!Q27,'Kompetenz-Prozess-Matrix'!Q31)</f>
        <v>0</v>
      </c>
      <c r="N471" s="183">
        <f>PRODUCT('Rollen-Prozess-Matrix'!R27,'Kompetenz-Prozess-Matrix'!Q31)</f>
        <v>0</v>
      </c>
      <c r="O471" s="183">
        <f>PRODUCT('Rollen-Prozess-Matrix'!S27,'Kompetenz-Prozess-Matrix'!Q31)</f>
        <v>0</v>
      </c>
      <c r="P471" s="183">
        <f>PRODUCT('Rollen-Prozess-Matrix'!T27,'Kompetenz-Prozess-Matrix'!Q31)</f>
        <v>0</v>
      </c>
      <c r="Q471" s="185">
        <f>PRODUCT('Rollen-Prozess-Matrix'!U27,'Kompetenz-Prozess-Matrix'!Q31)</f>
        <v>0</v>
      </c>
    </row>
    <row r="472" spans="1:19" ht="38.65" hidden="1" outlineLevel="1" thickBot="1" x14ac:dyDescent="0.4">
      <c r="A472" s="336"/>
      <c r="B472" s="330"/>
      <c r="C472" s="205" t="s">
        <v>242</v>
      </c>
      <c r="D472" s="182">
        <f>PRODUCT('Rollen-Prozess-Matrix'!H28,'Kompetenz-Prozess-Matrix'!Q32)</f>
        <v>1</v>
      </c>
      <c r="E472" s="183">
        <f>PRODUCT('Rollen-Prozess-Matrix'!I28,'Kompetenz-Prozess-Matrix'!Q32)</f>
        <v>1</v>
      </c>
      <c r="F472" s="183">
        <f>PRODUCT('Rollen-Prozess-Matrix'!J28,'Kompetenz-Prozess-Matrix'!Q32)</f>
        <v>0</v>
      </c>
      <c r="G472" s="183">
        <f>PRODUCT('Rollen-Prozess-Matrix'!K28,'Kompetenz-Prozess-Matrix'!Q32)</f>
        <v>0</v>
      </c>
      <c r="H472" s="183">
        <f>PRODUCT('Rollen-Prozess-Matrix'!L28,'Kompetenz-Prozess-Matrix'!Q32)</f>
        <v>3</v>
      </c>
      <c r="I472" s="183">
        <f>PRODUCT('Rollen-Prozess-Matrix'!M28,'Kompetenz-Prozess-Matrix'!Q32)</f>
        <v>0</v>
      </c>
      <c r="J472" s="183">
        <f>PRODUCT('Rollen-Prozess-Matrix'!N28,'Kompetenz-Prozess-Matrix'!Q32)</f>
        <v>0</v>
      </c>
      <c r="K472" s="183">
        <f>PRODUCT('Rollen-Prozess-Matrix'!O28,'Kompetenz-Prozess-Matrix'!Q32)</f>
        <v>0</v>
      </c>
      <c r="L472" s="183">
        <f>PRODUCT('Rollen-Prozess-Matrix'!P28,'Kompetenz-Prozess-Matrix'!Q32)</f>
        <v>2</v>
      </c>
      <c r="M472" s="183">
        <f>PRODUCT('Rollen-Prozess-Matrix'!Q28,'Kompetenz-Prozess-Matrix'!Q32)</f>
        <v>0</v>
      </c>
      <c r="N472" s="183">
        <f>PRODUCT('Rollen-Prozess-Matrix'!R28,'Kompetenz-Prozess-Matrix'!Q32)</f>
        <v>0</v>
      </c>
      <c r="O472" s="183">
        <f>PRODUCT('Rollen-Prozess-Matrix'!S28,'Kompetenz-Prozess-Matrix'!Q32)</f>
        <v>1</v>
      </c>
      <c r="P472" s="183">
        <f>PRODUCT('Rollen-Prozess-Matrix'!T28,'Kompetenz-Prozess-Matrix'!Q32)</f>
        <v>0</v>
      </c>
      <c r="Q472" s="185">
        <f>PRODUCT('Rollen-Prozess-Matrix'!U28,'Kompetenz-Prozess-Matrix'!Q32)</f>
        <v>0</v>
      </c>
    </row>
    <row r="473" spans="1:19" ht="38.65" hidden="1" outlineLevel="1" thickBot="1" x14ac:dyDescent="0.4">
      <c r="A473" s="336"/>
      <c r="B473" s="330"/>
      <c r="C473" s="205" t="s">
        <v>248</v>
      </c>
      <c r="D473" s="182">
        <f>PRODUCT('Rollen-Prozess-Matrix'!H29,'Kompetenz-Prozess-Matrix'!Q33)</f>
        <v>0</v>
      </c>
      <c r="E473" s="183">
        <f>PRODUCT('Rollen-Prozess-Matrix'!I29,'Kompetenz-Prozess-Matrix'!Q33)</f>
        <v>0</v>
      </c>
      <c r="F473" s="183">
        <f>PRODUCT('Rollen-Prozess-Matrix'!J29,'Kompetenz-Prozess-Matrix'!Q33)</f>
        <v>0</v>
      </c>
      <c r="G473" s="183">
        <f>PRODUCT('Rollen-Prozess-Matrix'!K29,'Kompetenz-Prozess-Matrix'!Q33)</f>
        <v>0</v>
      </c>
      <c r="H473" s="183">
        <f>PRODUCT('Rollen-Prozess-Matrix'!L29,'Kompetenz-Prozess-Matrix'!Q33)</f>
        <v>0</v>
      </c>
      <c r="I473" s="183">
        <f>PRODUCT('Rollen-Prozess-Matrix'!M29,'Kompetenz-Prozess-Matrix'!Q33)</f>
        <v>0</v>
      </c>
      <c r="J473" s="183">
        <f>PRODUCT('Rollen-Prozess-Matrix'!N29,'Kompetenz-Prozess-Matrix'!Q33)</f>
        <v>0</v>
      </c>
      <c r="K473" s="183">
        <f>PRODUCT('Rollen-Prozess-Matrix'!O29,'Kompetenz-Prozess-Matrix'!Q33)</f>
        <v>0</v>
      </c>
      <c r="L473" s="183">
        <f>PRODUCT('Rollen-Prozess-Matrix'!P29,'Kompetenz-Prozess-Matrix'!Q33)</f>
        <v>0</v>
      </c>
      <c r="M473" s="183">
        <f>PRODUCT('Rollen-Prozess-Matrix'!Q29,'Kompetenz-Prozess-Matrix'!Q33)</f>
        <v>0</v>
      </c>
      <c r="N473" s="183">
        <f>PRODUCT('Rollen-Prozess-Matrix'!R29,'Kompetenz-Prozess-Matrix'!Q33)</f>
        <v>0</v>
      </c>
      <c r="O473" s="183">
        <f>PRODUCT('Rollen-Prozess-Matrix'!S29,'Kompetenz-Prozess-Matrix'!Q33)</f>
        <v>0</v>
      </c>
      <c r="P473" s="183">
        <f>PRODUCT('Rollen-Prozess-Matrix'!T29,'Kompetenz-Prozess-Matrix'!Q33)</f>
        <v>0</v>
      </c>
      <c r="Q473" s="185">
        <f>PRODUCT('Rollen-Prozess-Matrix'!U29,'Kompetenz-Prozess-Matrix'!Q33)</f>
        <v>0</v>
      </c>
    </row>
    <row r="474" spans="1:19" ht="38.65" hidden="1" outlineLevel="1" thickBot="1" x14ac:dyDescent="0.4">
      <c r="A474" s="336"/>
      <c r="B474" s="330"/>
      <c r="C474" s="205" t="s">
        <v>255</v>
      </c>
      <c r="D474" s="182">
        <f>PRODUCT('Rollen-Prozess-Matrix'!H30,'Kompetenz-Prozess-Matrix'!Q34)</f>
        <v>0</v>
      </c>
      <c r="E474" s="183">
        <f>PRODUCT('Rollen-Prozess-Matrix'!I30,'Kompetenz-Prozess-Matrix'!Q34)</f>
        <v>0</v>
      </c>
      <c r="F474" s="183">
        <f>PRODUCT('Rollen-Prozess-Matrix'!J30,'Kompetenz-Prozess-Matrix'!Q34)</f>
        <v>0</v>
      </c>
      <c r="G474" s="183">
        <f>PRODUCT('Rollen-Prozess-Matrix'!K30,'Kompetenz-Prozess-Matrix'!Q34)</f>
        <v>0</v>
      </c>
      <c r="H474" s="183">
        <f>PRODUCT('Rollen-Prozess-Matrix'!L30,'Kompetenz-Prozess-Matrix'!Q34)</f>
        <v>0</v>
      </c>
      <c r="I474" s="183">
        <f>PRODUCT('Rollen-Prozess-Matrix'!M30,'Kompetenz-Prozess-Matrix'!Q34)</f>
        <v>0</v>
      </c>
      <c r="J474" s="183">
        <f>PRODUCT('Rollen-Prozess-Matrix'!N30,'Kompetenz-Prozess-Matrix'!Q34)</f>
        <v>0</v>
      </c>
      <c r="K474" s="183">
        <f>PRODUCT('Rollen-Prozess-Matrix'!O30,'Kompetenz-Prozess-Matrix'!Q34)</f>
        <v>0</v>
      </c>
      <c r="L474" s="183">
        <f>PRODUCT('Rollen-Prozess-Matrix'!P30,'Kompetenz-Prozess-Matrix'!Q34)</f>
        <v>0</v>
      </c>
      <c r="M474" s="183">
        <f>PRODUCT('Rollen-Prozess-Matrix'!Q30,'Kompetenz-Prozess-Matrix'!Q34)</f>
        <v>0</v>
      </c>
      <c r="N474" s="183">
        <f>PRODUCT('Rollen-Prozess-Matrix'!R30,'Kompetenz-Prozess-Matrix'!Q34)</f>
        <v>0</v>
      </c>
      <c r="O474" s="183">
        <f>PRODUCT('Rollen-Prozess-Matrix'!S30,'Kompetenz-Prozess-Matrix'!Q34)</f>
        <v>0</v>
      </c>
      <c r="P474" s="183">
        <f>PRODUCT('Rollen-Prozess-Matrix'!T30,'Kompetenz-Prozess-Matrix'!Q34)</f>
        <v>0</v>
      </c>
      <c r="Q474" s="185">
        <f>PRODUCT('Rollen-Prozess-Matrix'!U30,'Kompetenz-Prozess-Matrix'!Q34)</f>
        <v>0</v>
      </c>
    </row>
    <row r="475" spans="1:19" ht="38.65" hidden="1" outlineLevel="1" thickBot="1" x14ac:dyDescent="0.4">
      <c r="A475" s="336"/>
      <c r="B475" s="330"/>
      <c r="C475" s="205" t="s">
        <v>261</v>
      </c>
      <c r="D475" s="182">
        <f>PRODUCT('Rollen-Prozess-Matrix'!H31,'Kompetenz-Prozess-Matrix'!Q35)</f>
        <v>0</v>
      </c>
      <c r="E475" s="183">
        <f>PRODUCT('Rollen-Prozess-Matrix'!I31,'Kompetenz-Prozess-Matrix'!Q35)</f>
        <v>0</v>
      </c>
      <c r="F475" s="183">
        <f>PRODUCT('Rollen-Prozess-Matrix'!J31,'Kompetenz-Prozess-Matrix'!Q35)</f>
        <v>0</v>
      </c>
      <c r="G475" s="183">
        <f>PRODUCT('Rollen-Prozess-Matrix'!K31,'Kompetenz-Prozess-Matrix'!Q35)</f>
        <v>0</v>
      </c>
      <c r="H475" s="183">
        <f>PRODUCT('Rollen-Prozess-Matrix'!L31,'Kompetenz-Prozess-Matrix'!Q35)</f>
        <v>0</v>
      </c>
      <c r="I475" s="183">
        <f>PRODUCT('Rollen-Prozess-Matrix'!M31,'Kompetenz-Prozess-Matrix'!Q35)</f>
        <v>0</v>
      </c>
      <c r="J475" s="183">
        <f>PRODUCT('Rollen-Prozess-Matrix'!N31,'Kompetenz-Prozess-Matrix'!Q35)</f>
        <v>0</v>
      </c>
      <c r="K475" s="183">
        <f>PRODUCT('Rollen-Prozess-Matrix'!O31,'Kompetenz-Prozess-Matrix'!Q35)</f>
        <v>0</v>
      </c>
      <c r="L475" s="183">
        <f>PRODUCT('Rollen-Prozess-Matrix'!P31,'Kompetenz-Prozess-Matrix'!Q35)</f>
        <v>0</v>
      </c>
      <c r="M475" s="183">
        <f>PRODUCT('Rollen-Prozess-Matrix'!Q31,'Kompetenz-Prozess-Matrix'!Q35)</f>
        <v>0</v>
      </c>
      <c r="N475" s="183">
        <f>PRODUCT('Rollen-Prozess-Matrix'!R31,'Kompetenz-Prozess-Matrix'!Q35)</f>
        <v>0</v>
      </c>
      <c r="O475" s="183">
        <f>PRODUCT('Rollen-Prozess-Matrix'!S31,'Kompetenz-Prozess-Matrix'!Q35)</f>
        <v>0</v>
      </c>
      <c r="P475" s="183">
        <f>PRODUCT('Rollen-Prozess-Matrix'!T31,'Kompetenz-Prozess-Matrix'!Q35)</f>
        <v>0</v>
      </c>
      <c r="Q475" s="185">
        <f>PRODUCT('Rollen-Prozess-Matrix'!U31,'Kompetenz-Prozess-Matrix'!Q35)</f>
        <v>0</v>
      </c>
    </row>
    <row r="476" spans="1:19" ht="13.15" hidden="1" outlineLevel="1" thickBot="1" x14ac:dyDescent="0.4">
      <c r="A476" s="336"/>
      <c r="B476" s="330"/>
      <c r="C476" s="205" t="s">
        <v>264</v>
      </c>
      <c r="D476" s="182">
        <f>PRODUCT('Rollen-Prozess-Matrix'!H32,'Kompetenz-Prozess-Matrix'!Q36)</f>
        <v>0</v>
      </c>
      <c r="E476" s="183">
        <f>PRODUCT('Rollen-Prozess-Matrix'!I32,'Kompetenz-Prozess-Matrix'!Q36)</f>
        <v>0</v>
      </c>
      <c r="F476" s="183">
        <f>PRODUCT('Rollen-Prozess-Matrix'!J32,'Kompetenz-Prozess-Matrix'!Q36)</f>
        <v>0</v>
      </c>
      <c r="G476" s="183">
        <f>PRODUCT('Rollen-Prozess-Matrix'!K32,'Kompetenz-Prozess-Matrix'!Q36)</f>
        <v>2</v>
      </c>
      <c r="H476" s="183">
        <f>PRODUCT('Rollen-Prozess-Matrix'!L32,'Kompetenz-Prozess-Matrix'!Q36)</f>
        <v>1</v>
      </c>
      <c r="I476" s="183">
        <f>PRODUCT('Rollen-Prozess-Matrix'!M32,'Kompetenz-Prozess-Matrix'!Q36)</f>
        <v>0</v>
      </c>
      <c r="J476" s="183">
        <f>PRODUCT('Rollen-Prozess-Matrix'!N32,'Kompetenz-Prozess-Matrix'!Q36)</f>
        <v>0</v>
      </c>
      <c r="K476" s="183">
        <f>PRODUCT('Rollen-Prozess-Matrix'!O32,'Kompetenz-Prozess-Matrix'!Q36)</f>
        <v>0</v>
      </c>
      <c r="L476" s="183">
        <f>PRODUCT('Rollen-Prozess-Matrix'!P32,'Kompetenz-Prozess-Matrix'!Q36)</f>
        <v>0</v>
      </c>
      <c r="M476" s="183">
        <f>PRODUCT('Rollen-Prozess-Matrix'!Q32,'Kompetenz-Prozess-Matrix'!Q36)</f>
        <v>0</v>
      </c>
      <c r="N476" s="183">
        <f>PRODUCT('Rollen-Prozess-Matrix'!R32,'Kompetenz-Prozess-Matrix'!Q36)</f>
        <v>0</v>
      </c>
      <c r="O476" s="183">
        <f>PRODUCT('Rollen-Prozess-Matrix'!S32,'Kompetenz-Prozess-Matrix'!Q36)</f>
        <v>0</v>
      </c>
      <c r="P476" s="183">
        <f>PRODUCT('Rollen-Prozess-Matrix'!T32,'Kompetenz-Prozess-Matrix'!Q36)</f>
        <v>0</v>
      </c>
      <c r="Q476" s="185">
        <f>PRODUCT('Rollen-Prozess-Matrix'!U32,'Kompetenz-Prozess-Matrix'!Q36)</f>
        <v>0</v>
      </c>
    </row>
    <row r="477" spans="1:19" ht="13.15" hidden="1" outlineLevel="1" thickBot="1" x14ac:dyDescent="0.4">
      <c r="A477" s="336"/>
      <c r="B477" s="330"/>
      <c r="C477" s="205" t="s">
        <v>266</v>
      </c>
      <c r="D477" s="182">
        <f>PRODUCT('Rollen-Prozess-Matrix'!H33,'Kompetenz-Prozess-Matrix'!Q37)</f>
        <v>0</v>
      </c>
      <c r="E477" s="183">
        <f>PRODUCT('Rollen-Prozess-Matrix'!I33,'Kompetenz-Prozess-Matrix'!Q37)</f>
        <v>0</v>
      </c>
      <c r="F477" s="183">
        <f>PRODUCT('Rollen-Prozess-Matrix'!J33,'Kompetenz-Prozess-Matrix'!Q37)</f>
        <v>0</v>
      </c>
      <c r="G477" s="183">
        <f>PRODUCT('Rollen-Prozess-Matrix'!K33,'Kompetenz-Prozess-Matrix'!Q37)</f>
        <v>0</v>
      </c>
      <c r="H477" s="183">
        <f>PRODUCT('Rollen-Prozess-Matrix'!L33,'Kompetenz-Prozess-Matrix'!Q37)</f>
        <v>0</v>
      </c>
      <c r="I477" s="183">
        <f>PRODUCT('Rollen-Prozess-Matrix'!M33,'Kompetenz-Prozess-Matrix'!Q37)</f>
        <v>0</v>
      </c>
      <c r="J477" s="183">
        <f>PRODUCT('Rollen-Prozess-Matrix'!N33,'Kompetenz-Prozess-Matrix'!Q37)</f>
        <v>0</v>
      </c>
      <c r="K477" s="183">
        <f>PRODUCT('Rollen-Prozess-Matrix'!O33,'Kompetenz-Prozess-Matrix'!Q37)</f>
        <v>0</v>
      </c>
      <c r="L477" s="183">
        <f>PRODUCT('Rollen-Prozess-Matrix'!P33,'Kompetenz-Prozess-Matrix'!Q37)</f>
        <v>0</v>
      </c>
      <c r="M477" s="183">
        <f>PRODUCT('Rollen-Prozess-Matrix'!Q33,'Kompetenz-Prozess-Matrix'!Q37)</f>
        <v>0</v>
      </c>
      <c r="N477" s="183">
        <f>PRODUCT('Rollen-Prozess-Matrix'!R33,'Kompetenz-Prozess-Matrix'!Q37)</f>
        <v>0</v>
      </c>
      <c r="O477" s="183">
        <f>PRODUCT('Rollen-Prozess-Matrix'!S33,'Kompetenz-Prozess-Matrix'!Q37)</f>
        <v>0</v>
      </c>
      <c r="P477" s="183">
        <f>PRODUCT('Rollen-Prozess-Matrix'!T33,'Kompetenz-Prozess-Matrix'!Q37)</f>
        <v>0</v>
      </c>
      <c r="Q477" s="185">
        <f>PRODUCT('Rollen-Prozess-Matrix'!U33,'Kompetenz-Prozess-Matrix'!Q37)</f>
        <v>0</v>
      </c>
    </row>
    <row r="478" spans="1:19" ht="13.15" hidden="1" outlineLevel="1" thickBot="1" x14ac:dyDescent="0.4">
      <c r="A478" s="336"/>
      <c r="B478" s="331"/>
      <c r="C478" s="206" t="s">
        <v>289</v>
      </c>
      <c r="D478" s="182">
        <f>PRODUCT('Rollen-Prozess-Matrix'!H34,'Kompetenz-Prozess-Matrix'!Q38)</f>
        <v>0</v>
      </c>
      <c r="E478" s="183">
        <f>PRODUCT('Rollen-Prozess-Matrix'!I34,'Kompetenz-Prozess-Matrix'!Q38)</f>
        <v>0</v>
      </c>
      <c r="F478" s="183">
        <f>PRODUCT('Rollen-Prozess-Matrix'!J34,'Kompetenz-Prozess-Matrix'!Q38)</f>
        <v>0</v>
      </c>
      <c r="G478" s="183">
        <f>PRODUCT('Rollen-Prozess-Matrix'!K34,'Kompetenz-Prozess-Matrix'!Q38)</f>
        <v>4</v>
      </c>
      <c r="H478" s="183">
        <f>PRODUCT('Rollen-Prozess-Matrix'!L34,'Kompetenz-Prozess-Matrix'!Q38)</f>
        <v>0</v>
      </c>
      <c r="I478" s="183">
        <f>PRODUCT('Rollen-Prozess-Matrix'!M34,'Kompetenz-Prozess-Matrix'!Q38)</f>
        <v>0</v>
      </c>
      <c r="J478" s="183">
        <f>PRODUCT('Rollen-Prozess-Matrix'!N34,'Kompetenz-Prozess-Matrix'!Q38)</f>
        <v>0</v>
      </c>
      <c r="K478" s="183">
        <f>PRODUCT('Rollen-Prozess-Matrix'!O34,'Kompetenz-Prozess-Matrix'!Q38)</f>
        <v>0</v>
      </c>
      <c r="L478" s="183">
        <f>PRODUCT('Rollen-Prozess-Matrix'!P34,'Kompetenz-Prozess-Matrix'!Q38)</f>
        <v>0</v>
      </c>
      <c r="M478" s="183">
        <f>PRODUCT('Rollen-Prozess-Matrix'!Q34,'Kompetenz-Prozess-Matrix'!Q38)</f>
        <v>0</v>
      </c>
      <c r="N478" s="183">
        <f>PRODUCT('Rollen-Prozess-Matrix'!R34,'Kompetenz-Prozess-Matrix'!Q38)</f>
        <v>0</v>
      </c>
      <c r="O478" s="183">
        <f>PRODUCT('Rollen-Prozess-Matrix'!S34,'Kompetenz-Prozess-Matrix'!Q38)</f>
        <v>0</v>
      </c>
      <c r="P478" s="183">
        <f>PRODUCT('Rollen-Prozess-Matrix'!T34,'Kompetenz-Prozess-Matrix'!Q38)</f>
        <v>0</v>
      </c>
      <c r="Q478" s="185">
        <f>PRODUCT('Rollen-Prozess-Matrix'!U34,'Kompetenz-Prozess-Matrix'!Q38)</f>
        <v>0</v>
      </c>
    </row>
    <row r="479" spans="1:19" ht="13.15" collapsed="1" thickBot="1" x14ac:dyDescent="0.4">
      <c r="A479" s="336"/>
      <c r="B479" s="329" t="s">
        <v>93</v>
      </c>
      <c r="C479" s="204"/>
      <c r="D479" s="184">
        <f>MAX(D480:D512)</f>
        <v>2</v>
      </c>
      <c r="E479" s="184">
        <f t="shared" ref="E479" si="170">MAX(E480:E512)</f>
        <v>2</v>
      </c>
      <c r="F479" s="184">
        <f t="shared" ref="F479" si="171">MAX(F480:F512)</f>
        <v>4</v>
      </c>
      <c r="G479" s="184">
        <f t="shared" ref="G479" si="172">MAX(G480:G512)</f>
        <v>4</v>
      </c>
      <c r="H479" s="184">
        <f t="shared" ref="H479" si="173">MAX(H480:H512)</f>
        <v>6</v>
      </c>
      <c r="I479" s="184">
        <f t="shared" ref="I479" si="174">MAX(I480:I512)</f>
        <v>4</v>
      </c>
      <c r="J479" s="184">
        <f t="shared" ref="J479" si="175">MAX(J480:J512)</f>
        <v>2</v>
      </c>
      <c r="K479" s="184">
        <f t="shared" ref="K479" si="176">MAX(K480:K512)</f>
        <v>2</v>
      </c>
      <c r="L479" s="184">
        <f t="shared" ref="L479" si="177">MAX(L480:L512)</f>
        <v>2</v>
      </c>
      <c r="M479" s="184">
        <f t="shared" ref="M479" si="178">MAX(M480:M512)</f>
        <v>2</v>
      </c>
      <c r="N479" s="184">
        <f t="shared" ref="N479" si="179">MAX(N480:N512)</f>
        <v>2</v>
      </c>
      <c r="O479" s="184">
        <f t="shared" ref="O479" si="180">MAX(O480:O512)</f>
        <v>2</v>
      </c>
      <c r="P479" s="184">
        <f t="shared" ref="P479" si="181">MAX(P480:P512)</f>
        <v>2</v>
      </c>
      <c r="Q479" s="199">
        <f t="shared" ref="Q479" si="182">MAX(Q480:Q512)</f>
        <v>1</v>
      </c>
      <c r="S479" s="213">
        <v>1</v>
      </c>
    </row>
    <row r="480" spans="1:19" ht="13.15" hidden="1" outlineLevel="1" thickBot="1" x14ac:dyDescent="0.4">
      <c r="A480" s="336"/>
      <c r="B480" s="330"/>
      <c r="C480" s="190" t="s">
        <v>123</v>
      </c>
      <c r="D480" s="182">
        <f>PRODUCT('Rollen-Prozess-Matrix'!H2,'Kompetenz-Prozess-Matrix'!R6)</f>
        <v>0</v>
      </c>
      <c r="E480" s="183">
        <f>PRODUCT('Rollen-Prozess-Matrix'!I2,'Kompetenz-Prozess-Matrix'!R6)</f>
        <v>0</v>
      </c>
      <c r="F480" s="183">
        <f>PRODUCT('Rollen-Prozess-Matrix'!J2,'Kompetenz-Prozess-Matrix'!R6)</f>
        <v>0</v>
      </c>
      <c r="G480" s="183">
        <f>PRODUCT('Rollen-Prozess-Matrix'!K2,'Kompetenz-Prozess-Matrix'!R6)</f>
        <v>0</v>
      </c>
      <c r="H480" s="183">
        <f>PRODUCT('Rollen-Prozess-Matrix'!L2,'Kompetenz-Prozess-Matrix'!R6)</f>
        <v>0</v>
      </c>
      <c r="I480" s="183">
        <f>PRODUCT('Rollen-Prozess-Matrix'!M2,'Kompetenz-Prozess-Matrix'!R6)</f>
        <v>0</v>
      </c>
      <c r="J480" s="183">
        <f>PRODUCT('Rollen-Prozess-Matrix'!N2,'Kompetenz-Prozess-Matrix'!R6)</f>
        <v>0</v>
      </c>
      <c r="K480" s="183">
        <f>PRODUCT('Rollen-Prozess-Matrix'!O2,'Kompetenz-Prozess-Matrix'!R6)</f>
        <v>0</v>
      </c>
      <c r="L480" s="183">
        <f>PRODUCT('Rollen-Prozess-Matrix'!GW2,'Kompetenz-Prozess-Matrix'!R6)</f>
        <v>0</v>
      </c>
      <c r="M480" s="183">
        <f>PRODUCT('Rollen-Prozess-Matrix'!Q2,'Kompetenz-Prozess-Matrix'!R6)</f>
        <v>0</v>
      </c>
      <c r="N480" s="183">
        <f>PRODUCT('Rollen-Prozess-Matrix'!R2,'Kompetenz-Prozess-Matrix'!R6)</f>
        <v>0</v>
      </c>
      <c r="O480" s="183">
        <f>PRODUCT('Rollen-Prozess-Matrix'!S2,'Kompetenz-Prozess-Matrix'!R6)</f>
        <v>0</v>
      </c>
      <c r="P480" s="183">
        <f>PRODUCT('Rollen-Prozess-Matrix'!T2,'Kompetenz-Prozess-Matrix'!R6)</f>
        <v>0</v>
      </c>
      <c r="Q480" s="185">
        <f>PRODUCT('Rollen-Prozess-Matrix'!U2,'Kompetenz-Prozess-Matrix'!R6)</f>
        <v>0</v>
      </c>
    </row>
    <row r="481" spans="1:17" ht="13.15" hidden="1" outlineLevel="1" thickBot="1" x14ac:dyDescent="0.4">
      <c r="A481" s="336"/>
      <c r="B481" s="330"/>
      <c r="C481" s="205" t="s">
        <v>127</v>
      </c>
      <c r="D481" s="182">
        <f>PRODUCT('Rollen-Prozess-Matrix'!H3,'Kompetenz-Prozess-Matrix'!R7)</f>
        <v>0</v>
      </c>
      <c r="E481" s="183">
        <f>PRODUCT('Rollen-Prozess-Matrix'!I3,'Kompetenz-Prozess-Matrix'!R7)</f>
        <v>0</v>
      </c>
      <c r="F481" s="183">
        <f>PRODUCT('Rollen-Prozess-Matrix'!J3,'Kompetenz-Prozess-Matrix'!R7)</f>
        <v>0</v>
      </c>
      <c r="G481" s="183">
        <f>PRODUCT('Rollen-Prozess-Matrix'!K3,'Kompetenz-Prozess-Matrix'!R7)</f>
        <v>0</v>
      </c>
      <c r="H481" s="183">
        <f>PRODUCT('Rollen-Prozess-Matrix'!L3,'Kompetenz-Prozess-Matrix'!R7)</f>
        <v>0</v>
      </c>
      <c r="I481" s="183">
        <f>PRODUCT('Rollen-Prozess-Matrix'!M3,'Kompetenz-Prozess-Matrix'!R7)</f>
        <v>0</v>
      </c>
      <c r="J481" s="183">
        <f>PRODUCT('Rollen-Prozess-Matrix'!N3,'Kompetenz-Prozess-Matrix'!R7)</f>
        <v>0</v>
      </c>
      <c r="K481" s="183">
        <f>PRODUCT('Rollen-Prozess-Matrix'!O3,'Kompetenz-Prozess-Matrix'!R7)</f>
        <v>0</v>
      </c>
      <c r="L481" s="183">
        <f>PRODUCT('Rollen-Prozess-Matrix'!GW3,'Kompetenz-Prozess-Matrix'!R7)</f>
        <v>0</v>
      </c>
      <c r="M481" s="183">
        <f>PRODUCT('Rollen-Prozess-Matrix'!Q3,'Kompetenz-Prozess-Matrix'!R7)</f>
        <v>0</v>
      </c>
      <c r="N481" s="183">
        <f>PRODUCT('Rollen-Prozess-Matrix'!R3,'Kompetenz-Prozess-Matrix'!R7)</f>
        <v>0</v>
      </c>
      <c r="O481" s="183">
        <f>PRODUCT('Rollen-Prozess-Matrix'!S3,'Kompetenz-Prozess-Matrix'!R7)</f>
        <v>0</v>
      </c>
      <c r="P481" s="183">
        <f>PRODUCT('Rollen-Prozess-Matrix'!T3,'Kompetenz-Prozess-Matrix'!R7)</f>
        <v>0</v>
      </c>
      <c r="Q481" s="185">
        <f>PRODUCT('Rollen-Prozess-Matrix'!U3,'Kompetenz-Prozess-Matrix'!R7)</f>
        <v>0</v>
      </c>
    </row>
    <row r="482" spans="1:17" ht="51.4" hidden="1" outlineLevel="1" thickBot="1" x14ac:dyDescent="0.4">
      <c r="A482" s="336"/>
      <c r="B482" s="330"/>
      <c r="C482" s="205" t="s">
        <v>132</v>
      </c>
      <c r="D482" s="182">
        <f>PRODUCT('Rollen-Prozess-Matrix'!H4,'Kompetenz-Prozess-Matrix'!R8)</f>
        <v>0</v>
      </c>
      <c r="E482" s="183">
        <f>PRODUCT('Rollen-Prozess-Matrix'!I4,'Kompetenz-Prozess-Matrix'!R8)</f>
        <v>0</v>
      </c>
      <c r="F482" s="183">
        <f>PRODUCT('Rollen-Prozess-Matrix'!J4,'Kompetenz-Prozess-Matrix'!R8)</f>
        <v>0</v>
      </c>
      <c r="G482" s="183">
        <f>PRODUCT('Rollen-Prozess-Matrix'!K4,'Kompetenz-Prozess-Matrix'!R8)</f>
        <v>2</v>
      </c>
      <c r="H482" s="183">
        <f>PRODUCT('Rollen-Prozess-Matrix'!L4,'Kompetenz-Prozess-Matrix'!R8)</f>
        <v>6</v>
      </c>
      <c r="I482" s="183">
        <f>PRODUCT('Rollen-Prozess-Matrix'!M4,'Kompetenz-Prozess-Matrix'!R8)</f>
        <v>0</v>
      </c>
      <c r="J482" s="183">
        <f>PRODUCT('Rollen-Prozess-Matrix'!N4,'Kompetenz-Prozess-Matrix'!R8)</f>
        <v>0</v>
      </c>
      <c r="K482" s="183">
        <f>PRODUCT('Rollen-Prozess-Matrix'!O4,'Kompetenz-Prozess-Matrix'!R8)</f>
        <v>0</v>
      </c>
      <c r="L482" s="183">
        <f>PRODUCT('Rollen-Prozess-Matrix'!GW4,'Kompetenz-Prozess-Matrix'!R8)</f>
        <v>2</v>
      </c>
      <c r="M482" s="183">
        <f>PRODUCT('Rollen-Prozess-Matrix'!Q4,'Kompetenz-Prozess-Matrix'!R8)</f>
        <v>0</v>
      </c>
      <c r="N482" s="183">
        <f>PRODUCT('Rollen-Prozess-Matrix'!R4,'Kompetenz-Prozess-Matrix'!R8)</f>
        <v>0</v>
      </c>
      <c r="O482" s="183">
        <f>PRODUCT('Rollen-Prozess-Matrix'!S4,'Kompetenz-Prozess-Matrix'!R8)</f>
        <v>0</v>
      </c>
      <c r="P482" s="183">
        <f>PRODUCT('Rollen-Prozess-Matrix'!T4,'Kompetenz-Prozess-Matrix'!R8)</f>
        <v>0</v>
      </c>
      <c r="Q482" s="185">
        <f>PRODUCT('Rollen-Prozess-Matrix'!U4,'Kompetenz-Prozess-Matrix'!R8)</f>
        <v>0</v>
      </c>
    </row>
    <row r="483" spans="1:17" ht="38.65" hidden="1" outlineLevel="1" thickBot="1" x14ac:dyDescent="0.4">
      <c r="A483" s="336"/>
      <c r="B483" s="330"/>
      <c r="C483" s="205" t="s">
        <v>136</v>
      </c>
      <c r="D483" s="182">
        <f>PRODUCT('Rollen-Prozess-Matrix'!H5,'Kompetenz-Prozess-Matrix'!R9)</f>
        <v>0</v>
      </c>
      <c r="E483" s="183">
        <f>PRODUCT('Rollen-Prozess-Matrix'!I5,'Kompetenz-Prozess-Matrix'!R9)</f>
        <v>0</v>
      </c>
      <c r="F483" s="183">
        <f>PRODUCT('Rollen-Prozess-Matrix'!J5,'Kompetenz-Prozess-Matrix'!R9)</f>
        <v>0</v>
      </c>
      <c r="G483" s="183">
        <f>PRODUCT('Rollen-Prozess-Matrix'!K5,'Kompetenz-Prozess-Matrix'!R9)</f>
        <v>2</v>
      </c>
      <c r="H483" s="183">
        <f>PRODUCT('Rollen-Prozess-Matrix'!L5,'Kompetenz-Prozess-Matrix'!R9)</f>
        <v>3</v>
      </c>
      <c r="I483" s="183">
        <f>PRODUCT('Rollen-Prozess-Matrix'!M5,'Kompetenz-Prozess-Matrix'!R9)</f>
        <v>0</v>
      </c>
      <c r="J483" s="183">
        <f>PRODUCT('Rollen-Prozess-Matrix'!N5,'Kompetenz-Prozess-Matrix'!R9)</f>
        <v>0</v>
      </c>
      <c r="K483" s="183">
        <f>PRODUCT('Rollen-Prozess-Matrix'!O5,'Kompetenz-Prozess-Matrix'!R9)</f>
        <v>0</v>
      </c>
      <c r="L483" s="183">
        <f>PRODUCT('Rollen-Prozess-Matrix'!GW5,'Kompetenz-Prozess-Matrix'!R9)</f>
        <v>1</v>
      </c>
      <c r="M483" s="183">
        <f>PRODUCT('Rollen-Prozess-Matrix'!Q5,'Kompetenz-Prozess-Matrix'!R9)</f>
        <v>0</v>
      </c>
      <c r="N483" s="183">
        <f>PRODUCT('Rollen-Prozess-Matrix'!R5,'Kompetenz-Prozess-Matrix'!R9)</f>
        <v>0</v>
      </c>
      <c r="O483" s="183">
        <f>PRODUCT('Rollen-Prozess-Matrix'!S5,'Kompetenz-Prozess-Matrix'!R9)</f>
        <v>0</v>
      </c>
      <c r="P483" s="183">
        <f>PRODUCT('Rollen-Prozess-Matrix'!T5,'Kompetenz-Prozess-Matrix'!R9)</f>
        <v>0</v>
      </c>
      <c r="Q483" s="185">
        <f>PRODUCT('Rollen-Prozess-Matrix'!U5,'Kompetenz-Prozess-Matrix'!R9)</f>
        <v>0</v>
      </c>
    </row>
    <row r="484" spans="1:17" ht="38.65" hidden="1" outlineLevel="1" thickBot="1" x14ac:dyDescent="0.4">
      <c r="A484" s="336"/>
      <c r="B484" s="330"/>
      <c r="C484" s="205" t="s">
        <v>140</v>
      </c>
      <c r="D484" s="182">
        <f>PRODUCT('Rollen-Prozess-Matrix'!H6,'Kompetenz-Prozess-Matrix'!R10)</f>
        <v>0</v>
      </c>
      <c r="E484" s="183">
        <f>PRODUCT('Rollen-Prozess-Matrix'!I6,'Kompetenz-Prozess-Matrix'!R10)</f>
        <v>0</v>
      </c>
      <c r="F484" s="183">
        <f>PRODUCT('Rollen-Prozess-Matrix'!J6,'Kompetenz-Prozess-Matrix'!R10)</f>
        <v>0</v>
      </c>
      <c r="G484" s="183">
        <f>PRODUCT('Rollen-Prozess-Matrix'!K6,'Kompetenz-Prozess-Matrix'!R10)</f>
        <v>0</v>
      </c>
      <c r="H484" s="183">
        <f>PRODUCT('Rollen-Prozess-Matrix'!L6,'Kompetenz-Prozess-Matrix'!R10)</f>
        <v>0</v>
      </c>
      <c r="I484" s="183">
        <f>PRODUCT('Rollen-Prozess-Matrix'!M6,'Kompetenz-Prozess-Matrix'!R10)</f>
        <v>0</v>
      </c>
      <c r="J484" s="183">
        <f>PRODUCT('Rollen-Prozess-Matrix'!N6,'Kompetenz-Prozess-Matrix'!R10)</f>
        <v>0</v>
      </c>
      <c r="K484" s="183">
        <f>PRODUCT('Rollen-Prozess-Matrix'!O6,'Kompetenz-Prozess-Matrix'!R10)</f>
        <v>0</v>
      </c>
      <c r="L484" s="183">
        <f>PRODUCT('Rollen-Prozess-Matrix'!GW6,'Kompetenz-Prozess-Matrix'!R10)</f>
        <v>0</v>
      </c>
      <c r="M484" s="183">
        <f>PRODUCT('Rollen-Prozess-Matrix'!Q6,'Kompetenz-Prozess-Matrix'!R10)</f>
        <v>0</v>
      </c>
      <c r="N484" s="183">
        <f>PRODUCT('Rollen-Prozess-Matrix'!R6,'Kompetenz-Prozess-Matrix'!R10)</f>
        <v>0</v>
      </c>
      <c r="O484" s="183">
        <f>PRODUCT('Rollen-Prozess-Matrix'!S6,'Kompetenz-Prozess-Matrix'!R10)</f>
        <v>0</v>
      </c>
      <c r="P484" s="183">
        <f>PRODUCT('Rollen-Prozess-Matrix'!T6,'Kompetenz-Prozess-Matrix'!R10)</f>
        <v>0</v>
      </c>
      <c r="Q484" s="185">
        <f>PRODUCT('Rollen-Prozess-Matrix'!U6,'Kompetenz-Prozess-Matrix'!R10)</f>
        <v>0</v>
      </c>
    </row>
    <row r="485" spans="1:17" ht="38.65" hidden="1" outlineLevel="1" thickBot="1" x14ac:dyDescent="0.4">
      <c r="A485" s="336"/>
      <c r="B485" s="330"/>
      <c r="C485" s="205" t="s">
        <v>144</v>
      </c>
      <c r="D485" s="182">
        <f>PRODUCT('Rollen-Prozess-Matrix'!H7,'Kompetenz-Prozess-Matrix'!R11)</f>
        <v>0</v>
      </c>
      <c r="E485" s="183">
        <f>PRODUCT('Rollen-Prozess-Matrix'!I7,'Kompetenz-Prozess-Matrix'!R11)</f>
        <v>0</v>
      </c>
      <c r="F485" s="183">
        <f>PRODUCT('Rollen-Prozess-Matrix'!J7,'Kompetenz-Prozess-Matrix'!R11)</f>
        <v>0</v>
      </c>
      <c r="G485" s="183">
        <f>PRODUCT('Rollen-Prozess-Matrix'!K7,'Kompetenz-Prozess-Matrix'!R11)</f>
        <v>0</v>
      </c>
      <c r="H485" s="183">
        <f>PRODUCT('Rollen-Prozess-Matrix'!L7,'Kompetenz-Prozess-Matrix'!R11)</f>
        <v>0</v>
      </c>
      <c r="I485" s="183">
        <f>PRODUCT('Rollen-Prozess-Matrix'!M7,'Kompetenz-Prozess-Matrix'!R11)</f>
        <v>0</v>
      </c>
      <c r="J485" s="183">
        <f>PRODUCT('Rollen-Prozess-Matrix'!N7,'Kompetenz-Prozess-Matrix'!R11)</f>
        <v>0</v>
      </c>
      <c r="K485" s="183">
        <f>PRODUCT('Rollen-Prozess-Matrix'!O7,'Kompetenz-Prozess-Matrix'!R11)</f>
        <v>0</v>
      </c>
      <c r="L485" s="183">
        <f>PRODUCT('Rollen-Prozess-Matrix'!GW7,'Kompetenz-Prozess-Matrix'!R11)</f>
        <v>0</v>
      </c>
      <c r="M485" s="183">
        <f>PRODUCT('Rollen-Prozess-Matrix'!Q7,'Kompetenz-Prozess-Matrix'!R11)</f>
        <v>0</v>
      </c>
      <c r="N485" s="183">
        <f>PRODUCT('Rollen-Prozess-Matrix'!R7,'Kompetenz-Prozess-Matrix'!R11)</f>
        <v>0</v>
      </c>
      <c r="O485" s="183">
        <f>PRODUCT('Rollen-Prozess-Matrix'!S7,'Kompetenz-Prozess-Matrix'!R11)</f>
        <v>0</v>
      </c>
      <c r="P485" s="183">
        <f>PRODUCT('Rollen-Prozess-Matrix'!T7,'Kompetenz-Prozess-Matrix'!R11)</f>
        <v>0</v>
      </c>
      <c r="Q485" s="185">
        <f>PRODUCT('Rollen-Prozess-Matrix'!U7,'Kompetenz-Prozess-Matrix'!R11)</f>
        <v>0</v>
      </c>
    </row>
    <row r="486" spans="1:17" ht="38.65" hidden="1" outlineLevel="1" thickBot="1" x14ac:dyDescent="0.4">
      <c r="A486" s="336"/>
      <c r="B486" s="330"/>
      <c r="C486" s="205" t="s">
        <v>148</v>
      </c>
      <c r="D486" s="182">
        <f>PRODUCT('Rollen-Prozess-Matrix'!H8,'Kompetenz-Prozess-Matrix'!R12)</f>
        <v>0</v>
      </c>
      <c r="E486" s="183">
        <f>PRODUCT('Rollen-Prozess-Matrix'!I8,'Kompetenz-Prozess-Matrix'!R12)</f>
        <v>0</v>
      </c>
      <c r="F486" s="183">
        <f>PRODUCT('Rollen-Prozess-Matrix'!J8,'Kompetenz-Prozess-Matrix'!R12)</f>
        <v>0</v>
      </c>
      <c r="G486" s="183">
        <f>PRODUCT('Rollen-Prozess-Matrix'!K8,'Kompetenz-Prozess-Matrix'!R12)</f>
        <v>0</v>
      </c>
      <c r="H486" s="183">
        <f>PRODUCT('Rollen-Prozess-Matrix'!L8,'Kompetenz-Prozess-Matrix'!R12)</f>
        <v>0</v>
      </c>
      <c r="I486" s="183">
        <f>PRODUCT('Rollen-Prozess-Matrix'!M8,'Kompetenz-Prozess-Matrix'!R12)</f>
        <v>0</v>
      </c>
      <c r="J486" s="183">
        <f>PRODUCT('Rollen-Prozess-Matrix'!N8,'Kompetenz-Prozess-Matrix'!R12)</f>
        <v>0</v>
      </c>
      <c r="K486" s="183">
        <f>PRODUCT('Rollen-Prozess-Matrix'!O8,'Kompetenz-Prozess-Matrix'!R12)</f>
        <v>0</v>
      </c>
      <c r="L486" s="183">
        <f>PRODUCT('Rollen-Prozess-Matrix'!GW8,'Kompetenz-Prozess-Matrix'!R12)</f>
        <v>0</v>
      </c>
      <c r="M486" s="183">
        <f>PRODUCT('Rollen-Prozess-Matrix'!Q8,'Kompetenz-Prozess-Matrix'!R12)</f>
        <v>0</v>
      </c>
      <c r="N486" s="183">
        <f>PRODUCT('Rollen-Prozess-Matrix'!R8,'Kompetenz-Prozess-Matrix'!R12)</f>
        <v>0</v>
      </c>
      <c r="O486" s="183">
        <f>PRODUCT('Rollen-Prozess-Matrix'!S8,'Kompetenz-Prozess-Matrix'!R12)</f>
        <v>0</v>
      </c>
      <c r="P486" s="183">
        <f>PRODUCT('Rollen-Prozess-Matrix'!T8,'Kompetenz-Prozess-Matrix'!R12)</f>
        <v>0</v>
      </c>
      <c r="Q486" s="185">
        <f>PRODUCT('Rollen-Prozess-Matrix'!U8,'Kompetenz-Prozess-Matrix'!R12)</f>
        <v>0</v>
      </c>
    </row>
    <row r="487" spans="1:17" ht="38.65" hidden="1" outlineLevel="1" thickBot="1" x14ac:dyDescent="0.4">
      <c r="A487" s="336"/>
      <c r="B487" s="330"/>
      <c r="C487" s="205" t="s">
        <v>152</v>
      </c>
      <c r="D487" s="182">
        <f>PRODUCT('Rollen-Prozess-Matrix'!H9,'Kompetenz-Prozess-Matrix'!R13)</f>
        <v>0</v>
      </c>
      <c r="E487" s="183">
        <f>PRODUCT('Rollen-Prozess-Matrix'!I9,'Kompetenz-Prozess-Matrix'!R13)</f>
        <v>0</v>
      </c>
      <c r="F487" s="183">
        <f>PRODUCT('Rollen-Prozess-Matrix'!J9,'Kompetenz-Prozess-Matrix'!R13)</f>
        <v>0</v>
      </c>
      <c r="G487" s="183">
        <f>PRODUCT('Rollen-Prozess-Matrix'!K9,'Kompetenz-Prozess-Matrix'!R13)</f>
        <v>4</v>
      </c>
      <c r="H487" s="183">
        <f>PRODUCT('Rollen-Prozess-Matrix'!L9,'Kompetenz-Prozess-Matrix'!R13)</f>
        <v>6</v>
      </c>
      <c r="I487" s="183">
        <f>PRODUCT('Rollen-Prozess-Matrix'!M9,'Kompetenz-Prozess-Matrix'!R13)</f>
        <v>0</v>
      </c>
      <c r="J487" s="183">
        <f>PRODUCT('Rollen-Prozess-Matrix'!N9,'Kompetenz-Prozess-Matrix'!R13)</f>
        <v>0</v>
      </c>
      <c r="K487" s="183">
        <f>PRODUCT('Rollen-Prozess-Matrix'!O9,'Kompetenz-Prozess-Matrix'!R13)</f>
        <v>0</v>
      </c>
      <c r="L487" s="183">
        <f>PRODUCT('Rollen-Prozess-Matrix'!GW9,'Kompetenz-Prozess-Matrix'!R13)</f>
        <v>2</v>
      </c>
      <c r="M487" s="183">
        <f>PRODUCT('Rollen-Prozess-Matrix'!Q9,'Kompetenz-Prozess-Matrix'!R13)</f>
        <v>0</v>
      </c>
      <c r="N487" s="183">
        <f>PRODUCT('Rollen-Prozess-Matrix'!R9,'Kompetenz-Prozess-Matrix'!R13)</f>
        <v>0</v>
      </c>
      <c r="O487" s="183">
        <f>PRODUCT('Rollen-Prozess-Matrix'!S9,'Kompetenz-Prozess-Matrix'!R13)</f>
        <v>0</v>
      </c>
      <c r="P487" s="183">
        <f>PRODUCT('Rollen-Prozess-Matrix'!T9,'Kompetenz-Prozess-Matrix'!R13)</f>
        <v>0</v>
      </c>
      <c r="Q487" s="185">
        <f>PRODUCT('Rollen-Prozess-Matrix'!U9,'Kompetenz-Prozess-Matrix'!R13)</f>
        <v>0</v>
      </c>
    </row>
    <row r="488" spans="1:17" ht="38.65" hidden="1" outlineLevel="1" thickBot="1" x14ac:dyDescent="0.4">
      <c r="A488" s="336"/>
      <c r="B488" s="330"/>
      <c r="C488" s="205" t="s">
        <v>157</v>
      </c>
      <c r="D488" s="182">
        <f>PRODUCT('Rollen-Prozess-Matrix'!H10,'Kompetenz-Prozess-Matrix'!R14)</f>
        <v>0</v>
      </c>
      <c r="E488" s="183">
        <f>PRODUCT('Rollen-Prozess-Matrix'!I10,'Kompetenz-Prozess-Matrix'!R14)</f>
        <v>0</v>
      </c>
      <c r="F488" s="183">
        <f>PRODUCT('Rollen-Prozess-Matrix'!J10,'Kompetenz-Prozess-Matrix'!R14)</f>
        <v>2</v>
      </c>
      <c r="G488" s="183">
        <f>PRODUCT('Rollen-Prozess-Matrix'!K10,'Kompetenz-Prozess-Matrix'!R14)</f>
        <v>0</v>
      </c>
      <c r="H488" s="183">
        <f>PRODUCT('Rollen-Prozess-Matrix'!L10,'Kompetenz-Prozess-Matrix'!R14)</f>
        <v>3</v>
      </c>
      <c r="I488" s="183">
        <f>PRODUCT('Rollen-Prozess-Matrix'!M10,'Kompetenz-Prozess-Matrix'!R14)</f>
        <v>0</v>
      </c>
      <c r="J488" s="183">
        <f>PRODUCT('Rollen-Prozess-Matrix'!N10,'Kompetenz-Prozess-Matrix'!R14)</f>
        <v>0</v>
      </c>
      <c r="K488" s="183">
        <f>PRODUCT('Rollen-Prozess-Matrix'!O10,'Kompetenz-Prozess-Matrix'!R14)</f>
        <v>0</v>
      </c>
      <c r="L488" s="183">
        <f>PRODUCT('Rollen-Prozess-Matrix'!GW10,'Kompetenz-Prozess-Matrix'!R14)</f>
        <v>1</v>
      </c>
      <c r="M488" s="183">
        <f>PRODUCT('Rollen-Prozess-Matrix'!Q10,'Kompetenz-Prozess-Matrix'!R14)</f>
        <v>0</v>
      </c>
      <c r="N488" s="183">
        <f>PRODUCT('Rollen-Prozess-Matrix'!R10,'Kompetenz-Prozess-Matrix'!R14)</f>
        <v>0</v>
      </c>
      <c r="O488" s="183">
        <f>PRODUCT('Rollen-Prozess-Matrix'!S10,'Kompetenz-Prozess-Matrix'!R14)</f>
        <v>0</v>
      </c>
      <c r="P488" s="183">
        <f>PRODUCT('Rollen-Prozess-Matrix'!T10,'Kompetenz-Prozess-Matrix'!R14)</f>
        <v>0</v>
      </c>
      <c r="Q488" s="185">
        <f>PRODUCT('Rollen-Prozess-Matrix'!U10,'Kompetenz-Prozess-Matrix'!R14)</f>
        <v>0</v>
      </c>
    </row>
    <row r="489" spans="1:17" ht="38.65" hidden="1" outlineLevel="1" thickBot="1" x14ac:dyDescent="0.4">
      <c r="A489" s="336"/>
      <c r="B489" s="330"/>
      <c r="C489" s="205" t="s">
        <v>161</v>
      </c>
      <c r="D489" s="182">
        <f>PRODUCT('Rollen-Prozess-Matrix'!H11,'Kompetenz-Prozess-Matrix'!R15)</f>
        <v>0</v>
      </c>
      <c r="E489" s="183">
        <f>PRODUCT('Rollen-Prozess-Matrix'!I11,'Kompetenz-Prozess-Matrix'!R15)</f>
        <v>0</v>
      </c>
      <c r="F489" s="183">
        <f>PRODUCT('Rollen-Prozess-Matrix'!J11,'Kompetenz-Prozess-Matrix'!R15)</f>
        <v>2</v>
      </c>
      <c r="G489" s="183">
        <f>PRODUCT('Rollen-Prozess-Matrix'!K11,'Kompetenz-Prozess-Matrix'!R15)</f>
        <v>0</v>
      </c>
      <c r="H489" s="183">
        <f>PRODUCT('Rollen-Prozess-Matrix'!L11,'Kompetenz-Prozess-Matrix'!R15)</f>
        <v>3</v>
      </c>
      <c r="I489" s="183">
        <f>PRODUCT('Rollen-Prozess-Matrix'!M11,'Kompetenz-Prozess-Matrix'!R15)</f>
        <v>0</v>
      </c>
      <c r="J489" s="183">
        <f>PRODUCT('Rollen-Prozess-Matrix'!N11,'Kompetenz-Prozess-Matrix'!R15)</f>
        <v>0</v>
      </c>
      <c r="K489" s="183">
        <f>PRODUCT('Rollen-Prozess-Matrix'!O11,'Kompetenz-Prozess-Matrix'!R15)</f>
        <v>0</v>
      </c>
      <c r="L489" s="183">
        <f>PRODUCT('Rollen-Prozess-Matrix'!GW11,'Kompetenz-Prozess-Matrix'!R15)</f>
        <v>1</v>
      </c>
      <c r="M489" s="183">
        <f>PRODUCT('Rollen-Prozess-Matrix'!Q11,'Kompetenz-Prozess-Matrix'!R15)</f>
        <v>0</v>
      </c>
      <c r="N489" s="183">
        <f>PRODUCT('Rollen-Prozess-Matrix'!R11,'Kompetenz-Prozess-Matrix'!R15)</f>
        <v>0</v>
      </c>
      <c r="O489" s="183">
        <f>PRODUCT('Rollen-Prozess-Matrix'!S11,'Kompetenz-Prozess-Matrix'!R15)</f>
        <v>0</v>
      </c>
      <c r="P489" s="183">
        <f>PRODUCT('Rollen-Prozess-Matrix'!T11,'Kompetenz-Prozess-Matrix'!R15)</f>
        <v>0</v>
      </c>
      <c r="Q489" s="185">
        <f>PRODUCT('Rollen-Prozess-Matrix'!U11,'Kompetenz-Prozess-Matrix'!R15)</f>
        <v>1</v>
      </c>
    </row>
    <row r="490" spans="1:17" ht="38.65" hidden="1" outlineLevel="1" thickBot="1" x14ac:dyDescent="0.4">
      <c r="A490" s="336"/>
      <c r="B490" s="330"/>
      <c r="C490" s="205" t="s">
        <v>288</v>
      </c>
      <c r="D490" s="182">
        <f>PRODUCT('Rollen-Prozess-Matrix'!H12,'Kompetenz-Prozess-Matrix'!R16)</f>
        <v>0</v>
      </c>
      <c r="E490" s="183">
        <f>PRODUCT('Rollen-Prozess-Matrix'!I12,'Kompetenz-Prozess-Matrix'!R16)</f>
        <v>0</v>
      </c>
      <c r="F490" s="183">
        <f>PRODUCT('Rollen-Prozess-Matrix'!J12,'Kompetenz-Prozess-Matrix'!R16)</f>
        <v>0</v>
      </c>
      <c r="G490" s="183">
        <f>PRODUCT('Rollen-Prozess-Matrix'!K12,'Kompetenz-Prozess-Matrix'!R16)</f>
        <v>0</v>
      </c>
      <c r="H490" s="183">
        <f>PRODUCT('Rollen-Prozess-Matrix'!L12,'Kompetenz-Prozess-Matrix'!R16)</f>
        <v>0</v>
      </c>
      <c r="I490" s="183">
        <f>PRODUCT('Rollen-Prozess-Matrix'!M12,'Kompetenz-Prozess-Matrix'!R16)</f>
        <v>0</v>
      </c>
      <c r="J490" s="183">
        <f>PRODUCT('Rollen-Prozess-Matrix'!N12,'Kompetenz-Prozess-Matrix'!R16)</f>
        <v>0</v>
      </c>
      <c r="K490" s="183">
        <f>PRODUCT('Rollen-Prozess-Matrix'!O12,'Kompetenz-Prozess-Matrix'!R16)</f>
        <v>0</v>
      </c>
      <c r="L490" s="183">
        <f>PRODUCT('Rollen-Prozess-Matrix'!GW12,'Kompetenz-Prozess-Matrix'!R16)</f>
        <v>0</v>
      </c>
      <c r="M490" s="183">
        <f>PRODUCT('Rollen-Prozess-Matrix'!Q12,'Kompetenz-Prozess-Matrix'!R16)</f>
        <v>0</v>
      </c>
      <c r="N490" s="183">
        <f>PRODUCT('Rollen-Prozess-Matrix'!R12,'Kompetenz-Prozess-Matrix'!R16)</f>
        <v>0</v>
      </c>
      <c r="O490" s="183">
        <f>PRODUCT('Rollen-Prozess-Matrix'!S12,'Kompetenz-Prozess-Matrix'!R16)</f>
        <v>0</v>
      </c>
      <c r="P490" s="183">
        <f>PRODUCT('Rollen-Prozess-Matrix'!T12,'Kompetenz-Prozess-Matrix'!R16)</f>
        <v>0</v>
      </c>
      <c r="Q490" s="185">
        <f>PRODUCT('Rollen-Prozess-Matrix'!U12,'Kompetenz-Prozess-Matrix'!R16)</f>
        <v>0</v>
      </c>
    </row>
    <row r="491" spans="1:17" ht="25.9" hidden="1" outlineLevel="1" thickBot="1" x14ac:dyDescent="0.4">
      <c r="A491" s="336"/>
      <c r="B491" s="330"/>
      <c r="C491" s="205" t="s">
        <v>169</v>
      </c>
      <c r="D491" s="182">
        <f>PRODUCT('Rollen-Prozess-Matrix'!H13,'Kompetenz-Prozess-Matrix'!R17)</f>
        <v>0</v>
      </c>
      <c r="E491" s="183">
        <f>PRODUCT('Rollen-Prozess-Matrix'!I13,'Kompetenz-Prozess-Matrix'!R17)</f>
        <v>1</v>
      </c>
      <c r="F491" s="183">
        <f>PRODUCT('Rollen-Prozess-Matrix'!J13,'Kompetenz-Prozess-Matrix'!R17)</f>
        <v>2</v>
      </c>
      <c r="G491" s="183">
        <f>PRODUCT('Rollen-Prozess-Matrix'!K13,'Kompetenz-Prozess-Matrix'!R17)</f>
        <v>0</v>
      </c>
      <c r="H491" s="183">
        <f>PRODUCT('Rollen-Prozess-Matrix'!L13,'Kompetenz-Prozess-Matrix'!R17)</f>
        <v>3</v>
      </c>
      <c r="I491" s="183">
        <f>PRODUCT('Rollen-Prozess-Matrix'!M13,'Kompetenz-Prozess-Matrix'!R17)</f>
        <v>2</v>
      </c>
      <c r="J491" s="183">
        <f>PRODUCT('Rollen-Prozess-Matrix'!N13,'Kompetenz-Prozess-Matrix'!R17)</f>
        <v>1</v>
      </c>
      <c r="K491" s="183">
        <f>PRODUCT('Rollen-Prozess-Matrix'!O13,'Kompetenz-Prozess-Matrix'!R17)</f>
        <v>1</v>
      </c>
      <c r="L491" s="183">
        <f>PRODUCT('Rollen-Prozess-Matrix'!GW13,'Kompetenz-Prozess-Matrix'!R17)</f>
        <v>1</v>
      </c>
      <c r="M491" s="183">
        <f>PRODUCT('Rollen-Prozess-Matrix'!Q13,'Kompetenz-Prozess-Matrix'!R17)</f>
        <v>0</v>
      </c>
      <c r="N491" s="183">
        <f>PRODUCT('Rollen-Prozess-Matrix'!R13,'Kompetenz-Prozess-Matrix'!R17)</f>
        <v>0</v>
      </c>
      <c r="O491" s="183">
        <f>PRODUCT('Rollen-Prozess-Matrix'!S13,'Kompetenz-Prozess-Matrix'!R17)</f>
        <v>1</v>
      </c>
      <c r="P491" s="183">
        <f>PRODUCT('Rollen-Prozess-Matrix'!T13,'Kompetenz-Prozess-Matrix'!R17)</f>
        <v>0</v>
      </c>
      <c r="Q491" s="185">
        <f>PRODUCT('Rollen-Prozess-Matrix'!U13,'Kompetenz-Prozess-Matrix'!R17)</f>
        <v>0</v>
      </c>
    </row>
    <row r="492" spans="1:17" ht="64.150000000000006" hidden="1" outlineLevel="1" thickBot="1" x14ac:dyDescent="0.4">
      <c r="A492" s="336"/>
      <c r="B492" s="330"/>
      <c r="C492" s="205" t="s">
        <v>173</v>
      </c>
      <c r="D492" s="182">
        <f>PRODUCT('Rollen-Prozess-Matrix'!H14,'Kompetenz-Prozess-Matrix'!R18)</f>
        <v>0</v>
      </c>
      <c r="E492" s="183">
        <f>PRODUCT('Rollen-Prozess-Matrix'!I14,'Kompetenz-Prozess-Matrix'!R18)</f>
        <v>1</v>
      </c>
      <c r="F492" s="183">
        <f>PRODUCT('Rollen-Prozess-Matrix'!J14,'Kompetenz-Prozess-Matrix'!R18)</f>
        <v>2</v>
      </c>
      <c r="G492" s="183">
        <f>PRODUCT('Rollen-Prozess-Matrix'!K14,'Kompetenz-Prozess-Matrix'!R18)</f>
        <v>0</v>
      </c>
      <c r="H492" s="183">
        <f>PRODUCT('Rollen-Prozess-Matrix'!L14,'Kompetenz-Prozess-Matrix'!R18)</f>
        <v>3</v>
      </c>
      <c r="I492" s="183">
        <f>PRODUCT('Rollen-Prozess-Matrix'!M14,'Kompetenz-Prozess-Matrix'!R18)</f>
        <v>2</v>
      </c>
      <c r="J492" s="183">
        <f>PRODUCT('Rollen-Prozess-Matrix'!N14,'Kompetenz-Prozess-Matrix'!R18)</f>
        <v>1</v>
      </c>
      <c r="K492" s="183">
        <f>PRODUCT('Rollen-Prozess-Matrix'!O14,'Kompetenz-Prozess-Matrix'!R18)</f>
        <v>0</v>
      </c>
      <c r="L492" s="183">
        <f>PRODUCT('Rollen-Prozess-Matrix'!GW14,'Kompetenz-Prozess-Matrix'!R18)</f>
        <v>1</v>
      </c>
      <c r="M492" s="183">
        <f>PRODUCT('Rollen-Prozess-Matrix'!Q14,'Kompetenz-Prozess-Matrix'!R18)</f>
        <v>0</v>
      </c>
      <c r="N492" s="183">
        <f>PRODUCT('Rollen-Prozess-Matrix'!R14,'Kompetenz-Prozess-Matrix'!R18)</f>
        <v>0</v>
      </c>
      <c r="O492" s="183">
        <f>PRODUCT('Rollen-Prozess-Matrix'!S14,'Kompetenz-Prozess-Matrix'!R18)</f>
        <v>0</v>
      </c>
      <c r="P492" s="183">
        <f>PRODUCT('Rollen-Prozess-Matrix'!T14,'Kompetenz-Prozess-Matrix'!R18)</f>
        <v>0</v>
      </c>
      <c r="Q492" s="185">
        <f>PRODUCT('Rollen-Prozess-Matrix'!U14,'Kompetenz-Prozess-Matrix'!R18)</f>
        <v>0</v>
      </c>
    </row>
    <row r="493" spans="1:17" ht="38.65" hidden="1" outlineLevel="1" thickBot="1" x14ac:dyDescent="0.4">
      <c r="A493" s="336"/>
      <c r="B493" s="330"/>
      <c r="C493" s="205" t="s">
        <v>177</v>
      </c>
      <c r="D493" s="182">
        <f>PRODUCT('Rollen-Prozess-Matrix'!H15,'Kompetenz-Prozess-Matrix'!R19)</f>
        <v>0</v>
      </c>
      <c r="E493" s="183">
        <f>PRODUCT('Rollen-Prozess-Matrix'!I15,'Kompetenz-Prozess-Matrix'!R19)</f>
        <v>2</v>
      </c>
      <c r="F493" s="183">
        <f>PRODUCT('Rollen-Prozess-Matrix'!J15,'Kompetenz-Prozess-Matrix'!R19)</f>
        <v>4</v>
      </c>
      <c r="G493" s="183">
        <f>PRODUCT('Rollen-Prozess-Matrix'!K15,'Kompetenz-Prozess-Matrix'!R19)</f>
        <v>0</v>
      </c>
      <c r="H493" s="183">
        <f>PRODUCT('Rollen-Prozess-Matrix'!L15,'Kompetenz-Prozess-Matrix'!R19)</f>
        <v>6</v>
      </c>
      <c r="I493" s="183">
        <f>PRODUCT('Rollen-Prozess-Matrix'!M15,'Kompetenz-Prozess-Matrix'!R19)</f>
        <v>2</v>
      </c>
      <c r="J493" s="183">
        <f>PRODUCT('Rollen-Prozess-Matrix'!N15,'Kompetenz-Prozess-Matrix'!R19)</f>
        <v>2</v>
      </c>
      <c r="K493" s="183">
        <f>PRODUCT('Rollen-Prozess-Matrix'!O15,'Kompetenz-Prozess-Matrix'!R19)</f>
        <v>0</v>
      </c>
      <c r="L493" s="183">
        <f>PRODUCT('Rollen-Prozess-Matrix'!GW15,'Kompetenz-Prozess-Matrix'!R19)</f>
        <v>2</v>
      </c>
      <c r="M493" s="183">
        <f>PRODUCT('Rollen-Prozess-Matrix'!Q15,'Kompetenz-Prozess-Matrix'!R19)</f>
        <v>0</v>
      </c>
      <c r="N493" s="183">
        <f>PRODUCT('Rollen-Prozess-Matrix'!R15,'Kompetenz-Prozess-Matrix'!R19)</f>
        <v>0</v>
      </c>
      <c r="O493" s="183">
        <f>PRODUCT('Rollen-Prozess-Matrix'!S15,'Kompetenz-Prozess-Matrix'!R19)</f>
        <v>0</v>
      </c>
      <c r="P493" s="183">
        <f>PRODUCT('Rollen-Prozess-Matrix'!T15,'Kompetenz-Prozess-Matrix'!R19)</f>
        <v>0</v>
      </c>
      <c r="Q493" s="185">
        <f>PRODUCT('Rollen-Prozess-Matrix'!U15,'Kompetenz-Prozess-Matrix'!R19)</f>
        <v>0</v>
      </c>
    </row>
    <row r="494" spans="1:17" ht="13.15" hidden="1" outlineLevel="1" thickBot="1" x14ac:dyDescent="0.4">
      <c r="A494" s="336"/>
      <c r="B494" s="330"/>
      <c r="C494" s="205" t="s">
        <v>181</v>
      </c>
      <c r="D494" s="182">
        <f>PRODUCT('Rollen-Prozess-Matrix'!H16,'Kompetenz-Prozess-Matrix'!R20)</f>
        <v>0</v>
      </c>
      <c r="E494" s="183">
        <f>PRODUCT('Rollen-Prozess-Matrix'!I16,'Kompetenz-Prozess-Matrix'!R20)</f>
        <v>0</v>
      </c>
      <c r="F494" s="183">
        <f>PRODUCT('Rollen-Prozess-Matrix'!J16,'Kompetenz-Prozess-Matrix'!R20)</f>
        <v>0</v>
      </c>
      <c r="G494" s="183">
        <f>PRODUCT('Rollen-Prozess-Matrix'!K16,'Kompetenz-Prozess-Matrix'!R20)</f>
        <v>0</v>
      </c>
      <c r="H494" s="183">
        <f>PRODUCT('Rollen-Prozess-Matrix'!L16,'Kompetenz-Prozess-Matrix'!R20)</f>
        <v>3</v>
      </c>
      <c r="I494" s="183">
        <f>PRODUCT('Rollen-Prozess-Matrix'!M16,'Kompetenz-Prozess-Matrix'!R20)</f>
        <v>0</v>
      </c>
      <c r="J494" s="183">
        <f>PRODUCT('Rollen-Prozess-Matrix'!N16,'Kompetenz-Prozess-Matrix'!R20)</f>
        <v>1</v>
      </c>
      <c r="K494" s="183">
        <f>PRODUCT('Rollen-Prozess-Matrix'!O16,'Kompetenz-Prozess-Matrix'!R20)</f>
        <v>0</v>
      </c>
      <c r="L494" s="183">
        <f>PRODUCT('Rollen-Prozess-Matrix'!GW16,'Kompetenz-Prozess-Matrix'!R20)</f>
        <v>1</v>
      </c>
      <c r="M494" s="183">
        <f>PRODUCT('Rollen-Prozess-Matrix'!Q16,'Kompetenz-Prozess-Matrix'!R20)</f>
        <v>0</v>
      </c>
      <c r="N494" s="183">
        <f>PRODUCT('Rollen-Prozess-Matrix'!R16,'Kompetenz-Prozess-Matrix'!R20)</f>
        <v>0</v>
      </c>
      <c r="O494" s="183">
        <f>PRODUCT('Rollen-Prozess-Matrix'!S16,'Kompetenz-Prozess-Matrix'!R20)</f>
        <v>0</v>
      </c>
      <c r="P494" s="183">
        <f>PRODUCT('Rollen-Prozess-Matrix'!T16,'Kompetenz-Prozess-Matrix'!R20)</f>
        <v>0</v>
      </c>
      <c r="Q494" s="185">
        <f>PRODUCT('Rollen-Prozess-Matrix'!U16,'Kompetenz-Prozess-Matrix'!R20)</f>
        <v>0</v>
      </c>
    </row>
    <row r="495" spans="1:17" ht="38.65" hidden="1" outlineLevel="1" thickBot="1" x14ac:dyDescent="0.4">
      <c r="A495" s="336"/>
      <c r="B495" s="330"/>
      <c r="C495" s="205" t="s">
        <v>185</v>
      </c>
      <c r="D495" s="182">
        <f>PRODUCT('Rollen-Prozess-Matrix'!H17,'Kompetenz-Prozess-Matrix'!R21)</f>
        <v>0</v>
      </c>
      <c r="E495" s="183">
        <f>PRODUCT('Rollen-Prozess-Matrix'!I17,'Kompetenz-Prozess-Matrix'!R21)</f>
        <v>1</v>
      </c>
      <c r="F495" s="183">
        <f>PRODUCT('Rollen-Prozess-Matrix'!J17,'Kompetenz-Prozess-Matrix'!R21)</f>
        <v>1</v>
      </c>
      <c r="G495" s="183">
        <f>PRODUCT('Rollen-Prozess-Matrix'!K17,'Kompetenz-Prozess-Matrix'!R21)</f>
        <v>0</v>
      </c>
      <c r="H495" s="183">
        <f>PRODUCT('Rollen-Prozess-Matrix'!L17,'Kompetenz-Prozess-Matrix'!R21)</f>
        <v>3</v>
      </c>
      <c r="I495" s="183">
        <f>PRODUCT('Rollen-Prozess-Matrix'!M17,'Kompetenz-Prozess-Matrix'!R21)</f>
        <v>0</v>
      </c>
      <c r="J495" s="183">
        <f>PRODUCT('Rollen-Prozess-Matrix'!N17,'Kompetenz-Prozess-Matrix'!R21)</f>
        <v>0</v>
      </c>
      <c r="K495" s="183">
        <f>PRODUCT('Rollen-Prozess-Matrix'!O17,'Kompetenz-Prozess-Matrix'!R21)</f>
        <v>0</v>
      </c>
      <c r="L495" s="183">
        <f>PRODUCT('Rollen-Prozess-Matrix'!GW17,'Kompetenz-Prozess-Matrix'!R21)</f>
        <v>1</v>
      </c>
      <c r="M495" s="183">
        <f>PRODUCT('Rollen-Prozess-Matrix'!Q17,'Kompetenz-Prozess-Matrix'!R21)</f>
        <v>0</v>
      </c>
      <c r="N495" s="183">
        <f>PRODUCT('Rollen-Prozess-Matrix'!R17,'Kompetenz-Prozess-Matrix'!R21)</f>
        <v>0</v>
      </c>
      <c r="O495" s="183">
        <f>PRODUCT('Rollen-Prozess-Matrix'!S17,'Kompetenz-Prozess-Matrix'!R21)</f>
        <v>2</v>
      </c>
      <c r="P495" s="183">
        <f>PRODUCT('Rollen-Prozess-Matrix'!T17,'Kompetenz-Prozess-Matrix'!R21)</f>
        <v>0</v>
      </c>
      <c r="Q495" s="185">
        <f>PRODUCT('Rollen-Prozess-Matrix'!U17,'Kompetenz-Prozess-Matrix'!R21)</f>
        <v>0</v>
      </c>
    </row>
    <row r="496" spans="1:17" ht="51.4" hidden="1" outlineLevel="1" thickBot="1" x14ac:dyDescent="0.4">
      <c r="A496" s="336"/>
      <c r="B496" s="330"/>
      <c r="C496" s="205" t="s">
        <v>190</v>
      </c>
      <c r="D496" s="182">
        <f>PRODUCT('Rollen-Prozess-Matrix'!H18,'Kompetenz-Prozess-Matrix'!R22)</f>
        <v>0</v>
      </c>
      <c r="E496" s="183">
        <f>PRODUCT('Rollen-Prozess-Matrix'!I18,'Kompetenz-Prozess-Matrix'!R22)</f>
        <v>2</v>
      </c>
      <c r="F496" s="183">
        <f>PRODUCT('Rollen-Prozess-Matrix'!J18,'Kompetenz-Prozess-Matrix'!R22)</f>
        <v>0</v>
      </c>
      <c r="G496" s="183">
        <f>PRODUCT('Rollen-Prozess-Matrix'!K18,'Kompetenz-Prozess-Matrix'!R22)</f>
        <v>0</v>
      </c>
      <c r="H496" s="183">
        <f>PRODUCT('Rollen-Prozess-Matrix'!L18,'Kompetenz-Prozess-Matrix'!R22)</f>
        <v>3</v>
      </c>
      <c r="I496" s="183">
        <f>PRODUCT('Rollen-Prozess-Matrix'!M18,'Kompetenz-Prozess-Matrix'!R22)</f>
        <v>0</v>
      </c>
      <c r="J496" s="183">
        <f>PRODUCT('Rollen-Prozess-Matrix'!N18,'Kompetenz-Prozess-Matrix'!R22)</f>
        <v>0</v>
      </c>
      <c r="K496" s="183">
        <f>PRODUCT('Rollen-Prozess-Matrix'!O18,'Kompetenz-Prozess-Matrix'!R22)</f>
        <v>0</v>
      </c>
      <c r="L496" s="183">
        <f>PRODUCT('Rollen-Prozess-Matrix'!GW18,'Kompetenz-Prozess-Matrix'!R22)</f>
        <v>1</v>
      </c>
      <c r="M496" s="183">
        <f>PRODUCT('Rollen-Prozess-Matrix'!Q18,'Kompetenz-Prozess-Matrix'!R22)</f>
        <v>0</v>
      </c>
      <c r="N496" s="183">
        <f>PRODUCT('Rollen-Prozess-Matrix'!R18,'Kompetenz-Prozess-Matrix'!R22)</f>
        <v>0</v>
      </c>
      <c r="O496" s="183">
        <f>PRODUCT('Rollen-Prozess-Matrix'!S18,'Kompetenz-Prozess-Matrix'!R22)</f>
        <v>0</v>
      </c>
      <c r="P496" s="183">
        <f>PRODUCT('Rollen-Prozess-Matrix'!T18,'Kompetenz-Prozess-Matrix'!R22)</f>
        <v>2</v>
      </c>
      <c r="Q496" s="185">
        <f>PRODUCT('Rollen-Prozess-Matrix'!U18,'Kompetenz-Prozess-Matrix'!R22)</f>
        <v>1</v>
      </c>
    </row>
    <row r="497" spans="1:17" ht="64.150000000000006" hidden="1" outlineLevel="1" thickBot="1" x14ac:dyDescent="0.4">
      <c r="A497" s="336"/>
      <c r="B497" s="330"/>
      <c r="C497" s="205" t="s">
        <v>194</v>
      </c>
      <c r="D497" s="182">
        <f>PRODUCT('Rollen-Prozess-Matrix'!H19,'Kompetenz-Prozess-Matrix'!R23)</f>
        <v>0</v>
      </c>
      <c r="E497" s="183">
        <f>PRODUCT('Rollen-Prozess-Matrix'!I19,'Kompetenz-Prozess-Matrix'!R23)</f>
        <v>2</v>
      </c>
      <c r="F497" s="183">
        <f>PRODUCT('Rollen-Prozess-Matrix'!J19,'Kompetenz-Prozess-Matrix'!R23)</f>
        <v>0</v>
      </c>
      <c r="G497" s="183">
        <f>PRODUCT('Rollen-Prozess-Matrix'!K19,'Kompetenz-Prozess-Matrix'!R23)</f>
        <v>0</v>
      </c>
      <c r="H497" s="183">
        <f>PRODUCT('Rollen-Prozess-Matrix'!L19,'Kompetenz-Prozess-Matrix'!R23)</f>
        <v>3</v>
      </c>
      <c r="I497" s="183">
        <f>PRODUCT('Rollen-Prozess-Matrix'!M19,'Kompetenz-Prozess-Matrix'!R23)</f>
        <v>1</v>
      </c>
      <c r="J497" s="183">
        <f>PRODUCT('Rollen-Prozess-Matrix'!N19,'Kompetenz-Prozess-Matrix'!R23)</f>
        <v>0</v>
      </c>
      <c r="K497" s="183">
        <f>PRODUCT('Rollen-Prozess-Matrix'!O19,'Kompetenz-Prozess-Matrix'!R23)</f>
        <v>0</v>
      </c>
      <c r="L497" s="183">
        <f>PRODUCT('Rollen-Prozess-Matrix'!GW19,'Kompetenz-Prozess-Matrix'!R23)</f>
        <v>1</v>
      </c>
      <c r="M497" s="183">
        <f>PRODUCT('Rollen-Prozess-Matrix'!Q19,'Kompetenz-Prozess-Matrix'!R23)</f>
        <v>0</v>
      </c>
      <c r="N497" s="183">
        <f>PRODUCT('Rollen-Prozess-Matrix'!R19,'Kompetenz-Prozess-Matrix'!R23)</f>
        <v>0</v>
      </c>
      <c r="O497" s="183">
        <f>PRODUCT('Rollen-Prozess-Matrix'!S19,'Kompetenz-Prozess-Matrix'!R23)</f>
        <v>0</v>
      </c>
      <c r="P497" s="183">
        <f>PRODUCT('Rollen-Prozess-Matrix'!T19,'Kompetenz-Prozess-Matrix'!R23)</f>
        <v>0</v>
      </c>
      <c r="Q497" s="185">
        <f>PRODUCT('Rollen-Prozess-Matrix'!U19,'Kompetenz-Prozess-Matrix'!R23)</f>
        <v>0</v>
      </c>
    </row>
    <row r="498" spans="1:17" ht="64.150000000000006" hidden="1" outlineLevel="1" thickBot="1" x14ac:dyDescent="0.4">
      <c r="A498" s="336"/>
      <c r="B498" s="330"/>
      <c r="C498" s="205" t="s">
        <v>201</v>
      </c>
      <c r="D498" s="182">
        <f>PRODUCT('Rollen-Prozess-Matrix'!H20,'Kompetenz-Prozess-Matrix'!R24)</f>
        <v>0</v>
      </c>
      <c r="E498" s="183">
        <f>PRODUCT('Rollen-Prozess-Matrix'!I20,'Kompetenz-Prozess-Matrix'!R24)</f>
        <v>2</v>
      </c>
      <c r="F498" s="183">
        <f>PRODUCT('Rollen-Prozess-Matrix'!J20,'Kompetenz-Prozess-Matrix'!R24)</f>
        <v>0</v>
      </c>
      <c r="G498" s="183">
        <f>PRODUCT('Rollen-Prozess-Matrix'!K20,'Kompetenz-Prozess-Matrix'!R24)</f>
        <v>0</v>
      </c>
      <c r="H498" s="183">
        <f>PRODUCT('Rollen-Prozess-Matrix'!L20,'Kompetenz-Prozess-Matrix'!R24)</f>
        <v>3</v>
      </c>
      <c r="I498" s="183">
        <f>PRODUCT('Rollen-Prozess-Matrix'!M20,'Kompetenz-Prozess-Matrix'!R24)</f>
        <v>2</v>
      </c>
      <c r="J498" s="183">
        <f>PRODUCT('Rollen-Prozess-Matrix'!N20,'Kompetenz-Prozess-Matrix'!R24)</f>
        <v>1</v>
      </c>
      <c r="K498" s="183">
        <f>PRODUCT('Rollen-Prozess-Matrix'!O20,'Kompetenz-Prozess-Matrix'!R24)</f>
        <v>0</v>
      </c>
      <c r="L498" s="183">
        <f>PRODUCT('Rollen-Prozess-Matrix'!GW20,'Kompetenz-Prozess-Matrix'!R24)</f>
        <v>1</v>
      </c>
      <c r="M498" s="183">
        <f>PRODUCT('Rollen-Prozess-Matrix'!Q20,'Kompetenz-Prozess-Matrix'!R24)</f>
        <v>0</v>
      </c>
      <c r="N498" s="183">
        <f>PRODUCT('Rollen-Prozess-Matrix'!R20,'Kompetenz-Prozess-Matrix'!R24)</f>
        <v>0</v>
      </c>
      <c r="O498" s="183">
        <f>PRODUCT('Rollen-Prozess-Matrix'!S20,'Kompetenz-Prozess-Matrix'!R24)</f>
        <v>0</v>
      </c>
      <c r="P498" s="183">
        <f>PRODUCT('Rollen-Prozess-Matrix'!T20,'Kompetenz-Prozess-Matrix'!R24)</f>
        <v>0</v>
      </c>
      <c r="Q498" s="185">
        <f>PRODUCT('Rollen-Prozess-Matrix'!U20,'Kompetenz-Prozess-Matrix'!R24)</f>
        <v>0</v>
      </c>
    </row>
    <row r="499" spans="1:17" ht="51.4" hidden="1" outlineLevel="1" thickBot="1" x14ac:dyDescent="0.4">
      <c r="A499" s="336"/>
      <c r="B499" s="330"/>
      <c r="C499" s="205" t="s">
        <v>205</v>
      </c>
      <c r="D499" s="182">
        <f>PRODUCT('Rollen-Prozess-Matrix'!H21,'Kompetenz-Prozess-Matrix'!R25)</f>
        <v>0</v>
      </c>
      <c r="E499" s="183">
        <f>PRODUCT('Rollen-Prozess-Matrix'!I21,'Kompetenz-Prozess-Matrix'!R25)</f>
        <v>1</v>
      </c>
      <c r="F499" s="183">
        <f>PRODUCT('Rollen-Prozess-Matrix'!J21,'Kompetenz-Prozess-Matrix'!R25)</f>
        <v>0</v>
      </c>
      <c r="G499" s="183">
        <f>PRODUCT('Rollen-Prozess-Matrix'!K21,'Kompetenz-Prozess-Matrix'!R25)</f>
        <v>0</v>
      </c>
      <c r="H499" s="183">
        <f>PRODUCT('Rollen-Prozess-Matrix'!L21,'Kompetenz-Prozess-Matrix'!R25)</f>
        <v>3</v>
      </c>
      <c r="I499" s="183">
        <f>PRODUCT('Rollen-Prozess-Matrix'!M21,'Kompetenz-Prozess-Matrix'!R25)</f>
        <v>2</v>
      </c>
      <c r="J499" s="183">
        <f>PRODUCT('Rollen-Prozess-Matrix'!N21,'Kompetenz-Prozess-Matrix'!R25)</f>
        <v>1</v>
      </c>
      <c r="K499" s="183">
        <f>PRODUCT('Rollen-Prozess-Matrix'!O21,'Kompetenz-Prozess-Matrix'!R25)</f>
        <v>0</v>
      </c>
      <c r="L499" s="183">
        <f>PRODUCT('Rollen-Prozess-Matrix'!GW21,'Kompetenz-Prozess-Matrix'!R25)</f>
        <v>1</v>
      </c>
      <c r="M499" s="183">
        <f>PRODUCT('Rollen-Prozess-Matrix'!Q21,'Kompetenz-Prozess-Matrix'!R25)</f>
        <v>0</v>
      </c>
      <c r="N499" s="183">
        <f>PRODUCT('Rollen-Prozess-Matrix'!R21,'Kompetenz-Prozess-Matrix'!R25)</f>
        <v>0</v>
      </c>
      <c r="O499" s="183">
        <f>PRODUCT('Rollen-Prozess-Matrix'!S21,'Kompetenz-Prozess-Matrix'!R25)</f>
        <v>0</v>
      </c>
      <c r="P499" s="183">
        <f>PRODUCT('Rollen-Prozess-Matrix'!T21,'Kompetenz-Prozess-Matrix'!R25)</f>
        <v>0</v>
      </c>
      <c r="Q499" s="185">
        <f>PRODUCT('Rollen-Prozess-Matrix'!U21,'Kompetenz-Prozess-Matrix'!R25)</f>
        <v>0</v>
      </c>
    </row>
    <row r="500" spans="1:17" ht="38.65" hidden="1" outlineLevel="1" thickBot="1" x14ac:dyDescent="0.4">
      <c r="A500" s="336"/>
      <c r="B500" s="330"/>
      <c r="C500" s="205" t="s">
        <v>209</v>
      </c>
      <c r="D500" s="182">
        <f>PRODUCT('Rollen-Prozess-Matrix'!H22,'Kompetenz-Prozess-Matrix'!R26)</f>
        <v>0</v>
      </c>
      <c r="E500" s="183">
        <f>PRODUCT('Rollen-Prozess-Matrix'!I22,'Kompetenz-Prozess-Matrix'!R26)</f>
        <v>1</v>
      </c>
      <c r="F500" s="183">
        <f>PRODUCT('Rollen-Prozess-Matrix'!J22,'Kompetenz-Prozess-Matrix'!R26)</f>
        <v>0</v>
      </c>
      <c r="G500" s="183">
        <f>PRODUCT('Rollen-Prozess-Matrix'!K22,'Kompetenz-Prozess-Matrix'!R26)</f>
        <v>0</v>
      </c>
      <c r="H500" s="183">
        <f>PRODUCT('Rollen-Prozess-Matrix'!L22,'Kompetenz-Prozess-Matrix'!R26)</f>
        <v>3</v>
      </c>
      <c r="I500" s="183">
        <f>PRODUCT('Rollen-Prozess-Matrix'!M22,'Kompetenz-Prozess-Matrix'!R26)</f>
        <v>2</v>
      </c>
      <c r="J500" s="183">
        <f>PRODUCT('Rollen-Prozess-Matrix'!N22,'Kompetenz-Prozess-Matrix'!R26)</f>
        <v>2</v>
      </c>
      <c r="K500" s="183">
        <f>PRODUCT('Rollen-Prozess-Matrix'!O22,'Kompetenz-Prozess-Matrix'!R26)</f>
        <v>0</v>
      </c>
      <c r="L500" s="183">
        <f>PRODUCT('Rollen-Prozess-Matrix'!GW22,'Kompetenz-Prozess-Matrix'!R26)</f>
        <v>1</v>
      </c>
      <c r="M500" s="183">
        <f>PRODUCT('Rollen-Prozess-Matrix'!Q22,'Kompetenz-Prozess-Matrix'!R26)</f>
        <v>0</v>
      </c>
      <c r="N500" s="183">
        <f>PRODUCT('Rollen-Prozess-Matrix'!R22,'Kompetenz-Prozess-Matrix'!R26)</f>
        <v>0</v>
      </c>
      <c r="O500" s="183">
        <f>PRODUCT('Rollen-Prozess-Matrix'!S22,'Kompetenz-Prozess-Matrix'!R26)</f>
        <v>0</v>
      </c>
      <c r="P500" s="183">
        <f>PRODUCT('Rollen-Prozess-Matrix'!T22,'Kompetenz-Prozess-Matrix'!R26)</f>
        <v>0</v>
      </c>
      <c r="Q500" s="185">
        <f>PRODUCT('Rollen-Prozess-Matrix'!U22,'Kompetenz-Prozess-Matrix'!R26)</f>
        <v>0</v>
      </c>
    </row>
    <row r="501" spans="1:17" ht="38.65" hidden="1" outlineLevel="1" thickBot="1" x14ac:dyDescent="0.4">
      <c r="A501" s="336"/>
      <c r="B501" s="330"/>
      <c r="C501" s="205" t="s">
        <v>213</v>
      </c>
      <c r="D501" s="182">
        <f>PRODUCT('Rollen-Prozess-Matrix'!H23,'Kompetenz-Prozess-Matrix'!R27)</f>
        <v>0</v>
      </c>
      <c r="E501" s="183">
        <f>PRODUCT('Rollen-Prozess-Matrix'!I23,'Kompetenz-Prozess-Matrix'!R27)</f>
        <v>0</v>
      </c>
      <c r="F501" s="183">
        <f>PRODUCT('Rollen-Prozess-Matrix'!J23,'Kompetenz-Prozess-Matrix'!R27)</f>
        <v>0</v>
      </c>
      <c r="G501" s="183">
        <f>PRODUCT('Rollen-Prozess-Matrix'!K23,'Kompetenz-Prozess-Matrix'!R27)</f>
        <v>0</v>
      </c>
      <c r="H501" s="183">
        <f>PRODUCT('Rollen-Prozess-Matrix'!L23,'Kompetenz-Prozess-Matrix'!R27)</f>
        <v>3</v>
      </c>
      <c r="I501" s="183">
        <f>PRODUCT('Rollen-Prozess-Matrix'!M23,'Kompetenz-Prozess-Matrix'!R27)</f>
        <v>1</v>
      </c>
      <c r="J501" s="183">
        <f>PRODUCT('Rollen-Prozess-Matrix'!N23,'Kompetenz-Prozess-Matrix'!R27)</f>
        <v>0</v>
      </c>
      <c r="K501" s="183">
        <f>PRODUCT('Rollen-Prozess-Matrix'!O23,'Kompetenz-Prozess-Matrix'!R27)</f>
        <v>0</v>
      </c>
      <c r="L501" s="183">
        <f>PRODUCT('Rollen-Prozess-Matrix'!GW23,'Kompetenz-Prozess-Matrix'!R27)</f>
        <v>1</v>
      </c>
      <c r="M501" s="183">
        <f>PRODUCT('Rollen-Prozess-Matrix'!Q23,'Kompetenz-Prozess-Matrix'!R27)</f>
        <v>0</v>
      </c>
      <c r="N501" s="183">
        <f>PRODUCT('Rollen-Prozess-Matrix'!R23,'Kompetenz-Prozess-Matrix'!R27)</f>
        <v>0</v>
      </c>
      <c r="O501" s="183">
        <f>PRODUCT('Rollen-Prozess-Matrix'!S23,'Kompetenz-Prozess-Matrix'!R27)</f>
        <v>0</v>
      </c>
      <c r="P501" s="183">
        <f>PRODUCT('Rollen-Prozess-Matrix'!T23,'Kompetenz-Prozess-Matrix'!R27)</f>
        <v>0</v>
      </c>
      <c r="Q501" s="185">
        <f>PRODUCT('Rollen-Prozess-Matrix'!U23,'Kompetenz-Prozess-Matrix'!R27)</f>
        <v>0</v>
      </c>
    </row>
    <row r="502" spans="1:17" ht="38.65" hidden="1" outlineLevel="1" thickBot="1" x14ac:dyDescent="0.4">
      <c r="A502" s="336"/>
      <c r="B502" s="330"/>
      <c r="C502" s="205" t="s">
        <v>217</v>
      </c>
      <c r="D502" s="182">
        <f>PRODUCT('Rollen-Prozess-Matrix'!H24,'Kompetenz-Prozess-Matrix'!R28)</f>
        <v>0</v>
      </c>
      <c r="E502" s="183">
        <f>PRODUCT('Rollen-Prozess-Matrix'!I24,'Kompetenz-Prozess-Matrix'!R28)</f>
        <v>0</v>
      </c>
      <c r="F502" s="183">
        <f>PRODUCT('Rollen-Prozess-Matrix'!J24,'Kompetenz-Prozess-Matrix'!R28)</f>
        <v>0</v>
      </c>
      <c r="G502" s="183">
        <f>PRODUCT('Rollen-Prozess-Matrix'!K24,'Kompetenz-Prozess-Matrix'!R28)</f>
        <v>0</v>
      </c>
      <c r="H502" s="183">
        <f>PRODUCT('Rollen-Prozess-Matrix'!L24,'Kompetenz-Prozess-Matrix'!R28)</f>
        <v>3</v>
      </c>
      <c r="I502" s="183">
        <f>PRODUCT('Rollen-Prozess-Matrix'!M24,'Kompetenz-Prozess-Matrix'!R28)</f>
        <v>0</v>
      </c>
      <c r="J502" s="183">
        <f>PRODUCT('Rollen-Prozess-Matrix'!N24,'Kompetenz-Prozess-Matrix'!R28)</f>
        <v>2</v>
      </c>
      <c r="K502" s="183">
        <f>PRODUCT('Rollen-Prozess-Matrix'!O24,'Kompetenz-Prozess-Matrix'!R28)</f>
        <v>2</v>
      </c>
      <c r="L502" s="183">
        <f>PRODUCT('Rollen-Prozess-Matrix'!GW24,'Kompetenz-Prozess-Matrix'!R28)</f>
        <v>1</v>
      </c>
      <c r="M502" s="183">
        <f>PRODUCT('Rollen-Prozess-Matrix'!Q24,'Kompetenz-Prozess-Matrix'!R28)</f>
        <v>2</v>
      </c>
      <c r="N502" s="183">
        <f>PRODUCT('Rollen-Prozess-Matrix'!R24,'Kompetenz-Prozess-Matrix'!R28)</f>
        <v>0</v>
      </c>
      <c r="O502" s="183">
        <f>PRODUCT('Rollen-Prozess-Matrix'!S24,'Kompetenz-Prozess-Matrix'!R28)</f>
        <v>0</v>
      </c>
      <c r="P502" s="183">
        <f>PRODUCT('Rollen-Prozess-Matrix'!T24,'Kompetenz-Prozess-Matrix'!R28)</f>
        <v>0</v>
      </c>
      <c r="Q502" s="185">
        <f>PRODUCT('Rollen-Prozess-Matrix'!U24,'Kompetenz-Prozess-Matrix'!R28)</f>
        <v>0</v>
      </c>
    </row>
    <row r="503" spans="1:17" ht="38.65" hidden="1" outlineLevel="1" thickBot="1" x14ac:dyDescent="0.4">
      <c r="A503" s="336"/>
      <c r="B503" s="330"/>
      <c r="C503" s="205" t="s">
        <v>223</v>
      </c>
      <c r="D503" s="182">
        <f>PRODUCT('Rollen-Prozess-Matrix'!H25,'Kompetenz-Prozess-Matrix'!R29)</f>
        <v>0</v>
      </c>
      <c r="E503" s="183">
        <f>PRODUCT('Rollen-Prozess-Matrix'!I25,'Kompetenz-Prozess-Matrix'!R29)</f>
        <v>1</v>
      </c>
      <c r="F503" s="183">
        <f>PRODUCT('Rollen-Prozess-Matrix'!J25,'Kompetenz-Prozess-Matrix'!R29)</f>
        <v>0</v>
      </c>
      <c r="G503" s="183">
        <f>PRODUCT('Rollen-Prozess-Matrix'!K25,'Kompetenz-Prozess-Matrix'!R29)</f>
        <v>0</v>
      </c>
      <c r="H503" s="183">
        <f>PRODUCT('Rollen-Prozess-Matrix'!L25,'Kompetenz-Prozess-Matrix'!R29)</f>
        <v>3</v>
      </c>
      <c r="I503" s="183">
        <f>PRODUCT('Rollen-Prozess-Matrix'!M25,'Kompetenz-Prozess-Matrix'!R29)</f>
        <v>0</v>
      </c>
      <c r="J503" s="183">
        <f>PRODUCT('Rollen-Prozess-Matrix'!N25,'Kompetenz-Prozess-Matrix'!R29)</f>
        <v>0</v>
      </c>
      <c r="K503" s="183">
        <f>PRODUCT('Rollen-Prozess-Matrix'!O25,'Kompetenz-Prozess-Matrix'!R29)</f>
        <v>1</v>
      </c>
      <c r="L503" s="183">
        <f>PRODUCT('Rollen-Prozess-Matrix'!GW25,'Kompetenz-Prozess-Matrix'!R29)</f>
        <v>1</v>
      </c>
      <c r="M503" s="183">
        <f>PRODUCT('Rollen-Prozess-Matrix'!Q25,'Kompetenz-Prozess-Matrix'!R29)</f>
        <v>2</v>
      </c>
      <c r="N503" s="183">
        <f>PRODUCT('Rollen-Prozess-Matrix'!R25,'Kompetenz-Prozess-Matrix'!R29)</f>
        <v>0</v>
      </c>
      <c r="O503" s="183">
        <f>PRODUCT('Rollen-Prozess-Matrix'!S25,'Kompetenz-Prozess-Matrix'!R29)</f>
        <v>0</v>
      </c>
      <c r="P503" s="183">
        <f>PRODUCT('Rollen-Prozess-Matrix'!T25,'Kompetenz-Prozess-Matrix'!R29)</f>
        <v>0</v>
      </c>
      <c r="Q503" s="185">
        <f>PRODUCT('Rollen-Prozess-Matrix'!U25,'Kompetenz-Prozess-Matrix'!R29)</f>
        <v>0</v>
      </c>
    </row>
    <row r="504" spans="1:17" ht="38.65" hidden="1" outlineLevel="1" thickBot="1" x14ac:dyDescent="0.4">
      <c r="A504" s="336"/>
      <c r="B504" s="330"/>
      <c r="C504" s="205" t="s">
        <v>229</v>
      </c>
      <c r="D504" s="182">
        <f>PRODUCT('Rollen-Prozess-Matrix'!H26,'Kompetenz-Prozess-Matrix'!R30)</f>
        <v>0</v>
      </c>
      <c r="E504" s="183">
        <f>PRODUCT('Rollen-Prozess-Matrix'!I26,'Kompetenz-Prozess-Matrix'!R30)</f>
        <v>1</v>
      </c>
      <c r="F504" s="183">
        <f>PRODUCT('Rollen-Prozess-Matrix'!J26,'Kompetenz-Prozess-Matrix'!R30)</f>
        <v>0</v>
      </c>
      <c r="G504" s="183">
        <f>PRODUCT('Rollen-Prozess-Matrix'!K26,'Kompetenz-Prozess-Matrix'!R30)</f>
        <v>0</v>
      </c>
      <c r="H504" s="183">
        <f>PRODUCT('Rollen-Prozess-Matrix'!L26,'Kompetenz-Prozess-Matrix'!R30)</f>
        <v>3</v>
      </c>
      <c r="I504" s="183">
        <f>PRODUCT('Rollen-Prozess-Matrix'!M26,'Kompetenz-Prozess-Matrix'!R30)</f>
        <v>1</v>
      </c>
      <c r="J504" s="183">
        <f>PRODUCT('Rollen-Prozess-Matrix'!N26,'Kompetenz-Prozess-Matrix'!R30)</f>
        <v>1</v>
      </c>
      <c r="K504" s="183">
        <f>PRODUCT('Rollen-Prozess-Matrix'!O26,'Kompetenz-Prozess-Matrix'!R30)</f>
        <v>0</v>
      </c>
      <c r="L504" s="183">
        <f>PRODUCT('Rollen-Prozess-Matrix'!GW26,'Kompetenz-Prozess-Matrix'!R30)</f>
        <v>1</v>
      </c>
      <c r="M504" s="183">
        <f>PRODUCT('Rollen-Prozess-Matrix'!Q26,'Kompetenz-Prozess-Matrix'!R30)</f>
        <v>0</v>
      </c>
      <c r="N504" s="183">
        <f>PRODUCT('Rollen-Prozess-Matrix'!R26,'Kompetenz-Prozess-Matrix'!R30)</f>
        <v>0</v>
      </c>
      <c r="O504" s="183">
        <f>PRODUCT('Rollen-Prozess-Matrix'!S26,'Kompetenz-Prozess-Matrix'!R30)</f>
        <v>1</v>
      </c>
      <c r="P504" s="183">
        <f>PRODUCT('Rollen-Prozess-Matrix'!T26,'Kompetenz-Prozess-Matrix'!R30)</f>
        <v>0</v>
      </c>
      <c r="Q504" s="185">
        <f>PRODUCT('Rollen-Prozess-Matrix'!U26,'Kompetenz-Prozess-Matrix'!R30)</f>
        <v>0</v>
      </c>
    </row>
    <row r="505" spans="1:17" ht="38.65" hidden="1" outlineLevel="1" thickBot="1" x14ac:dyDescent="0.4">
      <c r="A505" s="336"/>
      <c r="B505" s="330"/>
      <c r="C505" s="205" t="s">
        <v>235</v>
      </c>
      <c r="D505" s="182">
        <f>PRODUCT('Rollen-Prozess-Matrix'!H27,'Kompetenz-Prozess-Matrix'!R31)</f>
        <v>2</v>
      </c>
      <c r="E505" s="183">
        <f>PRODUCT('Rollen-Prozess-Matrix'!I27,'Kompetenz-Prozess-Matrix'!R31)</f>
        <v>2</v>
      </c>
      <c r="F505" s="183">
        <f>PRODUCT('Rollen-Prozess-Matrix'!J27,'Kompetenz-Prozess-Matrix'!R31)</f>
        <v>0</v>
      </c>
      <c r="G505" s="183">
        <f>PRODUCT('Rollen-Prozess-Matrix'!K27,'Kompetenz-Prozess-Matrix'!R31)</f>
        <v>0</v>
      </c>
      <c r="H505" s="183">
        <f>PRODUCT('Rollen-Prozess-Matrix'!L27,'Kompetenz-Prozess-Matrix'!R31)</f>
        <v>3</v>
      </c>
      <c r="I505" s="183">
        <f>PRODUCT('Rollen-Prozess-Matrix'!M27,'Kompetenz-Prozess-Matrix'!R31)</f>
        <v>0</v>
      </c>
      <c r="J505" s="183">
        <f>PRODUCT('Rollen-Prozess-Matrix'!N27,'Kompetenz-Prozess-Matrix'!R31)</f>
        <v>0</v>
      </c>
      <c r="K505" s="183">
        <f>PRODUCT('Rollen-Prozess-Matrix'!O27,'Kompetenz-Prozess-Matrix'!R31)</f>
        <v>2</v>
      </c>
      <c r="L505" s="183">
        <f>PRODUCT('Rollen-Prozess-Matrix'!GW27,'Kompetenz-Prozess-Matrix'!R31)</f>
        <v>1</v>
      </c>
      <c r="M505" s="183">
        <f>PRODUCT('Rollen-Prozess-Matrix'!Q27,'Kompetenz-Prozess-Matrix'!R31)</f>
        <v>0</v>
      </c>
      <c r="N505" s="183">
        <f>PRODUCT('Rollen-Prozess-Matrix'!R27,'Kompetenz-Prozess-Matrix'!R31)</f>
        <v>2</v>
      </c>
      <c r="O505" s="183">
        <f>PRODUCT('Rollen-Prozess-Matrix'!S27,'Kompetenz-Prozess-Matrix'!R31)</f>
        <v>0</v>
      </c>
      <c r="P505" s="183">
        <f>PRODUCT('Rollen-Prozess-Matrix'!T27,'Kompetenz-Prozess-Matrix'!R31)</f>
        <v>0</v>
      </c>
      <c r="Q505" s="185">
        <f>PRODUCT('Rollen-Prozess-Matrix'!U27,'Kompetenz-Prozess-Matrix'!R31)</f>
        <v>0</v>
      </c>
    </row>
    <row r="506" spans="1:17" ht="38.65" hidden="1" outlineLevel="1" thickBot="1" x14ac:dyDescent="0.4">
      <c r="A506" s="336"/>
      <c r="B506" s="330"/>
      <c r="C506" s="205" t="s">
        <v>242</v>
      </c>
      <c r="D506" s="182">
        <f>PRODUCT('Rollen-Prozess-Matrix'!H28,'Kompetenz-Prozess-Matrix'!R32)</f>
        <v>1</v>
      </c>
      <c r="E506" s="183">
        <f>PRODUCT('Rollen-Prozess-Matrix'!I28,'Kompetenz-Prozess-Matrix'!R32)</f>
        <v>1</v>
      </c>
      <c r="F506" s="183">
        <f>PRODUCT('Rollen-Prozess-Matrix'!J28,'Kompetenz-Prozess-Matrix'!R32)</f>
        <v>0</v>
      </c>
      <c r="G506" s="183">
        <f>PRODUCT('Rollen-Prozess-Matrix'!K28,'Kompetenz-Prozess-Matrix'!R32)</f>
        <v>0</v>
      </c>
      <c r="H506" s="183">
        <f>PRODUCT('Rollen-Prozess-Matrix'!L28,'Kompetenz-Prozess-Matrix'!R32)</f>
        <v>3</v>
      </c>
      <c r="I506" s="183">
        <f>PRODUCT('Rollen-Prozess-Matrix'!M28,'Kompetenz-Prozess-Matrix'!R32)</f>
        <v>0</v>
      </c>
      <c r="J506" s="183">
        <f>PRODUCT('Rollen-Prozess-Matrix'!N28,'Kompetenz-Prozess-Matrix'!R32)</f>
        <v>0</v>
      </c>
      <c r="K506" s="183">
        <f>PRODUCT('Rollen-Prozess-Matrix'!O28,'Kompetenz-Prozess-Matrix'!R32)</f>
        <v>0</v>
      </c>
      <c r="L506" s="183">
        <f>PRODUCT('Rollen-Prozess-Matrix'!GW28,'Kompetenz-Prozess-Matrix'!R32)</f>
        <v>1</v>
      </c>
      <c r="M506" s="183">
        <f>PRODUCT('Rollen-Prozess-Matrix'!Q28,'Kompetenz-Prozess-Matrix'!R32)</f>
        <v>0</v>
      </c>
      <c r="N506" s="183">
        <f>PRODUCT('Rollen-Prozess-Matrix'!R28,'Kompetenz-Prozess-Matrix'!R32)</f>
        <v>0</v>
      </c>
      <c r="O506" s="183">
        <f>PRODUCT('Rollen-Prozess-Matrix'!S28,'Kompetenz-Prozess-Matrix'!R32)</f>
        <v>1</v>
      </c>
      <c r="P506" s="183">
        <f>PRODUCT('Rollen-Prozess-Matrix'!T28,'Kompetenz-Prozess-Matrix'!R32)</f>
        <v>0</v>
      </c>
      <c r="Q506" s="185">
        <f>PRODUCT('Rollen-Prozess-Matrix'!U28,'Kompetenz-Prozess-Matrix'!R32)</f>
        <v>0</v>
      </c>
    </row>
    <row r="507" spans="1:17" ht="38.65" hidden="1" outlineLevel="1" thickBot="1" x14ac:dyDescent="0.4">
      <c r="A507" s="336"/>
      <c r="B507" s="330"/>
      <c r="C507" s="205" t="s">
        <v>248</v>
      </c>
      <c r="D507" s="182">
        <f>PRODUCT('Rollen-Prozess-Matrix'!H29,'Kompetenz-Prozess-Matrix'!R33)</f>
        <v>2</v>
      </c>
      <c r="E507" s="183">
        <f>PRODUCT('Rollen-Prozess-Matrix'!I29,'Kompetenz-Prozess-Matrix'!R33)</f>
        <v>0</v>
      </c>
      <c r="F507" s="183">
        <f>PRODUCT('Rollen-Prozess-Matrix'!J29,'Kompetenz-Prozess-Matrix'!R33)</f>
        <v>0</v>
      </c>
      <c r="G507" s="183">
        <f>PRODUCT('Rollen-Prozess-Matrix'!K29,'Kompetenz-Prozess-Matrix'!R33)</f>
        <v>0</v>
      </c>
      <c r="H507" s="183">
        <f>PRODUCT('Rollen-Prozess-Matrix'!L29,'Kompetenz-Prozess-Matrix'!R33)</f>
        <v>3</v>
      </c>
      <c r="I507" s="183">
        <f>PRODUCT('Rollen-Prozess-Matrix'!M29,'Kompetenz-Prozess-Matrix'!R33)</f>
        <v>1</v>
      </c>
      <c r="J507" s="183">
        <f>PRODUCT('Rollen-Prozess-Matrix'!N29,'Kompetenz-Prozess-Matrix'!R33)</f>
        <v>0</v>
      </c>
      <c r="K507" s="183">
        <f>PRODUCT('Rollen-Prozess-Matrix'!O29,'Kompetenz-Prozess-Matrix'!R33)</f>
        <v>0</v>
      </c>
      <c r="L507" s="183">
        <f>PRODUCT('Rollen-Prozess-Matrix'!GW29,'Kompetenz-Prozess-Matrix'!R33)</f>
        <v>1</v>
      </c>
      <c r="M507" s="183">
        <f>PRODUCT('Rollen-Prozess-Matrix'!Q29,'Kompetenz-Prozess-Matrix'!R33)</f>
        <v>0</v>
      </c>
      <c r="N507" s="183">
        <f>PRODUCT('Rollen-Prozess-Matrix'!R29,'Kompetenz-Prozess-Matrix'!R33)</f>
        <v>1</v>
      </c>
      <c r="O507" s="183">
        <f>PRODUCT('Rollen-Prozess-Matrix'!S29,'Kompetenz-Prozess-Matrix'!R33)</f>
        <v>0</v>
      </c>
      <c r="P507" s="183">
        <f>PRODUCT('Rollen-Prozess-Matrix'!T29,'Kompetenz-Prozess-Matrix'!R33)</f>
        <v>0</v>
      </c>
      <c r="Q507" s="185">
        <f>PRODUCT('Rollen-Prozess-Matrix'!U29,'Kompetenz-Prozess-Matrix'!R33)</f>
        <v>0</v>
      </c>
    </row>
    <row r="508" spans="1:17" ht="38.65" hidden="1" outlineLevel="1" thickBot="1" x14ac:dyDescent="0.4">
      <c r="A508" s="336"/>
      <c r="B508" s="330"/>
      <c r="C508" s="205" t="s">
        <v>255</v>
      </c>
      <c r="D508" s="182">
        <f>PRODUCT('Rollen-Prozess-Matrix'!H30,'Kompetenz-Prozess-Matrix'!R34)</f>
        <v>2</v>
      </c>
      <c r="E508" s="183">
        <f>PRODUCT('Rollen-Prozess-Matrix'!I30,'Kompetenz-Prozess-Matrix'!R34)</f>
        <v>0</v>
      </c>
      <c r="F508" s="183">
        <f>PRODUCT('Rollen-Prozess-Matrix'!J30,'Kompetenz-Prozess-Matrix'!R34)</f>
        <v>0</v>
      </c>
      <c r="G508" s="183">
        <f>PRODUCT('Rollen-Prozess-Matrix'!K30,'Kompetenz-Prozess-Matrix'!R34)</f>
        <v>0</v>
      </c>
      <c r="H508" s="183">
        <f>PRODUCT('Rollen-Prozess-Matrix'!L30,'Kompetenz-Prozess-Matrix'!R34)</f>
        <v>3</v>
      </c>
      <c r="I508" s="183">
        <f>PRODUCT('Rollen-Prozess-Matrix'!M30,'Kompetenz-Prozess-Matrix'!R34)</f>
        <v>1</v>
      </c>
      <c r="J508" s="183">
        <f>PRODUCT('Rollen-Prozess-Matrix'!N30,'Kompetenz-Prozess-Matrix'!R34)</f>
        <v>0</v>
      </c>
      <c r="K508" s="183">
        <f>PRODUCT('Rollen-Prozess-Matrix'!O30,'Kompetenz-Prozess-Matrix'!R34)</f>
        <v>0</v>
      </c>
      <c r="L508" s="183">
        <f>PRODUCT('Rollen-Prozess-Matrix'!GW30,'Kompetenz-Prozess-Matrix'!R34)</f>
        <v>1</v>
      </c>
      <c r="M508" s="183">
        <f>PRODUCT('Rollen-Prozess-Matrix'!Q30,'Kompetenz-Prozess-Matrix'!R34)</f>
        <v>0</v>
      </c>
      <c r="N508" s="183">
        <f>PRODUCT('Rollen-Prozess-Matrix'!R30,'Kompetenz-Prozess-Matrix'!R34)</f>
        <v>2</v>
      </c>
      <c r="O508" s="183">
        <f>PRODUCT('Rollen-Prozess-Matrix'!S30,'Kompetenz-Prozess-Matrix'!R34)</f>
        <v>0</v>
      </c>
      <c r="P508" s="183">
        <f>PRODUCT('Rollen-Prozess-Matrix'!T30,'Kompetenz-Prozess-Matrix'!R34)</f>
        <v>0</v>
      </c>
      <c r="Q508" s="185">
        <f>PRODUCT('Rollen-Prozess-Matrix'!U30,'Kompetenz-Prozess-Matrix'!R34)</f>
        <v>0</v>
      </c>
    </row>
    <row r="509" spans="1:17" ht="38.65" hidden="1" outlineLevel="1" thickBot="1" x14ac:dyDescent="0.4">
      <c r="A509" s="336"/>
      <c r="B509" s="330"/>
      <c r="C509" s="205" t="s">
        <v>261</v>
      </c>
      <c r="D509" s="182">
        <f>PRODUCT('Rollen-Prozess-Matrix'!H31,'Kompetenz-Prozess-Matrix'!R35)</f>
        <v>2</v>
      </c>
      <c r="E509" s="183">
        <f>PRODUCT('Rollen-Prozess-Matrix'!I31,'Kompetenz-Prozess-Matrix'!R35)</f>
        <v>0</v>
      </c>
      <c r="F509" s="183">
        <f>PRODUCT('Rollen-Prozess-Matrix'!J31,'Kompetenz-Prozess-Matrix'!R35)</f>
        <v>0</v>
      </c>
      <c r="G509" s="183">
        <f>PRODUCT('Rollen-Prozess-Matrix'!K31,'Kompetenz-Prozess-Matrix'!R35)</f>
        <v>0</v>
      </c>
      <c r="H509" s="183">
        <f>PRODUCT('Rollen-Prozess-Matrix'!L31,'Kompetenz-Prozess-Matrix'!R35)</f>
        <v>3</v>
      </c>
      <c r="I509" s="183">
        <f>PRODUCT('Rollen-Prozess-Matrix'!M31,'Kompetenz-Prozess-Matrix'!R35)</f>
        <v>0</v>
      </c>
      <c r="J509" s="183">
        <f>PRODUCT('Rollen-Prozess-Matrix'!N31,'Kompetenz-Prozess-Matrix'!R35)</f>
        <v>0</v>
      </c>
      <c r="K509" s="183">
        <f>PRODUCT('Rollen-Prozess-Matrix'!O31,'Kompetenz-Prozess-Matrix'!R35)</f>
        <v>0</v>
      </c>
      <c r="L509" s="183">
        <f>PRODUCT('Rollen-Prozess-Matrix'!GW31,'Kompetenz-Prozess-Matrix'!R35)</f>
        <v>1</v>
      </c>
      <c r="M509" s="183">
        <f>PRODUCT('Rollen-Prozess-Matrix'!Q31,'Kompetenz-Prozess-Matrix'!R35)</f>
        <v>0</v>
      </c>
      <c r="N509" s="183">
        <f>PRODUCT('Rollen-Prozess-Matrix'!R31,'Kompetenz-Prozess-Matrix'!R35)</f>
        <v>1</v>
      </c>
      <c r="O509" s="183">
        <f>PRODUCT('Rollen-Prozess-Matrix'!S31,'Kompetenz-Prozess-Matrix'!R35)</f>
        <v>0</v>
      </c>
      <c r="P509" s="183">
        <f>PRODUCT('Rollen-Prozess-Matrix'!T31,'Kompetenz-Prozess-Matrix'!R35)</f>
        <v>0</v>
      </c>
      <c r="Q509" s="185">
        <f>PRODUCT('Rollen-Prozess-Matrix'!U31,'Kompetenz-Prozess-Matrix'!R35)</f>
        <v>0</v>
      </c>
    </row>
    <row r="510" spans="1:17" ht="13.15" hidden="1" outlineLevel="1" thickBot="1" x14ac:dyDescent="0.4">
      <c r="A510" s="336"/>
      <c r="B510" s="330"/>
      <c r="C510" s="205" t="s">
        <v>264</v>
      </c>
      <c r="D510" s="182">
        <f>PRODUCT('Rollen-Prozess-Matrix'!H32,'Kompetenz-Prozess-Matrix'!R36)</f>
        <v>0</v>
      </c>
      <c r="E510" s="183">
        <f>PRODUCT('Rollen-Prozess-Matrix'!I32,'Kompetenz-Prozess-Matrix'!R36)</f>
        <v>0</v>
      </c>
      <c r="F510" s="183">
        <f>PRODUCT('Rollen-Prozess-Matrix'!J32,'Kompetenz-Prozess-Matrix'!R36)</f>
        <v>0</v>
      </c>
      <c r="G510" s="183">
        <f>PRODUCT('Rollen-Prozess-Matrix'!K32,'Kompetenz-Prozess-Matrix'!R36)</f>
        <v>2</v>
      </c>
      <c r="H510" s="183">
        <f>PRODUCT('Rollen-Prozess-Matrix'!L32,'Kompetenz-Prozess-Matrix'!R36)</f>
        <v>1</v>
      </c>
      <c r="I510" s="183">
        <f>PRODUCT('Rollen-Prozess-Matrix'!M32,'Kompetenz-Prozess-Matrix'!R36)</f>
        <v>0</v>
      </c>
      <c r="J510" s="183">
        <f>PRODUCT('Rollen-Prozess-Matrix'!N32,'Kompetenz-Prozess-Matrix'!R36)</f>
        <v>0</v>
      </c>
      <c r="K510" s="183">
        <f>PRODUCT('Rollen-Prozess-Matrix'!O32,'Kompetenz-Prozess-Matrix'!R36)</f>
        <v>0</v>
      </c>
      <c r="L510" s="183">
        <f>PRODUCT('Rollen-Prozess-Matrix'!GW32,'Kompetenz-Prozess-Matrix'!R36)</f>
        <v>1</v>
      </c>
      <c r="M510" s="183">
        <f>PRODUCT('Rollen-Prozess-Matrix'!Q32,'Kompetenz-Prozess-Matrix'!R36)</f>
        <v>0</v>
      </c>
      <c r="N510" s="183">
        <f>PRODUCT('Rollen-Prozess-Matrix'!R32,'Kompetenz-Prozess-Matrix'!R36)</f>
        <v>0</v>
      </c>
      <c r="O510" s="183">
        <f>PRODUCT('Rollen-Prozess-Matrix'!S32,'Kompetenz-Prozess-Matrix'!R36)</f>
        <v>0</v>
      </c>
      <c r="P510" s="183">
        <f>PRODUCT('Rollen-Prozess-Matrix'!T32,'Kompetenz-Prozess-Matrix'!R36)</f>
        <v>0</v>
      </c>
      <c r="Q510" s="185">
        <f>PRODUCT('Rollen-Prozess-Matrix'!U32,'Kompetenz-Prozess-Matrix'!R36)</f>
        <v>0</v>
      </c>
    </row>
    <row r="511" spans="1:17" ht="13.15" hidden="1" outlineLevel="1" thickBot="1" x14ac:dyDescent="0.4">
      <c r="A511" s="336"/>
      <c r="B511" s="330"/>
      <c r="C511" s="205" t="s">
        <v>266</v>
      </c>
      <c r="D511" s="182">
        <f>PRODUCT('Rollen-Prozess-Matrix'!H33,'Kompetenz-Prozess-Matrix'!R37)</f>
        <v>0</v>
      </c>
      <c r="E511" s="183">
        <f>PRODUCT('Rollen-Prozess-Matrix'!I33,'Kompetenz-Prozess-Matrix'!R37)</f>
        <v>0</v>
      </c>
      <c r="F511" s="183">
        <f>PRODUCT('Rollen-Prozess-Matrix'!J33,'Kompetenz-Prozess-Matrix'!R37)</f>
        <v>4</v>
      </c>
      <c r="G511" s="183">
        <f>PRODUCT('Rollen-Prozess-Matrix'!K33,'Kompetenz-Prozess-Matrix'!R37)</f>
        <v>4</v>
      </c>
      <c r="H511" s="183">
        <f>PRODUCT('Rollen-Prozess-Matrix'!L33,'Kompetenz-Prozess-Matrix'!R37)</f>
        <v>0</v>
      </c>
      <c r="I511" s="183">
        <f>PRODUCT('Rollen-Prozess-Matrix'!M33,'Kompetenz-Prozess-Matrix'!R37)</f>
        <v>4</v>
      </c>
      <c r="J511" s="183">
        <f>PRODUCT('Rollen-Prozess-Matrix'!N33,'Kompetenz-Prozess-Matrix'!R37)</f>
        <v>2</v>
      </c>
      <c r="K511" s="183">
        <f>PRODUCT('Rollen-Prozess-Matrix'!O33,'Kompetenz-Prozess-Matrix'!R37)</f>
        <v>0</v>
      </c>
      <c r="L511" s="183">
        <f>PRODUCT('Rollen-Prozess-Matrix'!GW33,'Kompetenz-Prozess-Matrix'!R37)</f>
        <v>2</v>
      </c>
      <c r="M511" s="183">
        <f>PRODUCT('Rollen-Prozess-Matrix'!Q33,'Kompetenz-Prozess-Matrix'!R37)</f>
        <v>0</v>
      </c>
      <c r="N511" s="183">
        <f>PRODUCT('Rollen-Prozess-Matrix'!R33,'Kompetenz-Prozess-Matrix'!R37)</f>
        <v>0</v>
      </c>
      <c r="O511" s="183">
        <f>PRODUCT('Rollen-Prozess-Matrix'!S33,'Kompetenz-Prozess-Matrix'!R37)</f>
        <v>0</v>
      </c>
      <c r="P511" s="183">
        <f>PRODUCT('Rollen-Prozess-Matrix'!T33,'Kompetenz-Prozess-Matrix'!R37)</f>
        <v>0</v>
      </c>
      <c r="Q511" s="185">
        <f>PRODUCT('Rollen-Prozess-Matrix'!U33,'Kompetenz-Prozess-Matrix'!R37)</f>
        <v>0</v>
      </c>
    </row>
    <row r="512" spans="1:17" ht="13.15" hidden="1" outlineLevel="1" thickBot="1" x14ac:dyDescent="0.4">
      <c r="A512" s="336"/>
      <c r="B512" s="331"/>
      <c r="C512" s="206" t="s">
        <v>289</v>
      </c>
      <c r="D512" s="182">
        <f>PRODUCT('Rollen-Prozess-Matrix'!H34,'Kompetenz-Prozess-Matrix'!R38)</f>
        <v>0</v>
      </c>
      <c r="E512" s="183">
        <f>PRODUCT('Rollen-Prozess-Matrix'!I34,'Kompetenz-Prozess-Matrix'!R38)</f>
        <v>0</v>
      </c>
      <c r="F512" s="183">
        <f>PRODUCT('Rollen-Prozess-Matrix'!J34,'Kompetenz-Prozess-Matrix'!R38)</f>
        <v>0</v>
      </c>
      <c r="G512" s="183">
        <f>PRODUCT('Rollen-Prozess-Matrix'!K34,'Kompetenz-Prozess-Matrix'!R38)</f>
        <v>4</v>
      </c>
      <c r="H512" s="183">
        <f>PRODUCT('Rollen-Prozess-Matrix'!L34,'Kompetenz-Prozess-Matrix'!R38)</f>
        <v>0</v>
      </c>
      <c r="I512" s="183">
        <f>PRODUCT('Rollen-Prozess-Matrix'!M34,'Kompetenz-Prozess-Matrix'!R38)</f>
        <v>0</v>
      </c>
      <c r="J512" s="183">
        <f>PRODUCT('Rollen-Prozess-Matrix'!N34,'Kompetenz-Prozess-Matrix'!R38)</f>
        <v>0</v>
      </c>
      <c r="K512" s="183">
        <f>PRODUCT('Rollen-Prozess-Matrix'!O34,'Kompetenz-Prozess-Matrix'!R38)</f>
        <v>0</v>
      </c>
      <c r="L512" s="183">
        <f>PRODUCT('Rollen-Prozess-Matrix'!GW34,'Kompetenz-Prozess-Matrix'!R38)</f>
        <v>2</v>
      </c>
      <c r="M512" s="183">
        <f>PRODUCT('Rollen-Prozess-Matrix'!Q34,'Kompetenz-Prozess-Matrix'!R38)</f>
        <v>0</v>
      </c>
      <c r="N512" s="183">
        <f>PRODUCT('Rollen-Prozess-Matrix'!R34,'Kompetenz-Prozess-Matrix'!R38)</f>
        <v>0</v>
      </c>
      <c r="O512" s="183">
        <f>PRODUCT('Rollen-Prozess-Matrix'!S34,'Kompetenz-Prozess-Matrix'!R38)</f>
        <v>0</v>
      </c>
      <c r="P512" s="183">
        <f>PRODUCT('Rollen-Prozess-Matrix'!T34,'Kompetenz-Prozess-Matrix'!R38)</f>
        <v>0</v>
      </c>
      <c r="Q512" s="185">
        <f>PRODUCT('Rollen-Prozess-Matrix'!U34,'Kompetenz-Prozess-Matrix'!R38)</f>
        <v>0</v>
      </c>
    </row>
    <row r="513" spans="1:19" ht="13.15" collapsed="1" thickBot="1" x14ac:dyDescent="0.4">
      <c r="A513" s="336"/>
      <c r="B513" s="329" t="s">
        <v>96</v>
      </c>
      <c r="C513" s="204"/>
      <c r="D513" s="184">
        <f>MAX(D514:D546)</f>
        <v>2</v>
      </c>
      <c r="E513" s="184">
        <f t="shared" ref="E513" si="183">MAX(E514:E546)</f>
        <v>2</v>
      </c>
      <c r="F513" s="184">
        <f t="shared" ref="F513" si="184">MAX(F514:F546)</f>
        <v>4</v>
      </c>
      <c r="G513" s="184">
        <f t="shared" ref="G513" si="185">MAX(G514:G546)</f>
        <v>4</v>
      </c>
      <c r="H513" s="184">
        <f t="shared" ref="H513" si="186">MAX(H514:H546)</f>
        <v>6</v>
      </c>
      <c r="I513" s="184">
        <f t="shared" ref="I513" si="187">MAX(I514:I546)</f>
        <v>4</v>
      </c>
      <c r="J513" s="184">
        <f t="shared" ref="J513" si="188">MAX(J514:J546)</f>
        <v>2</v>
      </c>
      <c r="K513" s="184">
        <f t="shared" ref="K513" si="189">MAX(K514:K546)</f>
        <v>2</v>
      </c>
      <c r="L513" s="184">
        <f t="shared" ref="L513" si="190">MAX(L514:L546)</f>
        <v>2</v>
      </c>
      <c r="M513" s="184">
        <f t="shared" ref="M513" si="191">MAX(M514:M546)</f>
        <v>4</v>
      </c>
      <c r="N513" s="184">
        <f t="shared" ref="N513" si="192">MAX(N514:N546)</f>
        <v>2</v>
      </c>
      <c r="O513" s="184">
        <f t="shared" ref="O513" si="193">MAX(O514:O546)</f>
        <v>1</v>
      </c>
      <c r="P513" s="184">
        <f t="shared" ref="P513" si="194">MAX(P514:P546)</f>
        <v>2</v>
      </c>
      <c r="Q513" s="199">
        <f t="shared" ref="Q513" si="195">MAX(Q514:Q546)</f>
        <v>1</v>
      </c>
      <c r="S513" s="213">
        <v>1</v>
      </c>
    </row>
    <row r="514" spans="1:19" hidden="1" outlineLevel="1" x14ac:dyDescent="0.35">
      <c r="A514" s="336"/>
      <c r="B514" s="330"/>
      <c r="C514" s="190" t="s">
        <v>123</v>
      </c>
      <c r="D514" s="182">
        <f>PRODUCT('Rollen-Prozess-Matrix'!H2,'Kompetenz-Prozess-Matrix'!S6)</f>
        <v>0</v>
      </c>
      <c r="E514" s="183">
        <f>PRODUCT('Rollen-Prozess-Matrix'!I2,'Kompetenz-Prozess-Matrix'!S6)</f>
        <v>0</v>
      </c>
      <c r="F514" s="183">
        <f>PRODUCT('Rollen-Prozess-Matrix'!J2,'Kompetenz-Prozess-Matrix'!S6)</f>
        <v>0</v>
      </c>
      <c r="G514" s="183">
        <f>PRODUCT('Rollen-Prozess-Matrix'!K2,'Kompetenz-Prozess-Matrix'!S6)</f>
        <v>0</v>
      </c>
      <c r="H514" s="183">
        <f>PRODUCT('Rollen-Prozess-Matrix'!L2,'Kompetenz-Prozess-Matrix'!S6)</f>
        <v>0</v>
      </c>
      <c r="I514" s="183">
        <f>PRODUCT('Rollen-Prozess-Matrix'!M2,'Kompetenz-Prozess-Matrix'!S6)</f>
        <v>0</v>
      </c>
      <c r="J514" s="183">
        <f>PRODUCT('Rollen-Prozess-Matrix'!N2,'Kompetenz-Prozess-Matrix'!S6)</f>
        <v>0</v>
      </c>
      <c r="K514" s="183">
        <f>PRODUCT('Rollen-Prozess-Matrix'!O2,'Kompetenz-Prozess-Matrix'!S6)</f>
        <v>0</v>
      </c>
      <c r="L514" s="183">
        <f>PRODUCT('Rollen-Prozess-Matrix'!P2,'Kompetenz-Prozess-Matrix'!S6)</f>
        <v>0</v>
      </c>
      <c r="M514" s="183">
        <f>PRODUCT('Rollen-Prozess-Matrix'!Q2,'Kompetenz-Prozess-Matrix'!S6)</f>
        <v>0</v>
      </c>
      <c r="N514" s="183">
        <f>PRODUCT('Rollen-Prozess-Matrix'!R2,'Kompetenz-Prozess-Matrix'!S6)</f>
        <v>0</v>
      </c>
      <c r="O514" s="183">
        <f>PRODUCT('Rollen-Prozess-Matrix'!S2,'Kompetenz-Prozess-Matrix'!S6)</f>
        <v>0</v>
      </c>
      <c r="P514" s="183">
        <f>PRODUCT('Rollen-Prozess-Matrix'!T2,'Kompetenz-Prozess-Matrix'!S6)</f>
        <v>0</v>
      </c>
      <c r="Q514" s="185">
        <f>PRODUCT('Rollen-Prozess-Matrix'!U2,'Kompetenz-Prozess-Matrix'!S6)</f>
        <v>0</v>
      </c>
    </row>
    <row r="515" spans="1:19" hidden="1" outlineLevel="1" x14ac:dyDescent="0.35">
      <c r="A515" s="336"/>
      <c r="B515" s="330"/>
      <c r="C515" s="205" t="s">
        <v>127</v>
      </c>
      <c r="D515" s="182">
        <f>PRODUCT('Rollen-Prozess-Matrix'!H3,'Kompetenz-Prozess-Matrix'!S7)</f>
        <v>0</v>
      </c>
      <c r="E515" s="183">
        <f>PRODUCT('Rollen-Prozess-Matrix'!I3,'Kompetenz-Prozess-Matrix'!S7)</f>
        <v>0</v>
      </c>
      <c r="F515" s="183">
        <f>PRODUCT('Rollen-Prozess-Matrix'!J3,'Kompetenz-Prozess-Matrix'!S7)</f>
        <v>0</v>
      </c>
      <c r="G515" s="183">
        <f>PRODUCT('Rollen-Prozess-Matrix'!K3,'Kompetenz-Prozess-Matrix'!S7)</f>
        <v>0</v>
      </c>
      <c r="H515" s="183">
        <f>PRODUCT('Rollen-Prozess-Matrix'!L3,'Kompetenz-Prozess-Matrix'!S7)</f>
        <v>0</v>
      </c>
      <c r="I515" s="183">
        <f>PRODUCT('Rollen-Prozess-Matrix'!M3,'Kompetenz-Prozess-Matrix'!S7)</f>
        <v>0</v>
      </c>
      <c r="J515" s="183">
        <f>PRODUCT('Rollen-Prozess-Matrix'!N3,'Kompetenz-Prozess-Matrix'!S7)</f>
        <v>0</v>
      </c>
      <c r="K515" s="183">
        <f>PRODUCT('Rollen-Prozess-Matrix'!O3,'Kompetenz-Prozess-Matrix'!S7)</f>
        <v>0</v>
      </c>
      <c r="L515" s="183">
        <f>PRODUCT('Rollen-Prozess-Matrix'!P3,'Kompetenz-Prozess-Matrix'!S7)</f>
        <v>0</v>
      </c>
      <c r="M515" s="183">
        <f>PRODUCT('Rollen-Prozess-Matrix'!Q3,'Kompetenz-Prozess-Matrix'!S7)</f>
        <v>0</v>
      </c>
      <c r="N515" s="183">
        <f>PRODUCT('Rollen-Prozess-Matrix'!R3,'Kompetenz-Prozess-Matrix'!S7)</f>
        <v>0</v>
      </c>
      <c r="O515" s="183">
        <f>PRODUCT('Rollen-Prozess-Matrix'!S3,'Kompetenz-Prozess-Matrix'!S7)</f>
        <v>0</v>
      </c>
      <c r="P515" s="183">
        <f>PRODUCT('Rollen-Prozess-Matrix'!T3,'Kompetenz-Prozess-Matrix'!S7)</f>
        <v>0</v>
      </c>
      <c r="Q515" s="185">
        <f>PRODUCT('Rollen-Prozess-Matrix'!U3,'Kompetenz-Prozess-Matrix'!S7)</f>
        <v>0</v>
      </c>
    </row>
    <row r="516" spans="1:19" ht="51" hidden="1" outlineLevel="1" x14ac:dyDescent="0.35">
      <c r="A516" s="336"/>
      <c r="B516" s="330"/>
      <c r="C516" s="205" t="s">
        <v>132</v>
      </c>
      <c r="D516" s="182">
        <f>PRODUCT('Rollen-Prozess-Matrix'!H4,'Kompetenz-Prozess-Matrix'!S8)</f>
        <v>0</v>
      </c>
      <c r="E516" s="183">
        <f>PRODUCT('Rollen-Prozess-Matrix'!I4,'Kompetenz-Prozess-Matrix'!S8)</f>
        <v>0</v>
      </c>
      <c r="F516" s="183">
        <f>PRODUCT('Rollen-Prozess-Matrix'!J4,'Kompetenz-Prozess-Matrix'!S8)</f>
        <v>0</v>
      </c>
      <c r="G516" s="183">
        <f>PRODUCT('Rollen-Prozess-Matrix'!K4,'Kompetenz-Prozess-Matrix'!S8)</f>
        <v>2</v>
      </c>
      <c r="H516" s="183">
        <f>PRODUCT('Rollen-Prozess-Matrix'!L4,'Kompetenz-Prozess-Matrix'!S8)</f>
        <v>6</v>
      </c>
      <c r="I516" s="183">
        <f>PRODUCT('Rollen-Prozess-Matrix'!M4,'Kompetenz-Prozess-Matrix'!S8)</f>
        <v>0</v>
      </c>
      <c r="J516" s="183">
        <f>PRODUCT('Rollen-Prozess-Matrix'!N4,'Kompetenz-Prozess-Matrix'!S8)</f>
        <v>0</v>
      </c>
      <c r="K516" s="183">
        <f>PRODUCT('Rollen-Prozess-Matrix'!O4,'Kompetenz-Prozess-Matrix'!S8)</f>
        <v>0</v>
      </c>
      <c r="L516" s="183">
        <f>PRODUCT('Rollen-Prozess-Matrix'!P4,'Kompetenz-Prozess-Matrix'!S8)</f>
        <v>0</v>
      </c>
      <c r="M516" s="183">
        <f>PRODUCT('Rollen-Prozess-Matrix'!Q4,'Kompetenz-Prozess-Matrix'!S8)</f>
        <v>0</v>
      </c>
      <c r="N516" s="183">
        <f>PRODUCT('Rollen-Prozess-Matrix'!R4,'Kompetenz-Prozess-Matrix'!S8)</f>
        <v>0</v>
      </c>
      <c r="O516" s="183">
        <f>PRODUCT('Rollen-Prozess-Matrix'!S4,'Kompetenz-Prozess-Matrix'!S8)</f>
        <v>0</v>
      </c>
      <c r="P516" s="183">
        <f>PRODUCT('Rollen-Prozess-Matrix'!T4,'Kompetenz-Prozess-Matrix'!S8)</f>
        <v>0</v>
      </c>
      <c r="Q516" s="185">
        <f>PRODUCT('Rollen-Prozess-Matrix'!U4,'Kompetenz-Prozess-Matrix'!S8)</f>
        <v>0</v>
      </c>
    </row>
    <row r="517" spans="1:19" ht="38.25" hidden="1" outlineLevel="1" x14ac:dyDescent="0.35">
      <c r="A517" s="336"/>
      <c r="B517" s="330"/>
      <c r="C517" s="205" t="s">
        <v>136</v>
      </c>
      <c r="D517" s="182">
        <f>PRODUCT('Rollen-Prozess-Matrix'!H5,'Kompetenz-Prozess-Matrix'!S9)</f>
        <v>0</v>
      </c>
      <c r="E517" s="183">
        <f>PRODUCT('Rollen-Prozess-Matrix'!I5,'Kompetenz-Prozess-Matrix'!S9)</f>
        <v>0</v>
      </c>
      <c r="F517" s="183">
        <f>PRODUCT('Rollen-Prozess-Matrix'!J5,'Kompetenz-Prozess-Matrix'!S9)</f>
        <v>0</v>
      </c>
      <c r="G517" s="183">
        <f>PRODUCT('Rollen-Prozess-Matrix'!K5,'Kompetenz-Prozess-Matrix'!S9)</f>
        <v>2</v>
      </c>
      <c r="H517" s="183">
        <f>PRODUCT('Rollen-Prozess-Matrix'!L5,'Kompetenz-Prozess-Matrix'!S9)</f>
        <v>3</v>
      </c>
      <c r="I517" s="183">
        <f>PRODUCT('Rollen-Prozess-Matrix'!M5,'Kompetenz-Prozess-Matrix'!S9)</f>
        <v>0</v>
      </c>
      <c r="J517" s="183">
        <f>PRODUCT('Rollen-Prozess-Matrix'!N5,'Kompetenz-Prozess-Matrix'!S9)</f>
        <v>0</v>
      </c>
      <c r="K517" s="183">
        <f>PRODUCT('Rollen-Prozess-Matrix'!O5,'Kompetenz-Prozess-Matrix'!S9)</f>
        <v>0</v>
      </c>
      <c r="L517" s="183">
        <f>PRODUCT('Rollen-Prozess-Matrix'!P5,'Kompetenz-Prozess-Matrix'!S9)</f>
        <v>0</v>
      </c>
      <c r="M517" s="183">
        <f>PRODUCT('Rollen-Prozess-Matrix'!Q5,'Kompetenz-Prozess-Matrix'!S9)</f>
        <v>0</v>
      </c>
      <c r="N517" s="183">
        <f>PRODUCT('Rollen-Prozess-Matrix'!R5,'Kompetenz-Prozess-Matrix'!S9)</f>
        <v>0</v>
      </c>
      <c r="O517" s="183">
        <f>PRODUCT('Rollen-Prozess-Matrix'!S5,'Kompetenz-Prozess-Matrix'!S9)</f>
        <v>0</v>
      </c>
      <c r="P517" s="183">
        <f>PRODUCT('Rollen-Prozess-Matrix'!T5,'Kompetenz-Prozess-Matrix'!S9)</f>
        <v>0</v>
      </c>
      <c r="Q517" s="185">
        <f>PRODUCT('Rollen-Prozess-Matrix'!U5,'Kompetenz-Prozess-Matrix'!S9)</f>
        <v>0</v>
      </c>
    </row>
    <row r="518" spans="1:19" ht="38.25" hidden="1" outlineLevel="1" x14ac:dyDescent="0.35">
      <c r="A518" s="336"/>
      <c r="B518" s="330"/>
      <c r="C518" s="205" t="s">
        <v>140</v>
      </c>
      <c r="D518" s="182">
        <f>PRODUCT('Rollen-Prozess-Matrix'!H6,'Kompetenz-Prozess-Matrix'!S10)</f>
        <v>0</v>
      </c>
      <c r="E518" s="183">
        <f>PRODUCT('Rollen-Prozess-Matrix'!I6,'Kompetenz-Prozess-Matrix'!S10)</f>
        <v>0</v>
      </c>
      <c r="F518" s="183">
        <f>PRODUCT('Rollen-Prozess-Matrix'!J6,'Kompetenz-Prozess-Matrix'!S10)</f>
        <v>0</v>
      </c>
      <c r="G518" s="183">
        <f>PRODUCT('Rollen-Prozess-Matrix'!K6,'Kompetenz-Prozess-Matrix'!S10)</f>
        <v>0</v>
      </c>
      <c r="H518" s="183">
        <f>PRODUCT('Rollen-Prozess-Matrix'!L6,'Kompetenz-Prozess-Matrix'!S10)</f>
        <v>0</v>
      </c>
      <c r="I518" s="183">
        <f>PRODUCT('Rollen-Prozess-Matrix'!M6,'Kompetenz-Prozess-Matrix'!S10)</f>
        <v>0</v>
      </c>
      <c r="J518" s="183">
        <f>PRODUCT('Rollen-Prozess-Matrix'!N6,'Kompetenz-Prozess-Matrix'!S10)</f>
        <v>0</v>
      </c>
      <c r="K518" s="183">
        <f>PRODUCT('Rollen-Prozess-Matrix'!O6,'Kompetenz-Prozess-Matrix'!S10)</f>
        <v>0</v>
      </c>
      <c r="L518" s="183">
        <f>PRODUCT('Rollen-Prozess-Matrix'!P6,'Kompetenz-Prozess-Matrix'!S10)</f>
        <v>0</v>
      </c>
      <c r="M518" s="183">
        <f>PRODUCT('Rollen-Prozess-Matrix'!Q6,'Kompetenz-Prozess-Matrix'!S10)</f>
        <v>0</v>
      </c>
      <c r="N518" s="183">
        <f>PRODUCT('Rollen-Prozess-Matrix'!R6,'Kompetenz-Prozess-Matrix'!S10)</f>
        <v>0</v>
      </c>
      <c r="O518" s="183">
        <f>PRODUCT('Rollen-Prozess-Matrix'!S6,'Kompetenz-Prozess-Matrix'!S10)</f>
        <v>0</v>
      </c>
      <c r="P518" s="183">
        <f>PRODUCT('Rollen-Prozess-Matrix'!T6,'Kompetenz-Prozess-Matrix'!S10)</f>
        <v>0</v>
      </c>
      <c r="Q518" s="185">
        <f>PRODUCT('Rollen-Prozess-Matrix'!U6,'Kompetenz-Prozess-Matrix'!S10)</f>
        <v>0</v>
      </c>
    </row>
    <row r="519" spans="1:19" ht="38.25" hidden="1" outlineLevel="1" x14ac:dyDescent="0.35">
      <c r="A519" s="336"/>
      <c r="B519" s="330"/>
      <c r="C519" s="205" t="s">
        <v>144</v>
      </c>
      <c r="D519" s="182">
        <f>PRODUCT('Rollen-Prozess-Matrix'!H7,'Kompetenz-Prozess-Matrix'!S11)</f>
        <v>0</v>
      </c>
      <c r="E519" s="183">
        <f>PRODUCT('Rollen-Prozess-Matrix'!I7,'Kompetenz-Prozess-Matrix'!S11)</f>
        <v>0</v>
      </c>
      <c r="F519" s="183">
        <f>PRODUCT('Rollen-Prozess-Matrix'!J7,'Kompetenz-Prozess-Matrix'!S11)</f>
        <v>0</v>
      </c>
      <c r="G519" s="183">
        <f>PRODUCT('Rollen-Prozess-Matrix'!K7,'Kompetenz-Prozess-Matrix'!S11)</f>
        <v>0</v>
      </c>
      <c r="H519" s="183">
        <f>PRODUCT('Rollen-Prozess-Matrix'!L7,'Kompetenz-Prozess-Matrix'!S11)</f>
        <v>0</v>
      </c>
      <c r="I519" s="183">
        <f>PRODUCT('Rollen-Prozess-Matrix'!M7,'Kompetenz-Prozess-Matrix'!S11)</f>
        <v>0</v>
      </c>
      <c r="J519" s="183">
        <f>PRODUCT('Rollen-Prozess-Matrix'!N7,'Kompetenz-Prozess-Matrix'!S11)</f>
        <v>0</v>
      </c>
      <c r="K519" s="183">
        <f>PRODUCT('Rollen-Prozess-Matrix'!O7,'Kompetenz-Prozess-Matrix'!S11)</f>
        <v>0</v>
      </c>
      <c r="L519" s="183">
        <f>PRODUCT('Rollen-Prozess-Matrix'!P7,'Kompetenz-Prozess-Matrix'!S11)</f>
        <v>0</v>
      </c>
      <c r="M519" s="183">
        <f>PRODUCT('Rollen-Prozess-Matrix'!Q7,'Kompetenz-Prozess-Matrix'!S11)</f>
        <v>0</v>
      </c>
      <c r="N519" s="183">
        <f>PRODUCT('Rollen-Prozess-Matrix'!R7,'Kompetenz-Prozess-Matrix'!S11)</f>
        <v>0</v>
      </c>
      <c r="O519" s="183">
        <f>PRODUCT('Rollen-Prozess-Matrix'!S7,'Kompetenz-Prozess-Matrix'!S11)</f>
        <v>0</v>
      </c>
      <c r="P519" s="183">
        <f>PRODUCT('Rollen-Prozess-Matrix'!T7,'Kompetenz-Prozess-Matrix'!S11)</f>
        <v>0</v>
      </c>
      <c r="Q519" s="185">
        <f>PRODUCT('Rollen-Prozess-Matrix'!U7,'Kompetenz-Prozess-Matrix'!S11)</f>
        <v>0</v>
      </c>
    </row>
    <row r="520" spans="1:19" ht="38.25" hidden="1" outlineLevel="1" x14ac:dyDescent="0.35">
      <c r="A520" s="336"/>
      <c r="B520" s="330"/>
      <c r="C520" s="205" t="s">
        <v>148</v>
      </c>
      <c r="D520" s="182">
        <f>PRODUCT('Rollen-Prozess-Matrix'!H8,'Kompetenz-Prozess-Matrix'!S12)</f>
        <v>0</v>
      </c>
      <c r="E520" s="183">
        <f>PRODUCT('Rollen-Prozess-Matrix'!I8,'Kompetenz-Prozess-Matrix'!S12)</f>
        <v>0</v>
      </c>
      <c r="F520" s="183">
        <f>PRODUCT('Rollen-Prozess-Matrix'!J8,'Kompetenz-Prozess-Matrix'!S12)</f>
        <v>0</v>
      </c>
      <c r="G520" s="183">
        <f>PRODUCT('Rollen-Prozess-Matrix'!K8,'Kompetenz-Prozess-Matrix'!S12)</f>
        <v>0</v>
      </c>
      <c r="H520" s="183">
        <f>PRODUCT('Rollen-Prozess-Matrix'!L8,'Kompetenz-Prozess-Matrix'!S12)</f>
        <v>0</v>
      </c>
      <c r="I520" s="183">
        <f>PRODUCT('Rollen-Prozess-Matrix'!M8,'Kompetenz-Prozess-Matrix'!S12)</f>
        <v>0</v>
      </c>
      <c r="J520" s="183">
        <f>PRODUCT('Rollen-Prozess-Matrix'!N8,'Kompetenz-Prozess-Matrix'!S12)</f>
        <v>0</v>
      </c>
      <c r="K520" s="183">
        <f>PRODUCT('Rollen-Prozess-Matrix'!O8,'Kompetenz-Prozess-Matrix'!S12)</f>
        <v>0</v>
      </c>
      <c r="L520" s="183">
        <f>PRODUCT('Rollen-Prozess-Matrix'!P8,'Kompetenz-Prozess-Matrix'!S12)</f>
        <v>0</v>
      </c>
      <c r="M520" s="183">
        <f>PRODUCT('Rollen-Prozess-Matrix'!Q8,'Kompetenz-Prozess-Matrix'!S12)</f>
        <v>0</v>
      </c>
      <c r="N520" s="183">
        <f>PRODUCT('Rollen-Prozess-Matrix'!R8,'Kompetenz-Prozess-Matrix'!S12)</f>
        <v>0</v>
      </c>
      <c r="O520" s="183">
        <f>PRODUCT('Rollen-Prozess-Matrix'!S8,'Kompetenz-Prozess-Matrix'!S12)</f>
        <v>0</v>
      </c>
      <c r="P520" s="183">
        <f>PRODUCT('Rollen-Prozess-Matrix'!T8,'Kompetenz-Prozess-Matrix'!S12)</f>
        <v>0</v>
      </c>
      <c r="Q520" s="185">
        <f>PRODUCT('Rollen-Prozess-Matrix'!U8,'Kompetenz-Prozess-Matrix'!S12)</f>
        <v>0</v>
      </c>
    </row>
    <row r="521" spans="1:19" ht="38.25" hidden="1" outlineLevel="1" x14ac:dyDescent="0.35">
      <c r="A521" s="336"/>
      <c r="B521" s="330"/>
      <c r="C521" s="205" t="s">
        <v>152</v>
      </c>
      <c r="D521" s="182">
        <f>PRODUCT('Rollen-Prozess-Matrix'!H9,'Kompetenz-Prozess-Matrix'!S13)</f>
        <v>0</v>
      </c>
      <c r="E521" s="183">
        <f>PRODUCT('Rollen-Prozess-Matrix'!I9,'Kompetenz-Prozess-Matrix'!S13)</f>
        <v>0</v>
      </c>
      <c r="F521" s="183">
        <f>PRODUCT('Rollen-Prozess-Matrix'!J9,'Kompetenz-Prozess-Matrix'!S13)</f>
        <v>0</v>
      </c>
      <c r="G521" s="183">
        <f>PRODUCT('Rollen-Prozess-Matrix'!K9,'Kompetenz-Prozess-Matrix'!S13)</f>
        <v>0</v>
      </c>
      <c r="H521" s="183">
        <f>PRODUCT('Rollen-Prozess-Matrix'!L9,'Kompetenz-Prozess-Matrix'!S13)</f>
        <v>0</v>
      </c>
      <c r="I521" s="183">
        <f>PRODUCT('Rollen-Prozess-Matrix'!M9,'Kompetenz-Prozess-Matrix'!S13)</f>
        <v>0</v>
      </c>
      <c r="J521" s="183">
        <f>PRODUCT('Rollen-Prozess-Matrix'!N9,'Kompetenz-Prozess-Matrix'!S13)</f>
        <v>0</v>
      </c>
      <c r="K521" s="183">
        <f>PRODUCT('Rollen-Prozess-Matrix'!O9,'Kompetenz-Prozess-Matrix'!S13)</f>
        <v>0</v>
      </c>
      <c r="L521" s="183">
        <f>PRODUCT('Rollen-Prozess-Matrix'!P9,'Kompetenz-Prozess-Matrix'!S13)</f>
        <v>0</v>
      </c>
      <c r="M521" s="183">
        <f>PRODUCT('Rollen-Prozess-Matrix'!Q9,'Kompetenz-Prozess-Matrix'!S13)</f>
        <v>0</v>
      </c>
      <c r="N521" s="183">
        <f>PRODUCT('Rollen-Prozess-Matrix'!R9,'Kompetenz-Prozess-Matrix'!S13)</f>
        <v>0</v>
      </c>
      <c r="O521" s="183">
        <f>PRODUCT('Rollen-Prozess-Matrix'!S9,'Kompetenz-Prozess-Matrix'!S13)</f>
        <v>0</v>
      </c>
      <c r="P521" s="183">
        <f>PRODUCT('Rollen-Prozess-Matrix'!T9,'Kompetenz-Prozess-Matrix'!S13)</f>
        <v>0</v>
      </c>
      <c r="Q521" s="185">
        <f>PRODUCT('Rollen-Prozess-Matrix'!U9,'Kompetenz-Prozess-Matrix'!S13)</f>
        <v>0</v>
      </c>
    </row>
    <row r="522" spans="1:19" ht="38.25" hidden="1" outlineLevel="1" x14ac:dyDescent="0.35">
      <c r="A522" s="336"/>
      <c r="B522" s="330"/>
      <c r="C522" s="205" t="s">
        <v>157</v>
      </c>
      <c r="D522" s="182">
        <f>PRODUCT('Rollen-Prozess-Matrix'!H10,'Kompetenz-Prozess-Matrix'!S14)</f>
        <v>0</v>
      </c>
      <c r="E522" s="183">
        <f>PRODUCT('Rollen-Prozess-Matrix'!I10,'Kompetenz-Prozess-Matrix'!S14)</f>
        <v>0</v>
      </c>
      <c r="F522" s="183">
        <f>PRODUCT('Rollen-Prozess-Matrix'!J10,'Kompetenz-Prozess-Matrix'!S14)</f>
        <v>0</v>
      </c>
      <c r="G522" s="183">
        <f>PRODUCT('Rollen-Prozess-Matrix'!K10,'Kompetenz-Prozess-Matrix'!S14)</f>
        <v>0</v>
      </c>
      <c r="H522" s="183">
        <f>PRODUCT('Rollen-Prozess-Matrix'!L10,'Kompetenz-Prozess-Matrix'!S14)</f>
        <v>0</v>
      </c>
      <c r="I522" s="183">
        <f>PRODUCT('Rollen-Prozess-Matrix'!M10,'Kompetenz-Prozess-Matrix'!S14)</f>
        <v>0</v>
      </c>
      <c r="J522" s="183">
        <f>PRODUCT('Rollen-Prozess-Matrix'!N10,'Kompetenz-Prozess-Matrix'!S14)</f>
        <v>0</v>
      </c>
      <c r="K522" s="183">
        <f>PRODUCT('Rollen-Prozess-Matrix'!O10,'Kompetenz-Prozess-Matrix'!S14)</f>
        <v>0</v>
      </c>
      <c r="L522" s="183">
        <f>PRODUCT('Rollen-Prozess-Matrix'!P10,'Kompetenz-Prozess-Matrix'!S14)</f>
        <v>0</v>
      </c>
      <c r="M522" s="183">
        <f>PRODUCT('Rollen-Prozess-Matrix'!Q10,'Kompetenz-Prozess-Matrix'!S14)</f>
        <v>0</v>
      </c>
      <c r="N522" s="183">
        <f>PRODUCT('Rollen-Prozess-Matrix'!R10,'Kompetenz-Prozess-Matrix'!S14)</f>
        <v>0</v>
      </c>
      <c r="O522" s="183">
        <f>PRODUCT('Rollen-Prozess-Matrix'!S10,'Kompetenz-Prozess-Matrix'!S14)</f>
        <v>0</v>
      </c>
      <c r="P522" s="183">
        <f>PRODUCT('Rollen-Prozess-Matrix'!T10,'Kompetenz-Prozess-Matrix'!S14)</f>
        <v>0</v>
      </c>
      <c r="Q522" s="185">
        <f>PRODUCT('Rollen-Prozess-Matrix'!U10,'Kompetenz-Prozess-Matrix'!S14)</f>
        <v>0</v>
      </c>
    </row>
    <row r="523" spans="1:19" ht="38.25" hidden="1" outlineLevel="1" x14ac:dyDescent="0.35">
      <c r="A523" s="336"/>
      <c r="B523" s="330"/>
      <c r="C523" s="205" t="s">
        <v>161</v>
      </c>
      <c r="D523" s="182">
        <f>PRODUCT('Rollen-Prozess-Matrix'!H11,'Kompetenz-Prozess-Matrix'!S15)</f>
        <v>0</v>
      </c>
      <c r="E523" s="183">
        <f>PRODUCT('Rollen-Prozess-Matrix'!I11,'Kompetenz-Prozess-Matrix'!S15)</f>
        <v>0</v>
      </c>
      <c r="F523" s="183">
        <f>PRODUCT('Rollen-Prozess-Matrix'!J11,'Kompetenz-Prozess-Matrix'!S15)</f>
        <v>0</v>
      </c>
      <c r="G523" s="183">
        <f>PRODUCT('Rollen-Prozess-Matrix'!K11,'Kompetenz-Prozess-Matrix'!S15)</f>
        <v>0</v>
      </c>
      <c r="H523" s="183">
        <f>PRODUCT('Rollen-Prozess-Matrix'!L11,'Kompetenz-Prozess-Matrix'!S15)</f>
        <v>0</v>
      </c>
      <c r="I523" s="183">
        <f>PRODUCT('Rollen-Prozess-Matrix'!M11,'Kompetenz-Prozess-Matrix'!S15)</f>
        <v>0</v>
      </c>
      <c r="J523" s="183">
        <f>PRODUCT('Rollen-Prozess-Matrix'!N11,'Kompetenz-Prozess-Matrix'!S15)</f>
        <v>0</v>
      </c>
      <c r="K523" s="183">
        <f>PRODUCT('Rollen-Prozess-Matrix'!O11,'Kompetenz-Prozess-Matrix'!S15)</f>
        <v>0</v>
      </c>
      <c r="L523" s="183">
        <f>PRODUCT('Rollen-Prozess-Matrix'!P11,'Kompetenz-Prozess-Matrix'!S15)</f>
        <v>0</v>
      </c>
      <c r="M523" s="183">
        <f>PRODUCT('Rollen-Prozess-Matrix'!Q11,'Kompetenz-Prozess-Matrix'!S15)</f>
        <v>0</v>
      </c>
      <c r="N523" s="183">
        <f>PRODUCT('Rollen-Prozess-Matrix'!R11,'Kompetenz-Prozess-Matrix'!S15)</f>
        <v>0</v>
      </c>
      <c r="O523" s="183">
        <f>PRODUCT('Rollen-Prozess-Matrix'!S11,'Kompetenz-Prozess-Matrix'!S15)</f>
        <v>0</v>
      </c>
      <c r="P523" s="183">
        <f>PRODUCT('Rollen-Prozess-Matrix'!T11,'Kompetenz-Prozess-Matrix'!S15)</f>
        <v>0</v>
      </c>
      <c r="Q523" s="185">
        <f>PRODUCT('Rollen-Prozess-Matrix'!U11,'Kompetenz-Prozess-Matrix'!S15)</f>
        <v>0</v>
      </c>
    </row>
    <row r="524" spans="1:19" ht="38.25" hidden="1" outlineLevel="1" x14ac:dyDescent="0.35">
      <c r="A524" s="336"/>
      <c r="B524" s="330"/>
      <c r="C524" s="205" t="s">
        <v>288</v>
      </c>
      <c r="D524" s="182">
        <f>PRODUCT('Rollen-Prozess-Matrix'!H12,'Kompetenz-Prozess-Matrix'!S16)</f>
        <v>0</v>
      </c>
      <c r="E524" s="183">
        <f>PRODUCT('Rollen-Prozess-Matrix'!I12,'Kompetenz-Prozess-Matrix'!S16)</f>
        <v>0</v>
      </c>
      <c r="F524" s="183">
        <f>PRODUCT('Rollen-Prozess-Matrix'!J12,'Kompetenz-Prozess-Matrix'!S16)</f>
        <v>0</v>
      </c>
      <c r="G524" s="183">
        <f>PRODUCT('Rollen-Prozess-Matrix'!K12,'Kompetenz-Prozess-Matrix'!S16)</f>
        <v>0</v>
      </c>
      <c r="H524" s="183">
        <f>PRODUCT('Rollen-Prozess-Matrix'!L12,'Kompetenz-Prozess-Matrix'!S16)</f>
        <v>0</v>
      </c>
      <c r="I524" s="183">
        <f>PRODUCT('Rollen-Prozess-Matrix'!M12,'Kompetenz-Prozess-Matrix'!S16)</f>
        <v>0</v>
      </c>
      <c r="J524" s="183">
        <f>PRODUCT('Rollen-Prozess-Matrix'!N12,'Kompetenz-Prozess-Matrix'!S16)</f>
        <v>0</v>
      </c>
      <c r="K524" s="183">
        <f>PRODUCT('Rollen-Prozess-Matrix'!O12,'Kompetenz-Prozess-Matrix'!S16)</f>
        <v>0</v>
      </c>
      <c r="L524" s="183">
        <f>PRODUCT('Rollen-Prozess-Matrix'!P12,'Kompetenz-Prozess-Matrix'!S16)</f>
        <v>0</v>
      </c>
      <c r="M524" s="183">
        <f>PRODUCT('Rollen-Prozess-Matrix'!Q12,'Kompetenz-Prozess-Matrix'!S16)</f>
        <v>0</v>
      </c>
      <c r="N524" s="183">
        <f>PRODUCT('Rollen-Prozess-Matrix'!R12,'Kompetenz-Prozess-Matrix'!S16)</f>
        <v>0</v>
      </c>
      <c r="O524" s="183">
        <f>PRODUCT('Rollen-Prozess-Matrix'!S12,'Kompetenz-Prozess-Matrix'!S16)</f>
        <v>0</v>
      </c>
      <c r="P524" s="183">
        <f>PRODUCT('Rollen-Prozess-Matrix'!T12,'Kompetenz-Prozess-Matrix'!S16)</f>
        <v>0</v>
      </c>
      <c r="Q524" s="185">
        <f>PRODUCT('Rollen-Prozess-Matrix'!U12,'Kompetenz-Prozess-Matrix'!S16)</f>
        <v>0</v>
      </c>
    </row>
    <row r="525" spans="1:19" ht="25.5" hidden="1" outlineLevel="1" x14ac:dyDescent="0.35">
      <c r="A525" s="336"/>
      <c r="B525" s="330"/>
      <c r="C525" s="205" t="s">
        <v>169</v>
      </c>
      <c r="D525" s="182">
        <f>PRODUCT('Rollen-Prozess-Matrix'!H13,'Kompetenz-Prozess-Matrix'!S17)</f>
        <v>0</v>
      </c>
      <c r="E525" s="183">
        <f>PRODUCT('Rollen-Prozess-Matrix'!I13,'Kompetenz-Prozess-Matrix'!S17)</f>
        <v>0</v>
      </c>
      <c r="F525" s="183">
        <f>PRODUCT('Rollen-Prozess-Matrix'!J13,'Kompetenz-Prozess-Matrix'!S17)</f>
        <v>0</v>
      </c>
      <c r="G525" s="183">
        <f>PRODUCT('Rollen-Prozess-Matrix'!K13,'Kompetenz-Prozess-Matrix'!S17)</f>
        <v>0</v>
      </c>
      <c r="H525" s="183">
        <f>PRODUCT('Rollen-Prozess-Matrix'!L13,'Kompetenz-Prozess-Matrix'!S17)</f>
        <v>0</v>
      </c>
      <c r="I525" s="183">
        <f>PRODUCT('Rollen-Prozess-Matrix'!M13,'Kompetenz-Prozess-Matrix'!S17)</f>
        <v>0</v>
      </c>
      <c r="J525" s="183">
        <f>PRODUCT('Rollen-Prozess-Matrix'!N13,'Kompetenz-Prozess-Matrix'!S17)</f>
        <v>0</v>
      </c>
      <c r="K525" s="183">
        <f>PRODUCT('Rollen-Prozess-Matrix'!O13,'Kompetenz-Prozess-Matrix'!S17)</f>
        <v>0</v>
      </c>
      <c r="L525" s="183">
        <f>PRODUCT('Rollen-Prozess-Matrix'!P13,'Kompetenz-Prozess-Matrix'!S17)</f>
        <v>0</v>
      </c>
      <c r="M525" s="183">
        <f>PRODUCT('Rollen-Prozess-Matrix'!Q13,'Kompetenz-Prozess-Matrix'!S17)</f>
        <v>0</v>
      </c>
      <c r="N525" s="183">
        <f>PRODUCT('Rollen-Prozess-Matrix'!R13,'Kompetenz-Prozess-Matrix'!S17)</f>
        <v>0</v>
      </c>
      <c r="O525" s="183">
        <f>PRODUCT('Rollen-Prozess-Matrix'!S13,'Kompetenz-Prozess-Matrix'!S17)</f>
        <v>0</v>
      </c>
      <c r="P525" s="183">
        <f>PRODUCT('Rollen-Prozess-Matrix'!T13,'Kompetenz-Prozess-Matrix'!S17)</f>
        <v>0</v>
      </c>
      <c r="Q525" s="185">
        <f>PRODUCT('Rollen-Prozess-Matrix'!U13,'Kompetenz-Prozess-Matrix'!S17)</f>
        <v>0</v>
      </c>
    </row>
    <row r="526" spans="1:19" ht="63.75" hidden="1" outlineLevel="1" x14ac:dyDescent="0.35">
      <c r="A526" s="336"/>
      <c r="B526" s="330"/>
      <c r="C526" s="205" t="s">
        <v>173</v>
      </c>
      <c r="D526" s="182">
        <f>PRODUCT('Rollen-Prozess-Matrix'!H14,'Kompetenz-Prozess-Matrix'!S18)</f>
        <v>0</v>
      </c>
      <c r="E526" s="183">
        <f>PRODUCT('Rollen-Prozess-Matrix'!I14,'Kompetenz-Prozess-Matrix'!S18)</f>
        <v>2</v>
      </c>
      <c r="F526" s="183">
        <f>PRODUCT('Rollen-Prozess-Matrix'!J14,'Kompetenz-Prozess-Matrix'!S18)</f>
        <v>4</v>
      </c>
      <c r="G526" s="183">
        <f>PRODUCT('Rollen-Prozess-Matrix'!K14,'Kompetenz-Prozess-Matrix'!S18)</f>
        <v>0</v>
      </c>
      <c r="H526" s="183">
        <f>PRODUCT('Rollen-Prozess-Matrix'!L14,'Kompetenz-Prozess-Matrix'!S18)</f>
        <v>6</v>
      </c>
      <c r="I526" s="183">
        <f>PRODUCT('Rollen-Prozess-Matrix'!M14,'Kompetenz-Prozess-Matrix'!S18)</f>
        <v>4</v>
      </c>
      <c r="J526" s="183">
        <f>PRODUCT('Rollen-Prozess-Matrix'!N14,'Kompetenz-Prozess-Matrix'!S18)</f>
        <v>2</v>
      </c>
      <c r="K526" s="183">
        <f>PRODUCT('Rollen-Prozess-Matrix'!O14,'Kompetenz-Prozess-Matrix'!S18)</f>
        <v>0</v>
      </c>
      <c r="L526" s="183">
        <f>PRODUCT('Rollen-Prozess-Matrix'!P14,'Kompetenz-Prozess-Matrix'!S18)</f>
        <v>2</v>
      </c>
      <c r="M526" s="183">
        <f>PRODUCT('Rollen-Prozess-Matrix'!Q14,'Kompetenz-Prozess-Matrix'!S18)</f>
        <v>0</v>
      </c>
      <c r="N526" s="183">
        <f>PRODUCT('Rollen-Prozess-Matrix'!R14,'Kompetenz-Prozess-Matrix'!S18)</f>
        <v>0</v>
      </c>
      <c r="O526" s="183">
        <f>PRODUCT('Rollen-Prozess-Matrix'!S14,'Kompetenz-Prozess-Matrix'!S18)</f>
        <v>0</v>
      </c>
      <c r="P526" s="183">
        <f>PRODUCT('Rollen-Prozess-Matrix'!T14,'Kompetenz-Prozess-Matrix'!S18)</f>
        <v>0</v>
      </c>
      <c r="Q526" s="185">
        <f>PRODUCT('Rollen-Prozess-Matrix'!U14,'Kompetenz-Prozess-Matrix'!S18)</f>
        <v>0</v>
      </c>
    </row>
    <row r="527" spans="1:19" ht="38.25" hidden="1" outlineLevel="1" x14ac:dyDescent="0.35">
      <c r="A527" s="336"/>
      <c r="B527" s="330"/>
      <c r="C527" s="205" t="s">
        <v>177</v>
      </c>
      <c r="D527" s="182">
        <f>PRODUCT('Rollen-Prozess-Matrix'!H15,'Kompetenz-Prozess-Matrix'!S19)</f>
        <v>0</v>
      </c>
      <c r="E527" s="183">
        <f>PRODUCT('Rollen-Prozess-Matrix'!I15,'Kompetenz-Prozess-Matrix'!S19)</f>
        <v>0</v>
      </c>
      <c r="F527" s="183">
        <f>PRODUCT('Rollen-Prozess-Matrix'!J15,'Kompetenz-Prozess-Matrix'!S19)</f>
        <v>0</v>
      </c>
      <c r="G527" s="183">
        <f>PRODUCT('Rollen-Prozess-Matrix'!K15,'Kompetenz-Prozess-Matrix'!S19)</f>
        <v>0</v>
      </c>
      <c r="H527" s="183">
        <f>PRODUCT('Rollen-Prozess-Matrix'!L15,'Kompetenz-Prozess-Matrix'!S19)</f>
        <v>0</v>
      </c>
      <c r="I527" s="183">
        <f>PRODUCT('Rollen-Prozess-Matrix'!M15,'Kompetenz-Prozess-Matrix'!S19)</f>
        <v>0</v>
      </c>
      <c r="J527" s="183">
        <f>PRODUCT('Rollen-Prozess-Matrix'!N15,'Kompetenz-Prozess-Matrix'!S19)</f>
        <v>0</v>
      </c>
      <c r="K527" s="183">
        <f>PRODUCT('Rollen-Prozess-Matrix'!O15,'Kompetenz-Prozess-Matrix'!S19)</f>
        <v>0</v>
      </c>
      <c r="L527" s="183">
        <f>PRODUCT('Rollen-Prozess-Matrix'!P15,'Kompetenz-Prozess-Matrix'!S19)</f>
        <v>0</v>
      </c>
      <c r="M527" s="183">
        <f>PRODUCT('Rollen-Prozess-Matrix'!Q15,'Kompetenz-Prozess-Matrix'!S19)</f>
        <v>0</v>
      </c>
      <c r="N527" s="183">
        <f>PRODUCT('Rollen-Prozess-Matrix'!R15,'Kompetenz-Prozess-Matrix'!S19)</f>
        <v>0</v>
      </c>
      <c r="O527" s="183">
        <f>PRODUCT('Rollen-Prozess-Matrix'!S15,'Kompetenz-Prozess-Matrix'!S19)</f>
        <v>0</v>
      </c>
      <c r="P527" s="183">
        <f>PRODUCT('Rollen-Prozess-Matrix'!T15,'Kompetenz-Prozess-Matrix'!S19)</f>
        <v>0</v>
      </c>
      <c r="Q527" s="185">
        <f>PRODUCT('Rollen-Prozess-Matrix'!U15,'Kompetenz-Prozess-Matrix'!S19)</f>
        <v>0</v>
      </c>
    </row>
    <row r="528" spans="1:19" hidden="1" outlineLevel="1" x14ac:dyDescent="0.35">
      <c r="A528" s="336"/>
      <c r="B528" s="330"/>
      <c r="C528" s="205" t="s">
        <v>181</v>
      </c>
      <c r="D528" s="182">
        <f>PRODUCT('Rollen-Prozess-Matrix'!H16,'Kompetenz-Prozess-Matrix'!S20)</f>
        <v>0</v>
      </c>
      <c r="E528" s="183">
        <f>PRODUCT('Rollen-Prozess-Matrix'!I16,'Kompetenz-Prozess-Matrix'!S20)</f>
        <v>0</v>
      </c>
      <c r="F528" s="183">
        <f>PRODUCT('Rollen-Prozess-Matrix'!J16,'Kompetenz-Prozess-Matrix'!S20)</f>
        <v>0</v>
      </c>
      <c r="G528" s="183">
        <f>PRODUCT('Rollen-Prozess-Matrix'!K16,'Kompetenz-Prozess-Matrix'!S20)</f>
        <v>0</v>
      </c>
      <c r="H528" s="183">
        <f>PRODUCT('Rollen-Prozess-Matrix'!L16,'Kompetenz-Prozess-Matrix'!S20)</f>
        <v>0</v>
      </c>
      <c r="I528" s="183">
        <f>PRODUCT('Rollen-Prozess-Matrix'!M16,'Kompetenz-Prozess-Matrix'!S20)</f>
        <v>0</v>
      </c>
      <c r="J528" s="183">
        <f>PRODUCT('Rollen-Prozess-Matrix'!N16,'Kompetenz-Prozess-Matrix'!S20)</f>
        <v>0</v>
      </c>
      <c r="K528" s="183">
        <f>PRODUCT('Rollen-Prozess-Matrix'!O16,'Kompetenz-Prozess-Matrix'!S20)</f>
        <v>0</v>
      </c>
      <c r="L528" s="183">
        <f>PRODUCT('Rollen-Prozess-Matrix'!P16,'Kompetenz-Prozess-Matrix'!S20)</f>
        <v>0</v>
      </c>
      <c r="M528" s="183">
        <f>PRODUCT('Rollen-Prozess-Matrix'!Q16,'Kompetenz-Prozess-Matrix'!S20)</f>
        <v>0</v>
      </c>
      <c r="N528" s="183">
        <f>PRODUCT('Rollen-Prozess-Matrix'!R16,'Kompetenz-Prozess-Matrix'!S20)</f>
        <v>0</v>
      </c>
      <c r="O528" s="183">
        <f>PRODUCT('Rollen-Prozess-Matrix'!S16,'Kompetenz-Prozess-Matrix'!S20)</f>
        <v>0</v>
      </c>
      <c r="P528" s="183">
        <f>PRODUCT('Rollen-Prozess-Matrix'!T16,'Kompetenz-Prozess-Matrix'!S20)</f>
        <v>0</v>
      </c>
      <c r="Q528" s="185">
        <f>PRODUCT('Rollen-Prozess-Matrix'!U16,'Kompetenz-Prozess-Matrix'!S20)</f>
        <v>0</v>
      </c>
    </row>
    <row r="529" spans="1:17" ht="38.25" hidden="1" outlineLevel="1" x14ac:dyDescent="0.35">
      <c r="A529" s="336"/>
      <c r="B529" s="330"/>
      <c r="C529" s="205" t="s">
        <v>185</v>
      </c>
      <c r="D529" s="182">
        <f>PRODUCT('Rollen-Prozess-Matrix'!H17,'Kompetenz-Prozess-Matrix'!S21)</f>
        <v>0</v>
      </c>
      <c r="E529" s="183">
        <f>PRODUCT('Rollen-Prozess-Matrix'!I17,'Kompetenz-Prozess-Matrix'!S21)</f>
        <v>0</v>
      </c>
      <c r="F529" s="183">
        <f>PRODUCT('Rollen-Prozess-Matrix'!J17,'Kompetenz-Prozess-Matrix'!S21)</f>
        <v>0</v>
      </c>
      <c r="G529" s="183">
        <f>PRODUCT('Rollen-Prozess-Matrix'!K17,'Kompetenz-Prozess-Matrix'!S21)</f>
        <v>0</v>
      </c>
      <c r="H529" s="183">
        <f>PRODUCT('Rollen-Prozess-Matrix'!L17,'Kompetenz-Prozess-Matrix'!S21)</f>
        <v>0</v>
      </c>
      <c r="I529" s="183">
        <f>PRODUCT('Rollen-Prozess-Matrix'!M17,'Kompetenz-Prozess-Matrix'!S21)</f>
        <v>0</v>
      </c>
      <c r="J529" s="183">
        <f>PRODUCT('Rollen-Prozess-Matrix'!N17,'Kompetenz-Prozess-Matrix'!S21)</f>
        <v>0</v>
      </c>
      <c r="K529" s="183">
        <f>PRODUCT('Rollen-Prozess-Matrix'!O17,'Kompetenz-Prozess-Matrix'!S21)</f>
        <v>0</v>
      </c>
      <c r="L529" s="183">
        <f>PRODUCT('Rollen-Prozess-Matrix'!P17,'Kompetenz-Prozess-Matrix'!S21)</f>
        <v>0</v>
      </c>
      <c r="M529" s="183">
        <f>PRODUCT('Rollen-Prozess-Matrix'!Q17,'Kompetenz-Prozess-Matrix'!S21)</f>
        <v>0</v>
      </c>
      <c r="N529" s="183">
        <f>PRODUCT('Rollen-Prozess-Matrix'!R17,'Kompetenz-Prozess-Matrix'!S21)</f>
        <v>0</v>
      </c>
      <c r="O529" s="183">
        <f>PRODUCT('Rollen-Prozess-Matrix'!S17,'Kompetenz-Prozess-Matrix'!S21)</f>
        <v>0</v>
      </c>
      <c r="P529" s="183">
        <f>PRODUCT('Rollen-Prozess-Matrix'!T17,'Kompetenz-Prozess-Matrix'!S21)</f>
        <v>0</v>
      </c>
      <c r="Q529" s="185">
        <f>PRODUCT('Rollen-Prozess-Matrix'!U17,'Kompetenz-Prozess-Matrix'!S21)</f>
        <v>0</v>
      </c>
    </row>
    <row r="530" spans="1:17" ht="51" hidden="1" outlineLevel="1" x14ac:dyDescent="0.35">
      <c r="A530" s="336"/>
      <c r="B530" s="330"/>
      <c r="C530" s="205" t="s">
        <v>190</v>
      </c>
      <c r="D530" s="182">
        <f>PRODUCT('Rollen-Prozess-Matrix'!H18,'Kompetenz-Prozess-Matrix'!S22)</f>
        <v>0</v>
      </c>
      <c r="E530" s="183">
        <f>PRODUCT('Rollen-Prozess-Matrix'!I18,'Kompetenz-Prozess-Matrix'!S22)</f>
        <v>2</v>
      </c>
      <c r="F530" s="183">
        <f>PRODUCT('Rollen-Prozess-Matrix'!J18,'Kompetenz-Prozess-Matrix'!S22)</f>
        <v>0</v>
      </c>
      <c r="G530" s="183">
        <f>PRODUCT('Rollen-Prozess-Matrix'!K18,'Kompetenz-Prozess-Matrix'!S22)</f>
        <v>0</v>
      </c>
      <c r="H530" s="183">
        <f>PRODUCT('Rollen-Prozess-Matrix'!L18,'Kompetenz-Prozess-Matrix'!S22)</f>
        <v>3</v>
      </c>
      <c r="I530" s="183">
        <f>PRODUCT('Rollen-Prozess-Matrix'!M18,'Kompetenz-Prozess-Matrix'!S22)</f>
        <v>0</v>
      </c>
      <c r="J530" s="183">
        <f>PRODUCT('Rollen-Prozess-Matrix'!N18,'Kompetenz-Prozess-Matrix'!S22)</f>
        <v>0</v>
      </c>
      <c r="K530" s="183">
        <f>PRODUCT('Rollen-Prozess-Matrix'!O18,'Kompetenz-Prozess-Matrix'!S22)</f>
        <v>0</v>
      </c>
      <c r="L530" s="183">
        <f>PRODUCT('Rollen-Prozess-Matrix'!P18,'Kompetenz-Prozess-Matrix'!S22)</f>
        <v>0</v>
      </c>
      <c r="M530" s="183">
        <f>PRODUCT('Rollen-Prozess-Matrix'!Q18,'Kompetenz-Prozess-Matrix'!S22)</f>
        <v>0</v>
      </c>
      <c r="N530" s="183">
        <f>PRODUCT('Rollen-Prozess-Matrix'!R18,'Kompetenz-Prozess-Matrix'!S22)</f>
        <v>0</v>
      </c>
      <c r="O530" s="183">
        <f>PRODUCT('Rollen-Prozess-Matrix'!S18,'Kompetenz-Prozess-Matrix'!S22)</f>
        <v>0</v>
      </c>
      <c r="P530" s="183">
        <f>PRODUCT('Rollen-Prozess-Matrix'!T18,'Kompetenz-Prozess-Matrix'!S22)</f>
        <v>2</v>
      </c>
      <c r="Q530" s="185">
        <f>PRODUCT('Rollen-Prozess-Matrix'!U18,'Kompetenz-Prozess-Matrix'!S22)</f>
        <v>1</v>
      </c>
    </row>
    <row r="531" spans="1:17" ht="63.75" hidden="1" outlineLevel="1" x14ac:dyDescent="0.35">
      <c r="A531" s="336"/>
      <c r="B531" s="330"/>
      <c r="C531" s="205" t="s">
        <v>194</v>
      </c>
      <c r="D531" s="182">
        <f>PRODUCT('Rollen-Prozess-Matrix'!H19,'Kompetenz-Prozess-Matrix'!S23)</f>
        <v>0</v>
      </c>
      <c r="E531" s="183">
        <f>PRODUCT('Rollen-Prozess-Matrix'!I19,'Kompetenz-Prozess-Matrix'!S23)</f>
        <v>2</v>
      </c>
      <c r="F531" s="183">
        <f>PRODUCT('Rollen-Prozess-Matrix'!J19,'Kompetenz-Prozess-Matrix'!S23)</f>
        <v>0</v>
      </c>
      <c r="G531" s="183">
        <f>PRODUCT('Rollen-Prozess-Matrix'!K19,'Kompetenz-Prozess-Matrix'!S23)</f>
        <v>0</v>
      </c>
      <c r="H531" s="183">
        <f>PRODUCT('Rollen-Prozess-Matrix'!L19,'Kompetenz-Prozess-Matrix'!S23)</f>
        <v>3</v>
      </c>
      <c r="I531" s="183">
        <f>PRODUCT('Rollen-Prozess-Matrix'!M19,'Kompetenz-Prozess-Matrix'!S23)</f>
        <v>1</v>
      </c>
      <c r="J531" s="183">
        <f>PRODUCT('Rollen-Prozess-Matrix'!N19,'Kompetenz-Prozess-Matrix'!S23)</f>
        <v>0</v>
      </c>
      <c r="K531" s="183">
        <f>PRODUCT('Rollen-Prozess-Matrix'!O19,'Kompetenz-Prozess-Matrix'!S23)</f>
        <v>0</v>
      </c>
      <c r="L531" s="183">
        <f>PRODUCT('Rollen-Prozess-Matrix'!P19,'Kompetenz-Prozess-Matrix'!S23)</f>
        <v>1</v>
      </c>
      <c r="M531" s="183">
        <f>PRODUCT('Rollen-Prozess-Matrix'!Q19,'Kompetenz-Prozess-Matrix'!S23)</f>
        <v>0</v>
      </c>
      <c r="N531" s="183">
        <f>PRODUCT('Rollen-Prozess-Matrix'!R19,'Kompetenz-Prozess-Matrix'!S23)</f>
        <v>0</v>
      </c>
      <c r="O531" s="183">
        <f>PRODUCT('Rollen-Prozess-Matrix'!S19,'Kompetenz-Prozess-Matrix'!S23)</f>
        <v>0</v>
      </c>
      <c r="P531" s="183">
        <f>PRODUCT('Rollen-Prozess-Matrix'!T19,'Kompetenz-Prozess-Matrix'!S23)</f>
        <v>0</v>
      </c>
      <c r="Q531" s="185">
        <f>PRODUCT('Rollen-Prozess-Matrix'!U19,'Kompetenz-Prozess-Matrix'!S23)</f>
        <v>0</v>
      </c>
    </row>
    <row r="532" spans="1:17" ht="63.75" hidden="1" outlineLevel="1" x14ac:dyDescent="0.35">
      <c r="A532" s="336"/>
      <c r="B532" s="330"/>
      <c r="C532" s="205" t="s">
        <v>201</v>
      </c>
      <c r="D532" s="182">
        <f>PRODUCT('Rollen-Prozess-Matrix'!H20,'Kompetenz-Prozess-Matrix'!S24)</f>
        <v>0</v>
      </c>
      <c r="E532" s="183">
        <f>PRODUCT('Rollen-Prozess-Matrix'!I20,'Kompetenz-Prozess-Matrix'!S24)</f>
        <v>2</v>
      </c>
      <c r="F532" s="183">
        <f>PRODUCT('Rollen-Prozess-Matrix'!J20,'Kompetenz-Prozess-Matrix'!S24)</f>
        <v>0</v>
      </c>
      <c r="G532" s="183">
        <f>PRODUCT('Rollen-Prozess-Matrix'!K20,'Kompetenz-Prozess-Matrix'!S24)</f>
        <v>0</v>
      </c>
      <c r="H532" s="183">
        <f>PRODUCT('Rollen-Prozess-Matrix'!L20,'Kompetenz-Prozess-Matrix'!S24)</f>
        <v>3</v>
      </c>
      <c r="I532" s="183">
        <f>PRODUCT('Rollen-Prozess-Matrix'!M20,'Kompetenz-Prozess-Matrix'!S24)</f>
        <v>2</v>
      </c>
      <c r="J532" s="183">
        <f>PRODUCT('Rollen-Prozess-Matrix'!N20,'Kompetenz-Prozess-Matrix'!S24)</f>
        <v>1</v>
      </c>
      <c r="K532" s="183">
        <f>PRODUCT('Rollen-Prozess-Matrix'!O20,'Kompetenz-Prozess-Matrix'!S24)</f>
        <v>0</v>
      </c>
      <c r="L532" s="183">
        <f>PRODUCT('Rollen-Prozess-Matrix'!P20,'Kompetenz-Prozess-Matrix'!S24)</f>
        <v>1</v>
      </c>
      <c r="M532" s="183">
        <f>PRODUCT('Rollen-Prozess-Matrix'!Q20,'Kompetenz-Prozess-Matrix'!S24)</f>
        <v>0</v>
      </c>
      <c r="N532" s="183">
        <f>PRODUCT('Rollen-Prozess-Matrix'!R20,'Kompetenz-Prozess-Matrix'!S24)</f>
        <v>0</v>
      </c>
      <c r="O532" s="183">
        <f>PRODUCT('Rollen-Prozess-Matrix'!S20,'Kompetenz-Prozess-Matrix'!S24)</f>
        <v>0</v>
      </c>
      <c r="P532" s="183">
        <f>PRODUCT('Rollen-Prozess-Matrix'!T20,'Kompetenz-Prozess-Matrix'!S24)</f>
        <v>0</v>
      </c>
      <c r="Q532" s="185">
        <f>PRODUCT('Rollen-Prozess-Matrix'!U20,'Kompetenz-Prozess-Matrix'!S24)</f>
        <v>0</v>
      </c>
    </row>
    <row r="533" spans="1:17" ht="51" hidden="1" outlineLevel="1" x14ac:dyDescent="0.35">
      <c r="A533" s="336"/>
      <c r="B533" s="330"/>
      <c r="C533" s="205" t="s">
        <v>205</v>
      </c>
      <c r="D533" s="182">
        <f>PRODUCT('Rollen-Prozess-Matrix'!H21,'Kompetenz-Prozess-Matrix'!S25)</f>
        <v>0</v>
      </c>
      <c r="E533" s="183">
        <f>PRODUCT('Rollen-Prozess-Matrix'!I21,'Kompetenz-Prozess-Matrix'!S25)</f>
        <v>2</v>
      </c>
      <c r="F533" s="183">
        <f>PRODUCT('Rollen-Prozess-Matrix'!J21,'Kompetenz-Prozess-Matrix'!S25)</f>
        <v>0</v>
      </c>
      <c r="G533" s="183">
        <f>PRODUCT('Rollen-Prozess-Matrix'!K21,'Kompetenz-Prozess-Matrix'!S25)</f>
        <v>0</v>
      </c>
      <c r="H533" s="183">
        <f>PRODUCT('Rollen-Prozess-Matrix'!L21,'Kompetenz-Prozess-Matrix'!S25)</f>
        <v>6</v>
      </c>
      <c r="I533" s="183">
        <f>PRODUCT('Rollen-Prozess-Matrix'!M21,'Kompetenz-Prozess-Matrix'!S25)</f>
        <v>4</v>
      </c>
      <c r="J533" s="183">
        <f>PRODUCT('Rollen-Prozess-Matrix'!N21,'Kompetenz-Prozess-Matrix'!S25)</f>
        <v>2</v>
      </c>
      <c r="K533" s="183">
        <f>PRODUCT('Rollen-Prozess-Matrix'!O21,'Kompetenz-Prozess-Matrix'!S25)</f>
        <v>0</v>
      </c>
      <c r="L533" s="183">
        <f>PRODUCT('Rollen-Prozess-Matrix'!P21,'Kompetenz-Prozess-Matrix'!S25)</f>
        <v>0</v>
      </c>
      <c r="M533" s="183">
        <f>PRODUCT('Rollen-Prozess-Matrix'!Q21,'Kompetenz-Prozess-Matrix'!S25)</f>
        <v>0</v>
      </c>
      <c r="N533" s="183">
        <f>PRODUCT('Rollen-Prozess-Matrix'!R21,'Kompetenz-Prozess-Matrix'!S25)</f>
        <v>0</v>
      </c>
      <c r="O533" s="183">
        <f>PRODUCT('Rollen-Prozess-Matrix'!S21,'Kompetenz-Prozess-Matrix'!S25)</f>
        <v>0</v>
      </c>
      <c r="P533" s="183">
        <f>PRODUCT('Rollen-Prozess-Matrix'!T21,'Kompetenz-Prozess-Matrix'!S25)</f>
        <v>0</v>
      </c>
      <c r="Q533" s="185">
        <f>PRODUCT('Rollen-Prozess-Matrix'!U21,'Kompetenz-Prozess-Matrix'!S25)</f>
        <v>0</v>
      </c>
    </row>
    <row r="534" spans="1:17" ht="38.25" hidden="1" outlineLevel="1" x14ac:dyDescent="0.35">
      <c r="A534" s="336"/>
      <c r="B534" s="330"/>
      <c r="C534" s="205" t="s">
        <v>209</v>
      </c>
      <c r="D534" s="182">
        <f>PRODUCT('Rollen-Prozess-Matrix'!H22,'Kompetenz-Prozess-Matrix'!S26)</f>
        <v>0</v>
      </c>
      <c r="E534" s="183">
        <f>PRODUCT('Rollen-Prozess-Matrix'!I22,'Kompetenz-Prozess-Matrix'!S26)</f>
        <v>1</v>
      </c>
      <c r="F534" s="183">
        <f>PRODUCT('Rollen-Prozess-Matrix'!J22,'Kompetenz-Prozess-Matrix'!S26)</f>
        <v>0</v>
      </c>
      <c r="G534" s="183">
        <f>PRODUCT('Rollen-Prozess-Matrix'!K22,'Kompetenz-Prozess-Matrix'!S26)</f>
        <v>0</v>
      </c>
      <c r="H534" s="183">
        <f>PRODUCT('Rollen-Prozess-Matrix'!L22,'Kompetenz-Prozess-Matrix'!S26)</f>
        <v>3</v>
      </c>
      <c r="I534" s="183">
        <f>PRODUCT('Rollen-Prozess-Matrix'!M22,'Kompetenz-Prozess-Matrix'!S26)</f>
        <v>2</v>
      </c>
      <c r="J534" s="183">
        <f>PRODUCT('Rollen-Prozess-Matrix'!N22,'Kompetenz-Prozess-Matrix'!S26)</f>
        <v>2</v>
      </c>
      <c r="K534" s="183">
        <f>PRODUCT('Rollen-Prozess-Matrix'!O22,'Kompetenz-Prozess-Matrix'!S26)</f>
        <v>0</v>
      </c>
      <c r="L534" s="183">
        <f>PRODUCT('Rollen-Prozess-Matrix'!P22,'Kompetenz-Prozess-Matrix'!S26)</f>
        <v>0</v>
      </c>
      <c r="M534" s="183">
        <f>PRODUCT('Rollen-Prozess-Matrix'!Q22,'Kompetenz-Prozess-Matrix'!S26)</f>
        <v>0</v>
      </c>
      <c r="N534" s="183">
        <f>PRODUCT('Rollen-Prozess-Matrix'!R22,'Kompetenz-Prozess-Matrix'!S26)</f>
        <v>0</v>
      </c>
      <c r="O534" s="183">
        <f>PRODUCT('Rollen-Prozess-Matrix'!S22,'Kompetenz-Prozess-Matrix'!S26)</f>
        <v>0</v>
      </c>
      <c r="P534" s="183">
        <f>PRODUCT('Rollen-Prozess-Matrix'!T22,'Kompetenz-Prozess-Matrix'!S26)</f>
        <v>0</v>
      </c>
      <c r="Q534" s="185">
        <f>PRODUCT('Rollen-Prozess-Matrix'!U22,'Kompetenz-Prozess-Matrix'!S26)</f>
        <v>0</v>
      </c>
    </row>
    <row r="535" spans="1:17" ht="38.25" hidden="1" outlineLevel="1" x14ac:dyDescent="0.35">
      <c r="A535" s="336"/>
      <c r="B535" s="330"/>
      <c r="C535" s="205" t="s">
        <v>213</v>
      </c>
      <c r="D535" s="182">
        <f>PRODUCT('Rollen-Prozess-Matrix'!H23,'Kompetenz-Prozess-Matrix'!S27)</f>
        <v>0</v>
      </c>
      <c r="E535" s="183">
        <f>PRODUCT('Rollen-Prozess-Matrix'!I23,'Kompetenz-Prozess-Matrix'!S27)</f>
        <v>0</v>
      </c>
      <c r="F535" s="183">
        <f>PRODUCT('Rollen-Prozess-Matrix'!J23,'Kompetenz-Prozess-Matrix'!S27)</f>
        <v>0</v>
      </c>
      <c r="G535" s="183">
        <f>PRODUCT('Rollen-Prozess-Matrix'!K23,'Kompetenz-Prozess-Matrix'!S27)</f>
        <v>0</v>
      </c>
      <c r="H535" s="183">
        <f>PRODUCT('Rollen-Prozess-Matrix'!L23,'Kompetenz-Prozess-Matrix'!S27)</f>
        <v>3</v>
      </c>
      <c r="I535" s="183">
        <f>PRODUCT('Rollen-Prozess-Matrix'!M23,'Kompetenz-Prozess-Matrix'!S27)</f>
        <v>1</v>
      </c>
      <c r="J535" s="183">
        <f>PRODUCT('Rollen-Prozess-Matrix'!N23,'Kompetenz-Prozess-Matrix'!S27)</f>
        <v>0</v>
      </c>
      <c r="K535" s="183">
        <f>PRODUCT('Rollen-Prozess-Matrix'!O23,'Kompetenz-Prozess-Matrix'!S27)</f>
        <v>0</v>
      </c>
      <c r="L535" s="183">
        <f>PRODUCT('Rollen-Prozess-Matrix'!P23,'Kompetenz-Prozess-Matrix'!S27)</f>
        <v>2</v>
      </c>
      <c r="M535" s="183">
        <f>PRODUCT('Rollen-Prozess-Matrix'!Q23,'Kompetenz-Prozess-Matrix'!S27)</f>
        <v>0</v>
      </c>
      <c r="N535" s="183">
        <f>PRODUCT('Rollen-Prozess-Matrix'!R23,'Kompetenz-Prozess-Matrix'!S27)</f>
        <v>0</v>
      </c>
      <c r="O535" s="183">
        <f>PRODUCT('Rollen-Prozess-Matrix'!S23,'Kompetenz-Prozess-Matrix'!S27)</f>
        <v>0</v>
      </c>
      <c r="P535" s="183">
        <f>PRODUCT('Rollen-Prozess-Matrix'!T23,'Kompetenz-Prozess-Matrix'!S27)</f>
        <v>0</v>
      </c>
      <c r="Q535" s="185">
        <f>PRODUCT('Rollen-Prozess-Matrix'!U23,'Kompetenz-Prozess-Matrix'!S27)</f>
        <v>0</v>
      </c>
    </row>
    <row r="536" spans="1:17" ht="38.25" hidden="1" outlineLevel="1" x14ac:dyDescent="0.35">
      <c r="A536" s="336"/>
      <c r="B536" s="330"/>
      <c r="C536" s="205" t="s">
        <v>217</v>
      </c>
      <c r="D536" s="182">
        <f>PRODUCT('Rollen-Prozess-Matrix'!H24,'Kompetenz-Prozess-Matrix'!S28)</f>
        <v>0</v>
      </c>
      <c r="E536" s="183">
        <f>PRODUCT('Rollen-Prozess-Matrix'!I24,'Kompetenz-Prozess-Matrix'!S28)</f>
        <v>0</v>
      </c>
      <c r="F536" s="183">
        <f>PRODUCT('Rollen-Prozess-Matrix'!J24,'Kompetenz-Prozess-Matrix'!S28)</f>
        <v>0</v>
      </c>
      <c r="G536" s="183">
        <f>PRODUCT('Rollen-Prozess-Matrix'!K24,'Kompetenz-Prozess-Matrix'!S28)</f>
        <v>0</v>
      </c>
      <c r="H536" s="183">
        <f>PRODUCT('Rollen-Prozess-Matrix'!L24,'Kompetenz-Prozess-Matrix'!S28)</f>
        <v>3</v>
      </c>
      <c r="I536" s="183">
        <f>PRODUCT('Rollen-Prozess-Matrix'!M24,'Kompetenz-Prozess-Matrix'!S28)</f>
        <v>0</v>
      </c>
      <c r="J536" s="183">
        <f>PRODUCT('Rollen-Prozess-Matrix'!N24,'Kompetenz-Prozess-Matrix'!S28)</f>
        <v>2</v>
      </c>
      <c r="K536" s="183">
        <f>PRODUCT('Rollen-Prozess-Matrix'!O24,'Kompetenz-Prozess-Matrix'!S28)</f>
        <v>2</v>
      </c>
      <c r="L536" s="183">
        <f>PRODUCT('Rollen-Prozess-Matrix'!P24,'Kompetenz-Prozess-Matrix'!S28)</f>
        <v>0</v>
      </c>
      <c r="M536" s="183">
        <f>PRODUCT('Rollen-Prozess-Matrix'!Q24,'Kompetenz-Prozess-Matrix'!S28)</f>
        <v>2</v>
      </c>
      <c r="N536" s="183">
        <f>PRODUCT('Rollen-Prozess-Matrix'!R24,'Kompetenz-Prozess-Matrix'!S28)</f>
        <v>0</v>
      </c>
      <c r="O536" s="183">
        <f>PRODUCT('Rollen-Prozess-Matrix'!S24,'Kompetenz-Prozess-Matrix'!S28)</f>
        <v>0</v>
      </c>
      <c r="P536" s="183">
        <f>PRODUCT('Rollen-Prozess-Matrix'!T24,'Kompetenz-Prozess-Matrix'!S28)</f>
        <v>0</v>
      </c>
      <c r="Q536" s="185">
        <f>PRODUCT('Rollen-Prozess-Matrix'!U24,'Kompetenz-Prozess-Matrix'!S28)</f>
        <v>0</v>
      </c>
    </row>
    <row r="537" spans="1:17" ht="38.25" hidden="1" outlineLevel="1" x14ac:dyDescent="0.35">
      <c r="A537" s="336"/>
      <c r="B537" s="330"/>
      <c r="C537" s="205" t="s">
        <v>223</v>
      </c>
      <c r="D537" s="182">
        <f>PRODUCT('Rollen-Prozess-Matrix'!H25,'Kompetenz-Prozess-Matrix'!S29)</f>
        <v>0</v>
      </c>
      <c r="E537" s="183">
        <f>PRODUCT('Rollen-Prozess-Matrix'!I25,'Kompetenz-Prozess-Matrix'!S29)</f>
        <v>2</v>
      </c>
      <c r="F537" s="183">
        <f>PRODUCT('Rollen-Prozess-Matrix'!J25,'Kompetenz-Prozess-Matrix'!S29)</f>
        <v>0</v>
      </c>
      <c r="G537" s="183">
        <f>PRODUCT('Rollen-Prozess-Matrix'!K25,'Kompetenz-Prozess-Matrix'!S29)</f>
        <v>0</v>
      </c>
      <c r="H537" s="183">
        <f>PRODUCT('Rollen-Prozess-Matrix'!L25,'Kompetenz-Prozess-Matrix'!S29)</f>
        <v>6</v>
      </c>
      <c r="I537" s="183">
        <f>PRODUCT('Rollen-Prozess-Matrix'!M25,'Kompetenz-Prozess-Matrix'!S29)</f>
        <v>0</v>
      </c>
      <c r="J537" s="183">
        <f>PRODUCT('Rollen-Prozess-Matrix'!N25,'Kompetenz-Prozess-Matrix'!S29)</f>
        <v>0</v>
      </c>
      <c r="K537" s="183">
        <f>PRODUCT('Rollen-Prozess-Matrix'!O25,'Kompetenz-Prozess-Matrix'!S29)</f>
        <v>2</v>
      </c>
      <c r="L537" s="183">
        <f>PRODUCT('Rollen-Prozess-Matrix'!P25,'Kompetenz-Prozess-Matrix'!S29)</f>
        <v>2</v>
      </c>
      <c r="M537" s="183">
        <f>PRODUCT('Rollen-Prozess-Matrix'!Q25,'Kompetenz-Prozess-Matrix'!S29)</f>
        <v>4</v>
      </c>
      <c r="N537" s="183">
        <f>PRODUCT('Rollen-Prozess-Matrix'!R25,'Kompetenz-Prozess-Matrix'!S29)</f>
        <v>0</v>
      </c>
      <c r="O537" s="183">
        <f>PRODUCT('Rollen-Prozess-Matrix'!S25,'Kompetenz-Prozess-Matrix'!S29)</f>
        <v>0</v>
      </c>
      <c r="P537" s="183">
        <f>PRODUCT('Rollen-Prozess-Matrix'!T25,'Kompetenz-Prozess-Matrix'!S29)</f>
        <v>0</v>
      </c>
      <c r="Q537" s="185">
        <f>PRODUCT('Rollen-Prozess-Matrix'!U25,'Kompetenz-Prozess-Matrix'!S29)</f>
        <v>0</v>
      </c>
    </row>
    <row r="538" spans="1:17" ht="38.25" hidden="1" outlineLevel="1" x14ac:dyDescent="0.35">
      <c r="A538" s="336"/>
      <c r="B538" s="330"/>
      <c r="C538" s="205" t="s">
        <v>229</v>
      </c>
      <c r="D538" s="182">
        <f>PRODUCT('Rollen-Prozess-Matrix'!H26,'Kompetenz-Prozess-Matrix'!S30)</f>
        <v>0</v>
      </c>
      <c r="E538" s="183">
        <f>PRODUCT('Rollen-Prozess-Matrix'!I26,'Kompetenz-Prozess-Matrix'!S30)</f>
        <v>1</v>
      </c>
      <c r="F538" s="183">
        <f>PRODUCT('Rollen-Prozess-Matrix'!J26,'Kompetenz-Prozess-Matrix'!S30)</f>
        <v>0</v>
      </c>
      <c r="G538" s="183">
        <f>PRODUCT('Rollen-Prozess-Matrix'!K26,'Kompetenz-Prozess-Matrix'!S30)</f>
        <v>0</v>
      </c>
      <c r="H538" s="183">
        <f>PRODUCT('Rollen-Prozess-Matrix'!L26,'Kompetenz-Prozess-Matrix'!S30)</f>
        <v>3</v>
      </c>
      <c r="I538" s="183">
        <f>PRODUCT('Rollen-Prozess-Matrix'!M26,'Kompetenz-Prozess-Matrix'!S30)</f>
        <v>1</v>
      </c>
      <c r="J538" s="183">
        <f>PRODUCT('Rollen-Prozess-Matrix'!N26,'Kompetenz-Prozess-Matrix'!S30)</f>
        <v>1</v>
      </c>
      <c r="K538" s="183">
        <f>PRODUCT('Rollen-Prozess-Matrix'!O26,'Kompetenz-Prozess-Matrix'!S30)</f>
        <v>0</v>
      </c>
      <c r="L538" s="183">
        <f>PRODUCT('Rollen-Prozess-Matrix'!P26,'Kompetenz-Prozess-Matrix'!S30)</f>
        <v>2</v>
      </c>
      <c r="M538" s="183">
        <f>PRODUCT('Rollen-Prozess-Matrix'!Q26,'Kompetenz-Prozess-Matrix'!S30)</f>
        <v>0</v>
      </c>
      <c r="N538" s="183">
        <f>PRODUCT('Rollen-Prozess-Matrix'!R26,'Kompetenz-Prozess-Matrix'!S30)</f>
        <v>0</v>
      </c>
      <c r="O538" s="183">
        <f>PRODUCT('Rollen-Prozess-Matrix'!S26,'Kompetenz-Prozess-Matrix'!S30)</f>
        <v>1</v>
      </c>
      <c r="P538" s="183">
        <f>PRODUCT('Rollen-Prozess-Matrix'!T26,'Kompetenz-Prozess-Matrix'!S30)</f>
        <v>0</v>
      </c>
      <c r="Q538" s="185">
        <f>PRODUCT('Rollen-Prozess-Matrix'!U26,'Kompetenz-Prozess-Matrix'!S30)</f>
        <v>0</v>
      </c>
    </row>
    <row r="539" spans="1:17" ht="38.25" hidden="1" outlineLevel="1" x14ac:dyDescent="0.35">
      <c r="A539" s="336"/>
      <c r="B539" s="330"/>
      <c r="C539" s="205" t="s">
        <v>235</v>
      </c>
      <c r="D539" s="182">
        <f>PRODUCT('Rollen-Prozess-Matrix'!H27,'Kompetenz-Prozess-Matrix'!S31)</f>
        <v>2</v>
      </c>
      <c r="E539" s="183">
        <f>PRODUCT('Rollen-Prozess-Matrix'!I27,'Kompetenz-Prozess-Matrix'!S31)</f>
        <v>2</v>
      </c>
      <c r="F539" s="183">
        <f>PRODUCT('Rollen-Prozess-Matrix'!J27,'Kompetenz-Prozess-Matrix'!S31)</f>
        <v>0</v>
      </c>
      <c r="G539" s="183">
        <f>PRODUCT('Rollen-Prozess-Matrix'!K27,'Kompetenz-Prozess-Matrix'!S31)</f>
        <v>0</v>
      </c>
      <c r="H539" s="183">
        <f>PRODUCT('Rollen-Prozess-Matrix'!L27,'Kompetenz-Prozess-Matrix'!S31)</f>
        <v>3</v>
      </c>
      <c r="I539" s="183">
        <f>PRODUCT('Rollen-Prozess-Matrix'!M27,'Kompetenz-Prozess-Matrix'!S31)</f>
        <v>0</v>
      </c>
      <c r="J539" s="183">
        <f>PRODUCT('Rollen-Prozess-Matrix'!N27,'Kompetenz-Prozess-Matrix'!S31)</f>
        <v>0</v>
      </c>
      <c r="K539" s="183">
        <f>PRODUCT('Rollen-Prozess-Matrix'!O27,'Kompetenz-Prozess-Matrix'!S31)</f>
        <v>2</v>
      </c>
      <c r="L539" s="183">
        <f>PRODUCT('Rollen-Prozess-Matrix'!P27,'Kompetenz-Prozess-Matrix'!S31)</f>
        <v>0</v>
      </c>
      <c r="M539" s="183">
        <f>PRODUCT('Rollen-Prozess-Matrix'!Q27,'Kompetenz-Prozess-Matrix'!S31)</f>
        <v>0</v>
      </c>
      <c r="N539" s="183">
        <f>PRODUCT('Rollen-Prozess-Matrix'!R27,'Kompetenz-Prozess-Matrix'!S31)</f>
        <v>2</v>
      </c>
      <c r="O539" s="183">
        <f>PRODUCT('Rollen-Prozess-Matrix'!S27,'Kompetenz-Prozess-Matrix'!S31)</f>
        <v>0</v>
      </c>
      <c r="P539" s="183">
        <f>PRODUCT('Rollen-Prozess-Matrix'!T27,'Kompetenz-Prozess-Matrix'!S31)</f>
        <v>0</v>
      </c>
      <c r="Q539" s="185">
        <f>PRODUCT('Rollen-Prozess-Matrix'!U27,'Kompetenz-Prozess-Matrix'!S31)</f>
        <v>0</v>
      </c>
    </row>
    <row r="540" spans="1:17" ht="38.25" hidden="1" outlineLevel="1" x14ac:dyDescent="0.35">
      <c r="A540" s="336"/>
      <c r="B540" s="330"/>
      <c r="C540" s="205" t="s">
        <v>242</v>
      </c>
      <c r="D540" s="182">
        <f>PRODUCT('Rollen-Prozess-Matrix'!H28,'Kompetenz-Prozess-Matrix'!S32)</f>
        <v>1</v>
      </c>
      <c r="E540" s="183">
        <f>PRODUCT('Rollen-Prozess-Matrix'!I28,'Kompetenz-Prozess-Matrix'!S32)</f>
        <v>1</v>
      </c>
      <c r="F540" s="183">
        <f>PRODUCT('Rollen-Prozess-Matrix'!J28,'Kompetenz-Prozess-Matrix'!S32)</f>
        <v>0</v>
      </c>
      <c r="G540" s="183">
        <f>PRODUCT('Rollen-Prozess-Matrix'!K28,'Kompetenz-Prozess-Matrix'!S32)</f>
        <v>0</v>
      </c>
      <c r="H540" s="183">
        <f>PRODUCT('Rollen-Prozess-Matrix'!L28,'Kompetenz-Prozess-Matrix'!S32)</f>
        <v>3</v>
      </c>
      <c r="I540" s="183">
        <f>PRODUCT('Rollen-Prozess-Matrix'!M28,'Kompetenz-Prozess-Matrix'!S32)</f>
        <v>0</v>
      </c>
      <c r="J540" s="183">
        <f>PRODUCT('Rollen-Prozess-Matrix'!N28,'Kompetenz-Prozess-Matrix'!S32)</f>
        <v>0</v>
      </c>
      <c r="K540" s="183">
        <f>PRODUCT('Rollen-Prozess-Matrix'!O28,'Kompetenz-Prozess-Matrix'!S32)</f>
        <v>0</v>
      </c>
      <c r="L540" s="183">
        <f>PRODUCT('Rollen-Prozess-Matrix'!P28,'Kompetenz-Prozess-Matrix'!S32)</f>
        <v>2</v>
      </c>
      <c r="M540" s="183">
        <f>PRODUCT('Rollen-Prozess-Matrix'!Q28,'Kompetenz-Prozess-Matrix'!S32)</f>
        <v>0</v>
      </c>
      <c r="N540" s="183">
        <f>PRODUCT('Rollen-Prozess-Matrix'!R28,'Kompetenz-Prozess-Matrix'!S32)</f>
        <v>0</v>
      </c>
      <c r="O540" s="183">
        <f>PRODUCT('Rollen-Prozess-Matrix'!S28,'Kompetenz-Prozess-Matrix'!S32)</f>
        <v>1</v>
      </c>
      <c r="P540" s="183">
        <f>PRODUCT('Rollen-Prozess-Matrix'!T28,'Kompetenz-Prozess-Matrix'!S32)</f>
        <v>0</v>
      </c>
      <c r="Q540" s="185">
        <f>PRODUCT('Rollen-Prozess-Matrix'!U28,'Kompetenz-Prozess-Matrix'!S32)</f>
        <v>0</v>
      </c>
    </row>
    <row r="541" spans="1:17" ht="38.25" hidden="1" outlineLevel="1" x14ac:dyDescent="0.35">
      <c r="A541" s="336"/>
      <c r="B541" s="330"/>
      <c r="C541" s="205" t="s">
        <v>248</v>
      </c>
      <c r="D541" s="182">
        <f>PRODUCT('Rollen-Prozess-Matrix'!H29,'Kompetenz-Prozess-Matrix'!S33)</f>
        <v>2</v>
      </c>
      <c r="E541" s="183">
        <f>PRODUCT('Rollen-Prozess-Matrix'!I29,'Kompetenz-Prozess-Matrix'!S33)</f>
        <v>0</v>
      </c>
      <c r="F541" s="183">
        <f>PRODUCT('Rollen-Prozess-Matrix'!J29,'Kompetenz-Prozess-Matrix'!S33)</f>
        <v>0</v>
      </c>
      <c r="G541" s="183">
        <f>PRODUCT('Rollen-Prozess-Matrix'!K29,'Kompetenz-Prozess-Matrix'!S33)</f>
        <v>0</v>
      </c>
      <c r="H541" s="183">
        <f>PRODUCT('Rollen-Prozess-Matrix'!L29,'Kompetenz-Prozess-Matrix'!S33)</f>
        <v>3</v>
      </c>
      <c r="I541" s="183">
        <f>PRODUCT('Rollen-Prozess-Matrix'!M29,'Kompetenz-Prozess-Matrix'!S33)</f>
        <v>1</v>
      </c>
      <c r="J541" s="183">
        <f>PRODUCT('Rollen-Prozess-Matrix'!N29,'Kompetenz-Prozess-Matrix'!S33)</f>
        <v>0</v>
      </c>
      <c r="K541" s="183">
        <f>PRODUCT('Rollen-Prozess-Matrix'!O29,'Kompetenz-Prozess-Matrix'!S33)</f>
        <v>0</v>
      </c>
      <c r="L541" s="183">
        <f>PRODUCT('Rollen-Prozess-Matrix'!P29,'Kompetenz-Prozess-Matrix'!S33)</f>
        <v>0</v>
      </c>
      <c r="M541" s="183">
        <f>PRODUCT('Rollen-Prozess-Matrix'!Q29,'Kompetenz-Prozess-Matrix'!S33)</f>
        <v>0</v>
      </c>
      <c r="N541" s="183">
        <f>PRODUCT('Rollen-Prozess-Matrix'!R29,'Kompetenz-Prozess-Matrix'!S33)</f>
        <v>1</v>
      </c>
      <c r="O541" s="183">
        <f>PRODUCT('Rollen-Prozess-Matrix'!S29,'Kompetenz-Prozess-Matrix'!S33)</f>
        <v>0</v>
      </c>
      <c r="P541" s="183">
        <f>PRODUCT('Rollen-Prozess-Matrix'!T29,'Kompetenz-Prozess-Matrix'!S33)</f>
        <v>0</v>
      </c>
      <c r="Q541" s="185">
        <f>PRODUCT('Rollen-Prozess-Matrix'!U29,'Kompetenz-Prozess-Matrix'!S33)</f>
        <v>0</v>
      </c>
    </row>
    <row r="542" spans="1:17" ht="38.25" hidden="1" outlineLevel="1" x14ac:dyDescent="0.35">
      <c r="A542" s="336"/>
      <c r="B542" s="330"/>
      <c r="C542" s="205" t="s">
        <v>255</v>
      </c>
      <c r="D542" s="182">
        <f>PRODUCT('Rollen-Prozess-Matrix'!H30,'Kompetenz-Prozess-Matrix'!S34)</f>
        <v>2</v>
      </c>
      <c r="E542" s="183">
        <f>PRODUCT('Rollen-Prozess-Matrix'!I30,'Kompetenz-Prozess-Matrix'!S34)</f>
        <v>0</v>
      </c>
      <c r="F542" s="183">
        <f>PRODUCT('Rollen-Prozess-Matrix'!J30,'Kompetenz-Prozess-Matrix'!S34)</f>
        <v>0</v>
      </c>
      <c r="G542" s="183">
        <f>PRODUCT('Rollen-Prozess-Matrix'!K30,'Kompetenz-Prozess-Matrix'!S34)</f>
        <v>0</v>
      </c>
      <c r="H542" s="183">
        <f>PRODUCT('Rollen-Prozess-Matrix'!L30,'Kompetenz-Prozess-Matrix'!S34)</f>
        <v>3</v>
      </c>
      <c r="I542" s="183">
        <f>PRODUCT('Rollen-Prozess-Matrix'!M30,'Kompetenz-Prozess-Matrix'!S34)</f>
        <v>1</v>
      </c>
      <c r="J542" s="183">
        <f>PRODUCT('Rollen-Prozess-Matrix'!N30,'Kompetenz-Prozess-Matrix'!S34)</f>
        <v>0</v>
      </c>
      <c r="K542" s="183">
        <f>PRODUCT('Rollen-Prozess-Matrix'!O30,'Kompetenz-Prozess-Matrix'!S34)</f>
        <v>0</v>
      </c>
      <c r="L542" s="183">
        <f>PRODUCT('Rollen-Prozess-Matrix'!P30,'Kompetenz-Prozess-Matrix'!S34)</f>
        <v>0</v>
      </c>
      <c r="M542" s="183">
        <f>PRODUCT('Rollen-Prozess-Matrix'!Q30,'Kompetenz-Prozess-Matrix'!S34)</f>
        <v>0</v>
      </c>
      <c r="N542" s="183">
        <f>PRODUCT('Rollen-Prozess-Matrix'!R30,'Kompetenz-Prozess-Matrix'!S34)</f>
        <v>2</v>
      </c>
      <c r="O542" s="183">
        <f>PRODUCT('Rollen-Prozess-Matrix'!S30,'Kompetenz-Prozess-Matrix'!S34)</f>
        <v>0</v>
      </c>
      <c r="P542" s="183">
        <f>PRODUCT('Rollen-Prozess-Matrix'!T30,'Kompetenz-Prozess-Matrix'!S34)</f>
        <v>0</v>
      </c>
      <c r="Q542" s="185">
        <f>PRODUCT('Rollen-Prozess-Matrix'!U30,'Kompetenz-Prozess-Matrix'!S34)</f>
        <v>0</v>
      </c>
    </row>
    <row r="543" spans="1:17" ht="38.25" hidden="1" outlineLevel="1" x14ac:dyDescent="0.35">
      <c r="A543" s="336"/>
      <c r="B543" s="330"/>
      <c r="C543" s="205" t="s">
        <v>261</v>
      </c>
      <c r="D543" s="182">
        <f>PRODUCT('Rollen-Prozess-Matrix'!H31,'Kompetenz-Prozess-Matrix'!S35)</f>
        <v>2</v>
      </c>
      <c r="E543" s="183">
        <f>PRODUCT('Rollen-Prozess-Matrix'!I31,'Kompetenz-Prozess-Matrix'!S35)</f>
        <v>0</v>
      </c>
      <c r="F543" s="183">
        <f>PRODUCT('Rollen-Prozess-Matrix'!J31,'Kompetenz-Prozess-Matrix'!S35)</f>
        <v>0</v>
      </c>
      <c r="G543" s="183">
        <f>PRODUCT('Rollen-Prozess-Matrix'!K31,'Kompetenz-Prozess-Matrix'!S35)</f>
        <v>0</v>
      </c>
      <c r="H543" s="183">
        <f>PRODUCT('Rollen-Prozess-Matrix'!L31,'Kompetenz-Prozess-Matrix'!S35)</f>
        <v>3</v>
      </c>
      <c r="I543" s="183">
        <f>PRODUCT('Rollen-Prozess-Matrix'!M31,'Kompetenz-Prozess-Matrix'!S35)</f>
        <v>0</v>
      </c>
      <c r="J543" s="183">
        <f>PRODUCT('Rollen-Prozess-Matrix'!N31,'Kompetenz-Prozess-Matrix'!S35)</f>
        <v>0</v>
      </c>
      <c r="K543" s="183">
        <f>PRODUCT('Rollen-Prozess-Matrix'!O31,'Kompetenz-Prozess-Matrix'!S35)</f>
        <v>0</v>
      </c>
      <c r="L543" s="183">
        <f>PRODUCT('Rollen-Prozess-Matrix'!P31,'Kompetenz-Prozess-Matrix'!S35)</f>
        <v>0</v>
      </c>
      <c r="M543" s="183">
        <f>PRODUCT('Rollen-Prozess-Matrix'!Q31,'Kompetenz-Prozess-Matrix'!S35)</f>
        <v>0</v>
      </c>
      <c r="N543" s="183">
        <f>PRODUCT('Rollen-Prozess-Matrix'!R31,'Kompetenz-Prozess-Matrix'!S35)</f>
        <v>1</v>
      </c>
      <c r="O543" s="183">
        <f>PRODUCT('Rollen-Prozess-Matrix'!S31,'Kompetenz-Prozess-Matrix'!S35)</f>
        <v>0</v>
      </c>
      <c r="P543" s="183">
        <f>PRODUCT('Rollen-Prozess-Matrix'!T31,'Kompetenz-Prozess-Matrix'!S35)</f>
        <v>0</v>
      </c>
      <c r="Q543" s="185">
        <f>PRODUCT('Rollen-Prozess-Matrix'!U31,'Kompetenz-Prozess-Matrix'!S35)</f>
        <v>0</v>
      </c>
    </row>
    <row r="544" spans="1:17" hidden="1" outlineLevel="1" x14ac:dyDescent="0.35">
      <c r="A544" s="336"/>
      <c r="B544" s="330"/>
      <c r="C544" s="205" t="s">
        <v>264</v>
      </c>
      <c r="D544" s="182">
        <f>PRODUCT('Rollen-Prozess-Matrix'!H32,'Kompetenz-Prozess-Matrix'!S36)</f>
        <v>0</v>
      </c>
      <c r="E544" s="183">
        <f>PRODUCT('Rollen-Prozess-Matrix'!I32,'Kompetenz-Prozess-Matrix'!S36)</f>
        <v>0</v>
      </c>
      <c r="F544" s="183">
        <f>PRODUCT('Rollen-Prozess-Matrix'!J32,'Kompetenz-Prozess-Matrix'!S36)</f>
        <v>0</v>
      </c>
      <c r="G544" s="183">
        <f>PRODUCT('Rollen-Prozess-Matrix'!K32,'Kompetenz-Prozess-Matrix'!S36)</f>
        <v>4</v>
      </c>
      <c r="H544" s="183">
        <f>PRODUCT('Rollen-Prozess-Matrix'!L32,'Kompetenz-Prozess-Matrix'!S36)</f>
        <v>2</v>
      </c>
      <c r="I544" s="183">
        <f>PRODUCT('Rollen-Prozess-Matrix'!M32,'Kompetenz-Prozess-Matrix'!S36)</f>
        <v>0</v>
      </c>
      <c r="J544" s="183">
        <f>PRODUCT('Rollen-Prozess-Matrix'!N32,'Kompetenz-Prozess-Matrix'!S36)</f>
        <v>0</v>
      </c>
      <c r="K544" s="183">
        <f>PRODUCT('Rollen-Prozess-Matrix'!O32,'Kompetenz-Prozess-Matrix'!S36)</f>
        <v>0</v>
      </c>
      <c r="L544" s="183">
        <f>PRODUCT('Rollen-Prozess-Matrix'!P32,'Kompetenz-Prozess-Matrix'!S36)</f>
        <v>0</v>
      </c>
      <c r="M544" s="183">
        <f>PRODUCT('Rollen-Prozess-Matrix'!Q32,'Kompetenz-Prozess-Matrix'!S36)</f>
        <v>0</v>
      </c>
      <c r="N544" s="183">
        <f>PRODUCT('Rollen-Prozess-Matrix'!R32,'Kompetenz-Prozess-Matrix'!S36)</f>
        <v>0</v>
      </c>
      <c r="O544" s="183">
        <f>PRODUCT('Rollen-Prozess-Matrix'!S32,'Kompetenz-Prozess-Matrix'!S36)</f>
        <v>0</v>
      </c>
      <c r="P544" s="183">
        <f>PRODUCT('Rollen-Prozess-Matrix'!T32,'Kompetenz-Prozess-Matrix'!S36)</f>
        <v>0</v>
      </c>
      <c r="Q544" s="185">
        <f>PRODUCT('Rollen-Prozess-Matrix'!U32,'Kompetenz-Prozess-Matrix'!S36)</f>
        <v>0</v>
      </c>
    </row>
    <row r="545" spans="1:17" hidden="1" outlineLevel="1" x14ac:dyDescent="0.35">
      <c r="A545" s="336"/>
      <c r="B545" s="330"/>
      <c r="C545" s="205" t="s">
        <v>266</v>
      </c>
      <c r="D545" s="182">
        <f>PRODUCT('Rollen-Prozess-Matrix'!H33,'Kompetenz-Prozess-Matrix'!S37)</f>
        <v>0</v>
      </c>
      <c r="E545" s="183">
        <f>PRODUCT('Rollen-Prozess-Matrix'!I33,'Kompetenz-Prozess-Matrix'!S37)</f>
        <v>0</v>
      </c>
      <c r="F545" s="183">
        <f>PRODUCT('Rollen-Prozess-Matrix'!J33,'Kompetenz-Prozess-Matrix'!S37)</f>
        <v>0</v>
      </c>
      <c r="G545" s="183">
        <f>PRODUCT('Rollen-Prozess-Matrix'!K33,'Kompetenz-Prozess-Matrix'!S37)</f>
        <v>0</v>
      </c>
      <c r="H545" s="183">
        <f>PRODUCT('Rollen-Prozess-Matrix'!L33,'Kompetenz-Prozess-Matrix'!S37)</f>
        <v>0</v>
      </c>
      <c r="I545" s="183">
        <f>PRODUCT('Rollen-Prozess-Matrix'!M33,'Kompetenz-Prozess-Matrix'!S37)</f>
        <v>0</v>
      </c>
      <c r="J545" s="183">
        <f>PRODUCT('Rollen-Prozess-Matrix'!N33,'Kompetenz-Prozess-Matrix'!S37)</f>
        <v>0</v>
      </c>
      <c r="K545" s="183">
        <f>PRODUCT('Rollen-Prozess-Matrix'!O33,'Kompetenz-Prozess-Matrix'!S37)</f>
        <v>0</v>
      </c>
      <c r="L545" s="183">
        <f>PRODUCT('Rollen-Prozess-Matrix'!P33,'Kompetenz-Prozess-Matrix'!S37)</f>
        <v>0</v>
      </c>
      <c r="M545" s="183">
        <f>PRODUCT('Rollen-Prozess-Matrix'!Q33,'Kompetenz-Prozess-Matrix'!S37)</f>
        <v>0</v>
      </c>
      <c r="N545" s="183">
        <f>PRODUCT('Rollen-Prozess-Matrix'!R33,'Kompetenz-Prozess-Matrix'!S37)</f>
        <v>0</v>
      </c>
      <c r="O545" s="183">
        <f>PRODUCT('Rollen-Prozess-Matrix'!S33,'Kompetenz-Prozess-Matrix'!S37)</f>
        <v>0</v>
      </c>
      <c r="P545" s="183">
        <f>PRODUCT('Rollen-Prozess-Matrix'!T33,'Kompetenz-Prozess-Matrix'!S37)</f>
        <v>0</v>
      </c>
      <c r="Q545" s="185">
        <f>PRODUCT('Rollen-Prozess-Matrix'!U33,'Kompetenz-Prozess-Matrix'!S37)</f>
        <v>0</v>
      </c>
    </row>
    <row r="546" spans="1:17" ht="13.15" hidden="1" outlineLevel="1" thickBot="1" x14ac:dyDescent="0.4">
      <c r="A546" s="337"/>
      <c r="B546" s="331"/>
      <c r="C546" s="206" t="s">
        <v>289</v>
      </c>
      <c r="D546" s="201">
        <f>PRODUCT('Rollen-Prozess-Matrix'!H34,'Kompetenz-Prozess-Matrix'!S38)</f>
        <v>0</v>
      </c>
      <c r="E546" s="202">
        <f>PRODUCT('Rollen-Prozess-Matrix'!I34,'Kompetenz-Prozess-Matrix'!S38)</f>
        <v>0</v>
      </c>
      <c r="F546" s="202">
        <f>PRODUCT('Rollen-Prozess-Matrix'!J34,'Kompetenz-Prozess-Matrix'!S38)</f>
        <v>0</v>
      </c>
      <c r="G546" s="202">
        <f>PRODUCT('Rollen-Prozess-Matrix'!K34,'Kompetenz-Prozess-Matrix'!S38)</f>
        <v>4</v>
      </c>
      <c r="H546" s="202">
        <f>PRODUCT('Rollen-Prozess-Matrix'!L34,'Kompetenz-Prozess-Matrix'!S38)</f>
        <v>0</v>
      </c>
      <c r="I546" s="202">
        <f>PRODUCT('Rollen-Prozess-Matrix'!M34,'Kompetenz-Prozess-Matrix'!S38)</f>
        <v>0</v>
      </c>
      <c r="J546" s="202">
        <f>PRODUCT('Rollen-Prozess-Matrix'!N34,'Kompetenz-Prozess-Matrix'!S38)</f>
        <v>0</v>
      </c>
      <c r="K546" s="202">
        <f>PRODUCT('Rollen-Prozess-Matrix'!O34,'Kompetenz-Prozess-Matrix'!S38)</f>
        <v>0</v>
      </c>
      <c r="L546" s="202">
        <f>PRODUCT('Rollen-Prozess-Matrix'!P34,'Kompetenz-Prozess-Matrix'!S38)</f>
        <v>0</v>
      </c>
      <c r="M546" s="202">
        <f>PRODUCT('Rollen-Prozess-Matrix'!Q34,'Kompetenz-Prozess-Matrix'!S38)</f>
        <v>0</v>
      </c>
      <c r="N546" s="202">
        <f>PRODUCT('Rollen-Prozess-Matrix'!R34,'Kompetenz-Prozess-Matrix'!S38)</f>
        <v>0</v>
      </c>
      <c r="O546" s="202">
        <f>PRODUCT('Rollen-Prozess-Matrix'!S34,'Kompetenz-Prozess-Matrix'!S38)</f>
        <v>0</v>
      </c>
      <c r="P546" s="202">
        <f>PRODUCT('Rollen-Prozess-Matrix'!T34,'Kompetenz-Prozess-Matrix'!S38)</f>
        <v>0</v>
      </c>
      <c r="Q546" s="203">
        <f>PRODUCT('Rollen-Prozess-Matrix'!U34,'Kompetenz-Prozess-Matrix'!S38)</f>
        <v>0</v>
      </c>
    </row>
    <row r="547" spans="1:17" collapsed="1" x14ac:dyDescent="0.35"/>
    <row r="551" spans="1:17" ht="13.15" x14ac:dyDescent="0.4">
      <c r="A551" s="198" t="s">
        <v>294</v>
      </c>
    </row>
    <row r="552" spans="1:17" ht="13.15" x14ac:dyDescent="0.4">
      <c r="B552" s="198" t="s">
        <v>294</v>
      </c>
    </row>
    <row r="553" spans="1:17" ht="13.15" thickBot="1" x14ac:dyDescent="0.4">
      <c r="D553" t="s">
        <v>103</v>
      </c>
      <c r="E553" t="s">
        <v>104</v>
      </c>
      <c r="F553" t="s">
        <v>105</v>
      </c>
      <c r="G553" t="s">
        <v>106</v>
      </c>
      <c r="H553" t="s">
        <v>295</v>
      </c>
      <c r="I553" t="s">
        <v>296</v>
      </c>
      <c r="J553" t="s">
        <v>109</v>
      </c>
      <c r="K553" t="s">
        <v>297</v>
      </c>
      <c r="L553" t="s">
        <v>298</v>
      </c>
      <c r="M553" t="s">
        <v>112</v>
      </c>
      <c r="N553" t="s">
        <v>113</v>
      </c>
      <c r="O553" t="s">
        <v>114</v>
      </c>
      <c r="P553" t="s">
        <v>299</v>
      </c>
      <c r="Q553" t="s">
        <v>300</v>
      </c>
    </row>
    <row r="554" spans="1:17" ht="13.15" thickBot="1" x14ac:dyDescent="0.4">
      <c r="B554" t="s">
        <v>14</v>
      </c>
      <c r="D554" s="184">
        <v>2</v>
      </c>
      <c r="E554" s="184">
        <v>1</v>
      </c>
      <c r="F554" s="184">
        <v>4</v>
      </c>
      <c r="G554" s="184">
        <v>4</v>
      </c>
      <c r="H554" s="184">
        <v>6</v>
      </c>
      <c r="I554" s="184">
        <v>4</v>
      </c>
      <c r="J554" s="184">
        <v>4</v>
      </c>
      <c r="K554" s="184">
        <v>1</v>
      </c>
      <c r="L554" s="184">
        <v>2</v>
      </c>
      <c r="M554" s="184">
        <v>1</v>
      </c>
      <c r="N554" s="184">
        <v>1</v>
      </c>
      <c r="O554" s="184">
        <v>2</v>
      </c>
      <c r="P554" s="184">
        <v>2</v>
      </c>
      <c r="Q554" s="184">
        <v>2</v>
      </c>
    </row>
    <row r="555" spans="1:17" ht="13.15" thickBot="1" x14ac:dyDescent="0.4">
      <c r="B555" t="s">
        <v>23</v>
      </c>
      <c r="D555" s="184">
        <v>2</v>
      </c>
      <c r="E555" s="184">
        <v>2</v>
      </c>
      <c r="F555" s="184">
        <v>2</v>
      </c>
      <c r="G555" s="184">
        <v>4</v>
      </c>
      <c r="H555" s="184">
        <v>6</v>
      </c>
      <c r="I555" s="184">
        <v>4</v>
      </c>
      <c r="J555" s="184">
        <v>4</v>
      </c>
      <c r="K555" s="184">
        <v>1</v>
      </c>
      <c r="L555" s="184">
        <v>2</v>
      </c>
      <c r="M555" s="184">
        <v>0</v>
      </c>
      <c r="N555" s="184">
        <v>0</v>
      </c>
      <c r="O555" s="184">
        <v>2</v>
      </c>
      <c r="P555" s="184">
        <v>0</v>
      </c>
      <c r="Q555" s="184">
        <v>0</v>
      </c>
    </row>
    <row r="556" spans="1:17" ht="13.15" thickBot="1" x14ac:dyDescent="0.4">
      <c r="B556" t="s">
        <v>301</v>
      </c>
      <c r="D556" s="184">
        <v>2</v>
      </c>
      <c r="E556" s="184">
        <v>4</v>
      </c>
      <c r="F556" s="184">
        <v>2</v>
      </c>
      <c r="G556" s="184">
        <v>4</v>
      </c>
      <c r="H556" s="184">
        <v>6</v>
      </c>
      <c r="I556" s="184">
        <v>4</v>
      </c>
      <c r="J556" s="184">
        <v>2</v>
      </c>
      <c r="K556" s="184">
        <v>2</v>
      </c>
      <c r="L556" s="184">
        <v>4</v>
      </c>
      <c r="M556" s="184">
        <v>0</v>
      </c>
      <c r="N556" s="184">
        <v>0</v>
      </c>
      <c r="O556" s="184">
        <v>4</v>
      </c>
      <c r="P556" s="184">
        <v>0</v>
      </c>
      <c r="Q556" s="184">
        <v>0</v>
      </c>
    </row>
    <row r="557" spans="1:17" ht="13.15" thickBot="1" x14ac:dyDescent="0.4">
      <c r="B557" t="s">
        <v>302</v>
      </c>
      <c r="D557" s="184">
        <v>1</v>
      </c>
      <c r="E557" s="184">
        <v>4</v>
      </c>
      <c r="F557" s="184">
        <v>4</v>
      </c>
      <c r="G557" s="184">
        <v>4</v>
      </c>
      <c r="H557" s="184">
        <v>6</v>
      </c>
      <c r="I557" s="184">
        <v>4</v>
      </c>
      <c r="J557" s="184">
        <v>2</v>
      </c>
      <c r="K557" s="184">
        <v>1</v>
      </c>
      <c r="L557" s="184">
        <v>2</v>
      </c>
      <c r="M557" s="184">
        <v>0</v>
      </c>
      <c r="N557" s="184">
        <v>2</v>
      </c>
      <c r="O557" s="184">
        <v>1</v>
      </c>
      <c r="P557" s="184">
        <v>2</v>
      </c>
      <c r="Q557" s="184">
        <v>2</v>
      </c>
    </row>
    <row r="558" spans="1:17" ht="13.15" thickBot="1" x14ac:dyDescent="0.4">
      <c r="B558" t="s">
        <v>37</v>
      </c>
      <c r="D558" s="184">
        <v>1</v>
      </c>
      <c r="E558" s="184">
        <v>4</v>
      </c>
      <c r="F558" s="184">
        <v>4</v>
      </c>
      <c r="G558" s="184">
        <v>4</v>
      </c>
      <c r="H558" s="184">
        <v>6</v>
      </c>
      <c r="I558" s="184">
        <v>4</v>
      </c>
      <c r="J558" s="184">
        <v>2</v>
      </c>
      <c r="K558" s="184">
        <v>2</v>
      </c>
      <c r="L558" s="184">
        <v>4</v>
      </c>
      <c r="M558" s="184">
        <v>2</v>
      </c>
      <c r="N558" s="184">
        <v>2</v>
      </c>
      <c r="O558" s="184">
        <v>4</v>
      </c>
      <c r="P558" s="184">
        <v>1</v>
      </c>
      <c r="Q558" s="184">
        <v>1</v>
      </c>
    </row>
    <row r="559" spans="1:17" ht="13.15" thickBot="1" x14ac:dyDescent="0.4">
      <c r="B559" t="s">
        <v>303</v>
      </c>
      <c r="D559" s="184">
        <v>1</v>
      </c>
      <c r="E559" s="184">
        <v>1</v>
      </c>
      <c r="F559" s="184">
        <v>2</v>
      </c>
      <c r="G559" s="184">
        <v>4</v>
      </c>
      <c r="H559" s="184">
        <v>6</v>
      </c>
      <c r="I559" s="184">
        <v>4</v>
      </c>
      <c r="J559" s="184">
        <v>2</v>
      </c>
      <c r="K559" s="184">
        <v>0</v>
      </c>
      <c r="L559" s="184">
        <v>2</v>
      </c>
      <c r="M559" s="184">
        <v>0</v>
      </c>
      <c r="N559" s="184">
        <v>0</v>
      </c>
      <c r="O559" s="184">
        <v>2</v>
      </c>
      <c r="P559" s="184">
        <v>0</v>
      </c>
      <c r="Q559" s="184">
        <v>0</v>
      </c>
    </row>
    <row r="560" spans="1:17" ht="13.15" thickBot="1" x14ac:dyDescent="0.4">
      <c r="B560" t="s">
        <v>55</v>
      </c>
      <c r="D560" s="184">
        <v>1</v>
      </c>
      <c r="E560" s="184">
        <v>1</v>
      </c>
      <c r="F560" s="184">
        <v>2</v>
      </c>
      <c r="G560" s="184">
        <v>4</v>
      </c>
      <c r="H560" s="184">
        <v>6</v>
      </c>
      <c r="I560" s="184">
        <v>2</v>
      </c>
      <c r="J560" s="184">
        <v>1</v>
      </c>
      <c r="K560" s="184">
        <v>1</v>
      </c>
      <c r="L560" s="184">
        <v>4</v>
      </c>
      <c r="M560" s="184">
        <v>0</v>
      </c>
      <c r="N560" s="184">
        <v>1</v>
      </c>
      <c r="O560" s="184">
        <v>6</v>
      </c>
      <c r="P560" s="184">
        <v>0</v>
      </c>
      <c r="Q560" s="184">
        <v>0</v>
      </c>
    </row>
    <row r="561" spans="2:17" ht="13.15" thickBot="1" x14ac:dyDescent="0.4">
      <c r="B561" t="s">
        <v>64</v>
      </c>
      <c r="D561" s="184">
        <v>1</v>
      </c>
      <c r="E561" s="184">
        <v>1</v>
      </c>
      <c r="F561" s="184">
        <v>1</v>
      </c>
      <c r="G561" s="184">
        <v>0</v>
      </c>
      <c r="H561" s="184">
        <v>0</v>
      </c>
      <c r="I561" s="184">
        <v>1</v>
      </c>
      <c r="J561" s="184">
        <v>1</v>
      </c>
      <c r="K561" s="184">
        <v>1</v>
      </c>
      <c r="L561" s="184">
        <v>1</v>
      </c>
      <c r="M561" s="184">
        <v>0</v>
      </c>
      <c r="N561" s="184">
        <v>4</v>
      </c>
      <c r="O561" s="184">
        <v>2</v>
      </c>
      <c r="P561" s="184">
        <v>0</v>
      </c>
      <c r="Q561" s="184">
        <v>0</v>
      </c>
    </row>
    <row r="562" spans="2:17" ht="13.15" thickBot="1" x14ac:dyDescent="0.4">
      <c r="B562" t="s">
        <v>67</v>
      </c>
      <c r="D562" s="184">
        <v>1</v>
      </c>
      <c r="E562" s="184">
        <v>1</v>
      </c>
      <c r="F562" s="184">
        <v>4</v>
      </c>
      <c r="G562" s="184">
        <v>4</v>
      </c>
      <c r="H562" s="184">
        <v>6</v>
      </c>
      <c r="I562" s="184">
        <v>4</v>
      </c>
      <c r="J562" s="184">
        <v>1</v>
      </c>
      <c r="K562" s="184">
        <v>1</v>
      </c>
      <c r="L562" s="184">
        <v>2</v>
      </c>
      <c r="M562" s="184">
        <v>0</v>
      </c>
      <c r="N562" s="184">
        <v>0</v>
      </c>
      <c r="O562" s="184">
        <v>1</v>
      </c>
      <c r="P562" s="184">
        <v>0</v>
      </c>
      <c r="Q562" s="184">
        <v>0</v>
      </c>
    </row>
    <row r="563" spans="2:17" ht="13.15" thickBot="1" x14ac:dyDescent="0.4">
      <c r="B563" t="s">
        <v>71</v>
      </c>
      <c r="D563" s="184">
        <v>1</v>
      </c>
      <c r="E563" s="184">
        <v>1</v>
      </c>
      <c r="F563" s="184">
        <v>4</v>
      </c>
      <c r="G563" s="184">
        <v>2</v>
      </c>
      <c r="H563" s="184">
        <v>2</v>
      </c>
      <c r="I563" s="184">
        <v>2</v>
      </c>
      <c r="J563" s="184">
        <v>2</v>
      </c>
      <c r="K563" s="184">
        <v>2</v>
      </c>
      <c r="L563" s="184">
        <v>2</v>
      </c>
      <c r="M563" s="184">
        <v>0</v>
      </c>
      <c r="N563" s="184">
        <v>2</v>
      </c>
      <c r="O563" s="184">
        <v>6</v>
      </c>
      <c r="P563" s="184">
        <v>1</v>
      </c>
      <c r="Q563" s="184">
        <v>1</v>
      </c>
    </row>
    <row r="564" spans="2:17" ht="13.15" thickBot="1" x14ac:dyDescent="0.4">
      <c r="B564" t="s">
        <v>74</v>
      </c>
      <c r="D564" s="184">
        <v>0</v>
      </c>
      <c r="E564" s="184">
        <v>2</v>
      </c>
      <c r="F564" s="184">
        <v>4</v>
      </c>
      <c r="G564" s="184">
        <v>4</v>
      </c>
      <c r="H564" s="184">
        <v>4</v>
      </c>
      <c r="I564" s="184">
        <v>4</v>
      </c>
      <c r="J564" s="184">
        <v>2</v>
      </c>
      <c r="K564" s="184">
        <v>2</v>
      </c>
      <c r="L564" s="184">
        <v>2</v>
      </c>
      <c r="M564" s="184">
        <v>2</v>
      </c>
      <c r="N564" s="184">
        <v>2</v>
      </c>
      <c r="O564" s="184">
        <v>4</v>
      </c>
      <c r="P564" s="184">
        <v>4</v>
      </c>
      <c r="Q564" s="184">
        <v>4</v>
      </c>
    </row>
    <row r="565" spans="2:17" ht="13.15" thickBot="1" x14ac:dyDescent="0.4">
      <c r="B565" t="s">
        <v>77</v>
      </c>
      <c r="D565" s="184">
        <v>0</v>
      </c>
      <c r="E565" s="184">
        <v>1</v>
      </c>
      <c r="F565" s="184">
        <v>4</v>
      </c>
      <c r="G565" s="184">
        <v>0</v>
      </c>
      <c r="H565" s="184">
        <v>0</v>
      </c>
      <c r="I565" s="184">
        <v>2</v>
      </c>
      <c r="J565" s="184">
        <v>0</v>
      </c>
      <c r="K565" s="184">
        <v>0</v>
      </c>
      <c r="L565" s="184">
        <v>0</v>
      </c>
      <c r="M565" s="184">
        <v>0</v>
      </c>
      <c r="N565" s="184">
        <v>0</v>
      </c>
      <c r="O565" s="184">
        <v>1</v>
      </c>
      <c r="P565" s="184">
        <v>2</v>
      </c>
      <c r="Q565" s="184">
        <v>4</v>
      </c>
    </row>
    <row r="566" spans="2:17" ht="13.15" thickBot="1" x14ac:dyDescent="0.4">
      <c r="B566" t="s">
        <v>81</v>
      </c>
      <c r="D566" s="184">
        <v>0</v>
      </c>
      <c r="E566" s="184">
        <v>0</v>
      </c>
      <c r="F566" s="184">
        <v>4</v>
      </c>
      <c r="G566" s="184">
        <v>0</v>
      </c>
      <c r="H566" s="184">
        <v>0</v>
      </c>
      <c r="I566" s="184">
        <v>1</v>
      </c>
      <c r="J566" s="184">
        <v>1</v>
      </c>
      <c r="K566" s="184">
        <v>2</v>
      </c>
      <c r="L566" s="184">
        <v>2</v>
      </c>
      <c r="M566" s="184">
        <v>0</v>
      </c>
      <c r="N566" s="184">
        <v>0</v>
      </c>
      <c r="O566" s="184">
        <v>2</v>
      </c>
      <c r="P566" s="184">
        <v>0</v>
      </c>
      <c r="Q566" s="184">
        <v>0</v>
      </c>
    </row>
    <row r="567" spans="2:17" ht="13.15" thickBot="1" x14ac:dyDescent="0.4">
      <c r="B567" t="s">
        <v>90</v>
      </c>
      <c r="D567" s="184">
        <v>0</v>
      </c>
      <c r="E567" s="184">
        <v>1</v>
      </c>
      <c r="F567" s="184">
        <v>2</v>
      </c>
      <c r="G567" s="184">
        <v>1</v>
      </c>
      <c r="H567" s="184">
        <v>2</v>
      </c>
      <c r="I567" s="184">
        <v>2</v>
      </c>
      <c r="J567" s="184">
        <v>1</v>
      </c>
      <c r="K567" s="184">
        <v>2</v>
      </c>
      <c r="L567" s="184">
        <v>1</v>
      </c>
      <c r="M567" s="184">
        <v>0</v>
      </c>
      <c r="N567" s="184">
        <v>0</v>
      </c>
      <c r="O567" s="184">
        <v>1</v>
      </c>
      <c r="P567" s="184">
        <v>4</v>
      </c>
      <c r="Q567" s="184">
        <v>4</v>
      </c>
    </row>
    <row r="568" spans="2:17" ht="13.15" thickBot="1" x14ac:dyDescent="0.4">
      <c r="B568" t="s">
        <v>93</v>
      </c>
      <c r="D568" s="184">
        <v>0</v>
      </c>
      <c r="E568" s="184">
        <v>1</v>
      </c>
      <c r="F568" s="184">
        <v>2</v>
      </c>
      <c r="G568" s="184">
        <v>2</v>
      </c>
      <c r="H568" s="184">
        <v>2</v>
      </c>
      <c r="I568" s="184">
        <v>2</v>
      </c>
      <c r="J568" s="184">
        <v>2</v>
      </c>
      <c r="K568" s="184">
        <v>2</v>
      </c>
      <c r="L568" s="184">
        <v>2</v>
      </c>
      <c r="M568" s="184">
        <v>0</v>
      </c>
      <c r="N568" s="184">
        <v>1</v>
      </c>
      <c r="O568" s="184">
        <v>2</v>
      </c>
      <c r="P568" s="184">
        <v>2</v>
      </c>
      <c r="Q568" s="184">
        <v>2</v>
      </c>
    </row>
    <row r="569" spans="2:17" ht="13.15" thickBot="1" x14ac:dyDescent="0.4">
      <c r="B569" t="s">
        <v>96</v>
      </c>
      <c r="D569" s="184">
        <v>0</v>
      </c>
      <c r="E569" s="184">
        <v>4</v>
      </c>
      <c r="F569" s="184">
        <v>2</v>
      </c>
      <c r="G569" s="184">
        <v>4</v>
      </c>
      <c r="H569" s="184">
        <v>6</v>
      </c>
      <c r="I569" s="184">
        <v>4</v>
      </c>
      <c r="J569" s="184">
        <v>2</v>
      </c>
      <c r="K569" s="184">
        <v>1</v>
      </c>
      <c r="L569" s="184">
        <v>1</v>
      </c>
      <c r="M569" s="184">
        <v>0</v>
      </c>
      <c r="N569" s="184">
        <v>0</v>
      </c>
      <c r="O569" s="184">
        <v>1</v>
      </c>
      <c r="P569" s="184">
        <v>0</v>
      </c>
      <c r="Q569" s="184">
        <v>0</v>
      </c>
    </row>
  </sheetData>
  <mergeCells count="20">
    <mergeCell ref="B275:B308"/>
    <mergeCell ref="B3:B36"/>
    <mergeCell ref="B37:B70"/>
    <mergeCell ref="B71:B104"/>
    <mergeCell ref="B513:B546"/>
    <mergeCell ref="A3:A138"/>
    <mergeCell ref="A139:A308"/>
    <mergeCell ref="A309:A410"/>
    <mergeCell ref="A411:A546"/>
    <mergeCell ref="B309:B342"/>
    <mergeCell ref="B343:B376"/>
    <mergeCell ref="B377:B410"/>
    <mergeCell ref="B411:B444"/>
    <mergeCell ref="B445:B478"/>
    <mergeCell ref="B479:B512"/>
    <mergeCell ref="B105:B138"/>
    <mergeCell ref="B139:B172"/>
    <mergeCell ref="B173:B206"/>
    <mergeCell ref="B207:B240"/>
    <mergeCell ref="B241:B274"/>
  </mergeCells>
  <conditionalFormatting sqref="D38:D70">
    <cfRule type="cellIs" dxfId="269" priority="389" operator="equal">
      <formula>1</formula>
    </cfRule>
    <cfRule type="cellIs" dxfId="268" priority="390" operator="equal">
      <formula>2</formula>
    </cfRule>
    <cfRule type="cellIs" dxfId="267" priority="391" operator="equal">
      <formula>3</formula>
    </cfRule>
    <cfRule type="cellIs" dxfId="266" priority="392" operator="equal">
      <formula>6</formula>
    </cfRule>
  </conditionalFormatting>
  <conditionalFormatting sqref="D72:D104">
    <cfRule type="cellIs" dxfId="265" priority="385" operator="equal">
      <formula>1</formula>
    </cfRule>
    <cfRule type="cellIs" dxfId="264" priority="386" operator="equal">
      <formula>2</formula>
    </cfRule>
    <cfRule type="cellIs" dxfId="263" priority="387" operator="equal">
      <formula>3</formula>
    </cfRule>
    <cfRule type="cellIs" dxfId="262" priority="388" operator="equal">
      <formula>6</formula>
    </cfRule>
  </conditionalFormatting>
  <conditionalFormatting sqref="D106:D138">
    <cfRule type="cellIs" dxfId="261" priority="381" operator="equal">
      <formula>1</formula>
    </cfRule>
    <cfRule type="cellIs" dxfId="260" priority="382" operator="equal">
      <formula>2</formula>
    </cfRule>
    <cfRule type="cellIs" dxfId="259" priority="383" operator="equal">
      <formula>3</formula>
    </cfRule>
    <cfRule type="cellIs" dxfId="258" priority="384" operator="equal">
      <formula>6</formula>
    </cfRule>
  </conditionalFormatting>
  <conditionalFormatting sqref="D140:D172">
    <cfRule type="cellIs" dxfId="257" priority="377" operator="equal">
      <formula>1</formula>
    </cfRule>
    <cfRule type="cellIs" dxfId="256" priority="378" operator="equal">
      <formula>2</formula>
    </cfRule>
    <cfRule type="cellIs" dxfId="255" priority="379" operator="equal">
      <formula>3</formula>
    </cfRule>
    <cfRule type="cellIs" dxfId="254" priority="380" operator="equal">
      <formula>6</formula>
    </cfRule>
  </conditionalFormatting>
  <conditionalFormatting sqref="D174:D206">
    <cfRule type="cellIs" dxfId="253" priority="373" operator="equal">
      <formula>1</formula>
    </cfRule>
    <cfRule type="cellIs" dxfId="252" priority="374" operator="equal">
      <formula>2</formula>
    </cfRule>
    <cfRule type="cellIs" dxfId="251" priority="375" operator="equal">
      <formula>3</formula>
    </cfRule>
    <cfRule type="cellIs" dxfId="250" priority="376" operator="equal">
      <formula>6</formula>
    </cfRule>
  </conditionalFormatting>
  <conditionalFormatting sqref="D208:D240">
    <cfRule type="cellIs" dxfId="249" priority="369" operator="equal">
      <formula>1</formula>
    </cfRule>
    <cfRule type="cellIs" dxfId="248" priority="370" operator="equal">
      <formula>2</formula>
    </cfRule>
    <cfRule type="cellIs" dxfId="247" priority="371" operator="equal">
      <formula>3</formula>
    </cfRule>
    <cfRule type="cellIs" dxfId="246" priority="372" operator="equal">
      <formula>6</formula>
    </cfRule>
  </conditionalFormatting>
  <conditionalFormatting sqref="D242:D274">
    <cfRule type="cellIs" dxfId="245" priority="365" operator="equal">
      <formula>1</formula>
    </cfRule>
    <cfRule type="cellIs" dxfId="244" priority="366" operator="equal">
      <formula>2</formula>
    </cfRule>
    <cfRule type="cellIs" dxfId="243" priority="367" operator="equal">
      <formula>3</formula>
    </cfRule>
    <cfRule type="cellIs" dxfId="242" priority="368" operator="equal">
      <formula>6</formula>
    </cfRule>
  </conditionalFormatting>
  <conditionalFormatting sqref="D276:D308">
    <cfRule type="cellIs" dxfId="241" priority="361" operator="equal">
      <formula>1</formula>
    </cfRule>
    <cfRule type="cellIs" dxfId="240" priority="362" operator="equal">
      <formula>2</formula>
    </cfRule>
    <cfRule type="cellIs" dxfId="239" priority="363" operator="equal">
      <formula>3</formula>
    </cfRule>
    <cfRule type="cellIs" dxfId="238" priority="364" operator="equal">
      <formula>6</formula>
    </cfRule>
  </conditionalFormatting>
  <conditionalFormatting sqref="D310:D342">
    <cfRule type="cellIs" dxfId="237" priority="357" operator="equal">
      <formula>1</formula>
    </cfRule>
    <cfRule type="cellIs" dxfId="236" priority="358" operator="equal">
      <formula>2</formula>
    </cfRule>
    <cfRule type="cellIs" dxfId="235" priority="359" operator="equal">
      <formula>3</formula>
    </cfRule>
    <cfRule type="cellIs" dxfId="234" priority="360" operator="equal">
      <formula>6</formula>
    </cfRule>
  </conditionalFormatting>
  <conditionalFormatting sqref="D344:D376">
    <cfRule type="cellIs" dxfId="233" priority="353" operator="equal">
      <formula>1</formula>
    </cfRule>
    <cfRule type="cellIs" dxfId="232" priority="354" operator="equal">
      <formula>2</formula>
    </cfRule>
    <cfRule type="cellIs" dxfId="231" priority="355" operator="equal">
      <formula>3</formula>
    </cfRule>
    <cfRule type="cellIs" dxfId="230" priority="356" operator="equal">
      <formula>6</formula>
    </cfRule>
  </conditionalFormatting>
  <conditionalFormatting sqref="D378:D410">
    <cfRule type="cellIs" dxfId="229" priority="349" operator="equal">
      <formula>1</formula>
    </cfRule>
    <cfRule type="cellIs" dxfId="228" priority="350" operator="equal">
      <formula>2</formula>
    </cfRule>
    <cfRule type="cellIs" dxfId="227" priority="351" operator="equal">
      <formula>3</formula>
    </cfRule>
    <cfRule type="cellIs" dxfId="226" priority="352" operator="equal">
      <formula>6</formula>
    </cfRule>
  </conditionalFormatting>
  <conditionalFormatting sqref="D412:D444">
    <cfRule type="cellIs" dxfId="225" priority="345" operator="equal">
      <formula>1</formula>
    </cfRule>
    <cfRule type="cellIs" dxfId="224" priority="346" operator="equal">
      <formula>2</formula>
    </cfRule>
    <cfRule type="cellIs" dxfId="223" priority="347" operator="equal">
      <formula>3</formula>
    </cfRule>
    <cfRule type="cellIs" dxfId="222" priority="348" operator="equal">
      <formula>6</formula>
    </cfRule>
  </conditionalFormatting>
  <conditionalFormatting sqref="D446:D478">
    <cfRule type="cellIs" dxfId="221" priority="341" operator="equal">
      <formula>1</formula>
    </cfRule>
    <cfRule type="cellIs" dxfId="220" priority="342" operator="equal">
      <formula>2</formula>
    </cfRule>
    <cfRule type="cellIs" dxfId="219" priority="343" operator="equal">
      <formula>3</formula>
    </cfRule>
    <cfRule type="cellIs" dxfId="218" priority="344" operator="equal">
      <formula>6</formula>
    </cfRule>
  </conditionalFormatting>
  <conditionalFormatting sqref="D480:D512">
    <cfRule type="cellIs" dxfId="217" priority="337" operator="equal">
      <formula>1</formula>
    </cfRule>
    <cfRule type="cellIs" dxfId="216" priority="338" operator="equal">
      <formula>2</formula>
    </cfRule>
    <cfRule type="cellIs" dxfId="215" priority="339" operator="equal">
      <formula>3</formula>
    </cfRule>
    <cfRule type="cellIs" dxfId="214" priority="340" operator="equal">
      <formula>6</formula>
    </cfRule>
  </conditionalFormatting>
  <conditionalFormatting sqref="D514:D546">
    <cfRule type="cellIs" dxfId="213" priority="333" operator="equal">
      <formula>1</formula>
    </cfRule>
    <cfRule type="cellIs" dxfId="212" priority="334" operator="equal">
      <formula>2</formula>
    </cfRule>
    <cfRule type="cellIs" dxfId="211" priority="335" operator="equal">
      <formula>3</formula>
    </cfRule>
    <cfRule type="cellIs" dxfId="210" priority="336" operator="equal">
      <formula>6</formula>
    </cfRule>
  </conditionalFormatting>
  <conditionalFormatting sqref="E5 E7 E9 E11 E13 E15 E17 E19 E21 E23 E25 E27 E29 E31 E33 E35">
    <cfRule type="cellIs" dxfId="209" priority="329" operator="equal">
      <formula>1</formula>
    </cfRule>
    <cfRule type="cellIs" dxfId="208" priority="330" operator="equal">
      <formula>2</formula>
    </cfRule>
    <cfRule type="cellIs" dxfId="207" priority="331" operator="equal">
      <formula>3</formula>
    </cfRule>
    <cfRule type="cellIs" dxfId="206" priority="332" operator="equal">
      <formula>6</formula>
    </cfRule>
  </conditionalFormatting>
  <conditionalFormatting sqref="F5 F7 F9 F11 F13 F15 F17 F19 F21 F23 F25 F27 F29 F31 F33 F35">
    <cfRule type="cellIs" dxfId="205" priority="325" operator="equal">
      <formula>1</formula>
    </cfRule>
    <cfRule type="cellIs" dxfId="204" priority="326" operator="equal">
      <formula>2</formula>
    </cfRule>
    <cfRule type="cellIs" dxfId="203" priority="327" operator="equal">
      <formula>3</formula>
    </cfRule>
    <cfRule type="cellIs" dxfId="202" priority="328" operator="equal">
      <formula>6</formula>
    </cfRule>
  </conditionalFormatting>
  <conditionalFormatting sqref="G5 G7 G9 G11 G13 G15 G17 G19 G21 G23 G25 G27 G29 G31 G33 G35">
    <cfRule type="cellIs" dxfId="201" priority="321" operator="equal">
      <formula>1</formula>
    </cfRule>
    <cfRule type="cellIs" dxfId="200" priority="322" operator="equal">
      <formula>2</formula>
    </cfRule>
    <cfRule type="cellIs" dxfId="199" priority="323" operator="equal">
      <formula>3</formula>
    </cfRule>
    <cfRule type="cellIs" dxfId="198" priority="324" operator="equal">
      <formula>6</formula>
    </cfRule>
  </conditionalFormatting>
  <conditionalFormatting sqref="H5 H7 H9 H11 H13 H15 H17 H19 H21 H23 H25 H27 H29 H31 H33 H35">
    <cfRule type="cellIs" dxfId="197" priority="317" operator="equal">
      <formula>1</formula>
    </cfRule>
    <cfRule type="cellIs" dxfId="196" priority="318" operator="equal">
      <formula>2</formula>
    </cfRule>
    <cfRule type="cellIs" dxfId="195" priority="319" operator="equal">
      <formula>3</formula>
    </cfRule>
    <cfRule type="cellIs" dxfId="194" priority="320" operator="equal">
      <formula>6</formula>
    </cfRule>
  </conditionalFormatting>
  <conditionalFormatting sqref="J5 J7 J9 J11 J13 J15 J17 J19 J21 J23 J25 J27 J29 J31 J33 J35">
    <cfRule type="cellIs" dxfId="193" priority="309" operator="equal">
      <formula>1</formula>
    </cfRule>
    <cfRule type="cellIs" dxfId="192" priority="310" operator="equal">
      <formula>2</formula>
    </cfRule>
    <cfRule type="cellIs" dxfId="191" priority="311" operator="equal">
      <formula>3</formula>
    </cfRule>
    <cfRule type="cellIs" dxfId="190" priority="312" operator="equal">
      <formula>6</formula>
    </cfRule>
  </conditionalFormatting>
  <conditionalFormatting sqref="K5 K7 K9 K11 K13 K15 K17 K19 K21 K23 K25 K27 K29 K31 K33 K35">
    <cfRule type="cellIs" dxfId="189" priority="305" operator="equal">
      <formula>1</formula>
    </cfRule>
    <cfRule type="cellIs" dxfId="188" priority="306" operator="equal">
      <formula>2</formula>
    </cfRule>
    <cfRule type="cellIs" dxfId="187" priority="307" operator="equal">
      <formula>3</formula>
    </cfRule>
    <cfRule type="cellIs" dxfId="186" priority="308" operator="equal">
      <formula>6</formula>
    </cfRule>
  </conditionalFormatting>
  <conditionalFormatting sqref="L5 L7 L9 L11 L13 L15 L17 L19 L21 L23 L25 L27 L29 L31 L33 L35">
    <cfRule type="cellIs" dxfId="185" priority="301" operator="equal">
      <formula>1</formula>
    </cfRule>
    <cfRule type="cellIs" dxfId="184" priority="302" operator="equal">
      <formula>2</formula>
    </cfRule>
    <cfRule type="cellIs" dxfId="183" priority="303" operator="equal">
      <formula>3</formula>
    </cfRule>
    <cfRule type="cellIs" dxfId="182" priority="304" operator="equal">
      <formula>6</formula>
    </cfRule>
  </conditionalFormatting>
  <conditionalFormatting sqref="M5 M7 M9 M11 M13 M15 M17 M19 M21 M23 M25 M27 M29 M31 M33 M35">
    <cfRule type="cellIs" dxfId="181" priority="297" operator="equal">
      <formula>1</formula>
    </cfRule>
    <cfRule type="cellIs" dxfId="180" priority="298" operator="equal">
      <formula>2</formula>
    </cfRule>
    <cfRule type="cellIs" dxfId="179" priority="299" operator="equal">
      <formula>3</formula>
    </cfRule>
    <cfRule type="cellIs" dxfId="178" priority="300" operator="equal">
      <formula>6</formula>
    </cfRule>
  </conditionalFormatting>
  <conditionalFormatting sqref="N5 N7 N9 N11 N13 N15 N17 N19 N21 N23 N25 N27 N29 N31 N33 N35">
    <cfRule type="cellIs" dxfId="177" priority="293" operator="equal">
      <formula>1</formula>
    </cfRule>
    <cfRule type="cellIs" dxfId="176" priority="294" operator="equal">
      <formula>2</formula>
    </cfRule>
    <cfRule type="cellIs" dxfId="175" priority="295" operator="equal">
      <formula>3</formula>
    </cfRule>
    <cfRule type="cellIs" dxfId="174" priority="296" operator="equal">
      <formula>6</formula>
    </cfRule>
  </conditionalFormatting>
  <conditionalFormatting sqref="O5 O7 O9 O11 O13 O15 O17 O19 O21 O23 O25 O27 O29 O31 O33 O35">
    <cfRule type="cellIs" dxfId="173" priority="289" operator="equal">
      <formula>1</formula>
    </cfRule>
    <cfRule type="cellIs" dxfId="172" priority="290" operator="equal">
      <formula>2</formula>
    </cfRule>
    <cfRule type="cellIs" dxfId="171" priority="291" operator="equal">
      <formula>3</formula>
    </cfRule>
    <cfRule type="cellIs" dxfId="170" priority="292" operator="equal">
      <formula>6</formula>
    </cfRule>
  </conditionalFormatting>
  <conditionalFormatting sqref="P5 P7 P9 P11 P13 P15 P17 P19 P21 P23 P25 P27 P29 P31 P33 P35">
    <cfRule type="cellIs" dxfId="169" priority="285" operator="equal">
      <formula>1</formula>
    </cfRule>
    <cfRule type="cellIs" dxfId="168" priority="286" operator="equal">
      <formula>2</formula>
    </cfRule>
    <cfRule type="cellIs" dxfId="167" priority="287" operator="equal">
      <formula>3</formula>
    </cfRule>
    <cfRule type="cellIs" dxfId="166" priority="288" operator="equal">
      <formula>6</formula>
    </cfRule>
  </conditionalFormatting>
  <conditionalFormatting sqref="Q5 Q7 Q9 Q11 Q13 Q15 Q17 Q19 Q21 Q23 Q25 Q27 Q29 Q31 Q33 Q35">
    <cfRule type="cellIs" dxfId="165" priority="281" operator="equal">
      <formula>1</formula>
    </cfRule>
    <cfRule type="cellIs" dxfId="164" priority="282" operator="equal">
      <formula>2</formula>
    </cfRule>
    <cfRule type="cellIs" dxfId="163" priority="283" operator="equal">
      <formula>4</formula>
    </cfRule>
    <cfRule type="cellIs" dxfId="162" priority="284" operator="equal">
      <formula>6</formula>
    </cfRule>
  </conditionalFormatting>
  <conditionalFormatting sqref="E38 E40 E42 E44 E46 E48 E50 E52 E54 E56 E58 E60 E62 E64 E66 E68 E70">
    <cfRule type="cellIs" dxfId="161" priority="277" operator="equal">
      <formula>1</formula>
    </cfRule>
    <cfRule type="cellIs" dxfId="160" priority="278" operator="equal">
      <formula>2</formula>
    </cfRule>
    <cfRule type="cellIs" dxfId="159" priority="279" operator="equal">
      <formula>3</formula>
    </cfRule>
    <cfRule type="cellIs" dxfId="158" priority="280" operator="equal">
      <formula>6</formula>
    </cfRule>
  </conditionalFormatting>
  <conditionalFormatting sqref="E39 E41 E43 E45 E47 E49 E51 E53 E55 E57 E59 E61 E63 E65 E67 E69">
    <cfRule type="cellIs" dxfId="157" priority="273" operator="equal">
      <formula>1</formula>
    </cfRule>
    <cfRule type="cellIs" dxfId="156" priority="274" operator="equal">
      <formula>2</formula>
    </cfRule>
    <cfRule type="cellIs" dxfId="155" priority="275" operator="equal">
      <formula>3</formula>
    </cfRule>
    <cfRule type="cellIs" dxfId="154" priority="276" operator="equal">
      <formula>6</formula>
    </cfRule>
  </conditionalFormatting>
  <conditionalFormatting sqref="D4:Q36 D38:Q70 D106:Q138 D140:Q172 D174:Q206 D208:Q240 D242:Q274 D276:Q308 D310:Q342 D344:Q376 D412:Q444 D446:Q478 D480:Q512 D514:Q546 D378:Q410 D72:Q104">
    <cfRule type="cellIs" dxfId="153" priority="313" operator="equal">
      <formula>1</formula>
    </cfRule>
    <cfRule type="cellIs" dxfId="152" priority="314" operator="equal">
      <formula>2</formula>
    </cfRule>
    <cfRule type="cellIs" dxfId="151" priority="315" operator="equal">
      <formula>4</formula>
    </cfRule>
    <cfRule type="cellIs" dxfId="150" priority="316" operator="equal">
      <formula>6</formula>
    </cfRule>
    <cfRule type="cellIs" dxfId="149" priority="393" operator="equal">
      <formula>1</formula>
    </cfRule>
    <cfRule type="cellIs" dxfId="148" priority="394" operator="equal">
      <formula>2</formula>
    </cfRule>
    <cfRule type="cellIs" dxfId="147" priority="395" operator="equal">
      <formula>3</formula>
    </cfRule>
    <cfRule type="cellIs" dxfId="146" priority="396" operator="equal">
      <formula>6</formula>
    </cfRule>
  </conditionalFormatting>
  <conditionalFormatting sqref="D3:Q3">
    <cfRule type="cellIs" dxfId="145" priority="265" operator="equal">
      <formula>1</formula>
    </cfRule>
    <cfRule type="cellIs" dxfId="144" priority="266" operator="equal">
      <formula>2</formula>
    </cfRule>
    <cfRule type="cellIs" dxfId="143" priority="267" operator="equal">
      <formula>4</formula>
    </cfRule>
    <cfRule type="cellIs" dxfId="142" priority="268" operator="equal">
      <formula>6</formula>
    </cfRule>
    <cfRule type="cellIs" dxfId="141" priority="269" operator="equal">
      <formula>1</formula>
    </cfRule>
    <cfRule type="cellIs" dxfId="140" priority="270" operator="equal">
      <formula>2</formula>
    </cfRule>
    <cfRule type="cellIs" dxfId="139" priority="271" operator="equal">
      <formula>3</formula>
    </cfRule>
    <cfRule type="cellIs" dxfId="138" priority="272" operator="equal">
      <formula>6</formula>
    </cfRule>
  </conditionalFormatting>
  <conditionalFormatting sqref="D37:Q37">
    <cfRule type="cellIs" dxfId="137" priority="129" operator="equal">
      <formula>1</formula>
    </cfRule>
    <cfRule type="cellIs" dxfId="136" priority="130" operator="equal">
      <formula>2</formula>
    </cfRule>
    <cfRule type="cellIs" dxfId="135" priority="131" operator="equal">
      <formula>4</formula>
    </cfRule>
    <cfRule type="cellIs" dxfId="134" priority="132" operator="equal">
      <formula>6</formula>
    </cfRule>
    <cfRule type="cellIs" dxfId="133" priority="133" operator="equal">
      <formula>1</formula>
    </cfRule>
    <cfRule type="cellIs" dxfId="132" priority="134" operator="equal">
      <formula>2</formula>
    </cfRule>
    <cfRule type="cellIs" dxfId="131" priority="135" operator="equal">
      <formula>3</formula>
    </cfRule>
    <cfRule type="cellIs" dxfId="130" priority="136" operator="equal">
      <formula>6</formula>
    </cfRule>
  </conditionalFormatting>
  <conditionalFormatting sqref="D71:Q71">
    <cfRule type="cellIs" dxfId="129" priority="121" operator="equal">
      <formula>1</formula>
    </cfRule>
    <cfRule type="cellIs" dxfId="128" priority="122" operator="equal">
      <formula>2</formula>
    </cfRule>
    <cfRule type="cellIs" dxfId="127" priority="123" operator="equal">
      <formula>4</formula>
    </cfRule>
    <cfRule type="cellIs" dxfId="126" priority="124" operator="equal">
      <formula>6</formula>
    </cfRule>
    <cfRule type="cellIs" dxfId="125" priority="125" operator="equal">
      <formula>1</formula>
    </cfRule>
    <cfRule type="cellIs" dxfId="124" priority="126" operator="equal">
      <formula>2</formula>
    </cfRule>
    <cfRule type="cellIs" dxfId="123" priority="127" operator="equal">
      <formula>3</formula>
    </cfRule>
    <cfRule type="cellIs" dxfId="122" priority="128" operator="equal">
      <formula>6</formula>
    </cfRule>
  </conditionalFormatting>
  <conditionalFormatting sqref="D105:Q105">
    <cfRule type="cellIs" dxfId="121" priority="113" operator="equal">
      <formula>1</formula>
    </cfRule>
    <cfRule type="cellIs" dxfId="120" priority="114" operator="equal">
      <formula>2</formula>
    </cfRule>
    <cfRule type="cellIs" dxfId="119" priority="115" operator="equal">
      <formula>4</formula>
    </cfRule>
    <cfRule type="cellIs" dxfId="118" priority="116" operator="equal">
      <formula>6</formula>
    </cfRule>
    <cfRule type="cellIs" dxfId="117" priority="117" operator="equal">
      <formula>1</formula>
    </cfRule>
    <cfRule type="cellIs" dxfId="116" priority="118" operator="equal">
      <formula>2</formula>
    </cfRule>
    <cfRule type="cellIs" dxfId="115" priority="119" operator="equal">
      <formula>3</formula>
    </cfRule>
    <cfRule type="cellIs" dxfId="114" priority="120" operator="equal">
      <formula>6</formula>
    </cfRule>
  </conditionalFormatting>
  <conditionalFormatting sqref="D139:Q139">
    <cfRule type="cellIs" dxfId="113" priority="105" operator="equal">
      <formula>1</formula>
    </cfRule>
    <cfRule type="cellIs" dxfId="112" priority="106" operator="equal">
      <formula>2</formula>
    </cfRule>
    <cfRule type="cellIs" dxfId="111" priority="107" operator="equal">
      <formula>4</formula>
    </cfRule>
    <cfRule type="cellIs" dxfId="110" priority="108" operator="equal">
      <formula>6</formula>
    </cfRule>
    <cfRule type="cellIs" dxfId="109" priority="109" operator="equal">
      <formula>1</formula>
    </cfRule>
    <cfRule type="cellIs" dxfId="108" priority="110" operator="equal">
      <formula>2</formula>
    </cfRule>
    <cfRule type="cellIs" dxfId="107" priority="111" operator="equal">
      <formula>3</formula>
    </cfRule>
    <cfRule type="cellIs" dxfId="106" priority="112" operator="equal">
      <formula>6</formula>
    </cfRule>
  </conditionalFormatting>
  <conditionalFormatting sqref="D173:Q173">
    <cfRule type="cellIs" dxfId="105" priority="97" operator="equal">
      <formula>1</formula>
    </cfRule>
    <cfRule type="cellIs" dxfId="104" priority="98" operator="equal">
      <formula>2</formula>
    </cfRule>
    <cfRule type="cellIs" dxfId="103" priority="99" operator="equal">
      <formula>4</formula>
    </cfRule>
    <cfRule type="cellIs" dxfId="102" priority="100" operator="equal">
      <formula>6</formula>
    </cfRule>
    <cfRule type="cellIs" dxfId="101" priority="101" operator="equal">
      <formula>1</formula>
    </cfRule>
    <cfRule type="cellIs" dxfId="100" priority="102" operator="equal">
      <formula>2</formula>
    </cfRule>
    <cfRule type="cellIs" dxfId="99" priority="103" operator="equal">
      <formula>3</formula>
    </cfRule>
    <cfRule type="cellIs" dxfId="98" priority="104" operator="equal">
      <formula>6</formula>
    </cfRule>
  </conditionalFormatting>
  <conditionalFormatting sqref="D207:Q207">
    <cfRule type="cellIs" dxfId="97" priority="89" operator="equal">
      <formula>1</formula>
    </cfRule>
    <cfRule type="cellIs" dxfId="96" priority="90" operator="equal">
      <formula>2</formula>
    </cfRule>
    <cfRule type="cellIs" dxfId="95" priority="91" operator="equal">
      <formula>4</formula>
    </cfRule>
    <cfRule type="cellIs" dxfId="94" priority="92" operator="equal">
      <formula>6</formula>
    </cfRule>
    <cfRule type="cellIs" dxfId="93" priority="93" operator="equal">
      <formula>1</formula>
    </cfRule>
    <cfRule type="cellIs" dxfId="92" priority="94" operator="equal">
      <formula>2</formula>
    </cfRule>
    <cfRule type="cellIs" dxfId="91" priority="95" operator="equal">
      <formula>3</formula>
    </cfRule>
    <cfRule type="cellIs" dxfId="90" priority="96" operator="equal">
      <formula>6</formula>
    </cfRule>
  </conditionalFormatting>
  <conditionalFormatting sqref="D241:Q241">
    <cfRule type="cellIs" dxfId="89" priority="81" operator="equal">
      <formula>1</formula>
    </cfRule>
    <cfRule type="cellIs" dxfId="88" priority="82" operator="equal">
      <formula>2</formula>
    </cfRule>
    <cfRule type="cellIs" dxfId="87" priority="83" operator="equal">
      <formula>4</formula>
    </cfRule>
    <cfRule type="cellIs" dxfId="86" priority="84" operator="equal">
      <formula>6</formula>
    </cfRule>
    <cfRule type="cellIs" dxfId="85" priority="85" operator="equal">
      <formula>1</formula>
    </cfRule>
    <cfRule type="cellIs" dxfId="84" priority="86" operator="equal">
      <formula>2</formula>
    </cfRule>
    <cfRule type="cellIs" dxfId="83" priority="87" operator="equal">
      <formula>3</formula>
    </cfRule>
    <cfRule type="cellIs" dxfId="82" priority="88" operator="equal">
      <formula>6</formula>
    </cfRule>
  </conditionalFormatting>
  <conditionalFormatting sqref="D275:Q275">
    <cfRule type="cellIs" dxfId="81" priority="73" operator="equal">
      <formula>1</formula>
    </cfRule>
    <cfRule type="cellIs" dxfId="80" priority="74" operator="equal">
      <formula>2</formula>
    </cfRule>
    <cfRule type="cellIs" dxfId="79" priority="75" operator="equal">
      <formula>4</formula>
    </cfRule>
    <cfRule type="cellIs" dxfId="78" priority="76" operator="equal">
      <formula>6</formula>
    </cfRule>
    <cfRule type="cellIs" dxfId="77" priority="77" operator="equal">
      <formula>1</formula>
    </cfRule>
    <cfRule type="cellIs" dxfId="76" priority="78" operator="equal">
      <formula>2</formula>
    </cfRule>
    <cfRule type="cellIs" dxfId="75" priority="79" operator="equal">
      <formula>3</formula>
    </cfRule>
    <cfRule type="cellIs" dxfId="74" priority="80" operator="equal">
      <formula>6</formula>
    </cfRule>
  </conditionalFormatting>
  <conditionalFormatting sqref="D309:Q309">
    <cfRule type="cellIs" dxfId="73" priority="65" operator="equal">
      <formula>1</formula>
    </cfRule>
    <cfRule type="cellIs" dxfId="72" priority="66" operator="equal">
      <formula>2</formula>
    </cfRule>
    <cfRule type="cellIs" dxfId="71" priority="67" operator="equal">
      <formula>4</formula>
    </cfRule>
    <cfRule type="cellIs" dxfId="70" priority="68" operator="equal">
      <formula>6</formula>
    </cfRule>
    <cfRule type="cellIs" dxfId="69" priority="69" operator="equal">
      <formula>1</formula>
    </cfRule>
    <cfRule type="cellIs" dxfId="68" priority="70" operator="equal">
      <formula>2</formula>
    </cfRule>
    <cfRule type="cellIs" dxfId="67" priority="71" operator="equal">
      <formula>3</formula>
    </cfRule>
    <cfRule type="cellIs" dxfId="66" priority="72" operator="equal">
      <formula>6</formula>
    </cfRule>
  </conditionalFormatting>
  <conditionalFormatting sqref="D343:Q343">
    <cfRule type="cellIs" dxfId="65" priority="57" operator="equal">
      <formula>1</formula>
    </cfRule>
    <cfRule type="cellIs" dxfId="64" priority="58" operator="equal">
      <formula>2</formula>
    </cfRule>
    <cfRule type="cellIs" dxfId="63" priority="59" operator="equal">
      <formula>4</formula>
    </cfRule>
    <cfRule type="cellIs" dxfId="62" priority="60" operator="equal">
      <formula>6</formula>
    </cfRule>
    <cfRule type="cellIs" dxfId="61" priority="61" operator="equal">
      <formula>1</formula>
    </cfRule>
    <cfRule type="cellIs" dxfId="60" priority="62" operator="equal">
      <formula>2</formula>
    </cfRule>
    <cfRule type="cellIs" dxfId="59" priority="63" operator="equal">
      <formula>3</formula>
    </cfRule>
    <cfRule type="cellIs" dxfId="58" priority="64" operator="equal">
      <formula>6</formula>
    </cfRule>
  </conditionalFormatting>
  <conditionalFormatting sqref="D377:Q377">
    <cfRule type="cellIs" dxfId="57" priority="49" operator="equal">
      <formula>1</formula>
    </cfRule>
    <cfRule type="cellIs" dxfId="56" priority="50" operator="equal">
      <formula>2</formula>
    </cfRule>
    <cfRule type="cellIs" dxfId="55" priority="51" operator="equal">
      <formula>4</formula>
    </cfRule>
    <cfRule type="cellIs" dxfId="54" priority="52" operator="equal">
      <formula>6</formula>
    </cfRule>
    <cfRule type="cellIs" dxfId="53" priority="53" operator="equal">
      <formula>1</formula>
    </cfRule>
    <cfRule type="cellIs" dxfId="52" priority="54" operator="equal">
      <formula>2</formula>
    </cfRule>
    <cfRule type="cellIs" dxfId="51" priority="55" operator="equal">
      <formula>3</formula>
    </cfRule>
    <cfRule type="cellIs" dxfId="50" priority="56" operator="equal">
      <formula>6</formula>
    </cfRule>
  </conditionalFormatting>
  <conditionalFormatting sqref="D411:Q411">
    <cfRule type="cellIs" dxfId="49" priority="41" operator="equal">
      <formula>1</formula>
    </cfRule>
    <cfRule type="cellIs" dxfId="48" priority="42" operator="equal">
      <formula>2</formula>
    </cfRule>
    <cfRule type="cellIs" dxfId="47" priority="43" operator="equal">
      <formula>4</formula>
    </cfRule>
    <cfRule type="cellIs" dxfId="46" priority="44" operator="equal">
      <formula>6</formula>
    </cfRule>
    <cfRule type="cellIs" dxfId="45" priority="45" operator="equal">
      <formula>1</formula>
    </cfRule>
    <cfRule type="cellIs" dxfId="44" priority="46" operator="equal">
      <formula>2</formula>
    </cfRule>
    <cfRule type="cellIs" dxfId="43" priority="47" operator="equal">
      <formula>3</formula>
    </cfRule>
    <cfRule type="cellIs" dxfId="42" priority="48" operator="equal">
      <formula>6</formula>
    </cfRule>
  </conditionalFormatting>
  <conditionalFormatting sqref="D445:Q445">
    <cfRule type="cellIs" dxfId="41" priority="33" operator="equal">
      <formula>1</formula>
    </cfRule>
    <cfRule type="cellIs" dxfId="40" priority="34" operator="equal">
      <formula>2</formula>
    </cfRule>
    <cfRule type="cellIs" dxfId="39" priority="35" operator="equal">
      <formula>4</formula>
    </cfRule>
    <cfRule type="cellIs" dxfId="38" priority="36" operator="equal">
      <formula>6</formula>
    </cfRule>
    <cfRule type="cellIs" dxfId="37" priority="37" operator="equal">
      <formula>1</formula>
    </cfRule>
    <cfRule type="cellIs" dxfId="36" priority="38" operator="equal">
      <formula>2</formula>
    </cfRule>
    <cfRule type="cellIs" dxfId="35" priority="39" operator="equal">
      <formula>3</formula>
    </cfRule>
    <cfRule type="cellIs" dxfId="34" priority="40" operator="equal">
      <formula>6</formula>
    </cfRule>
  </conditionalFormatting>
  <conditionalFormatting sqref="D479:Q479">
    <cfRule type="cellIs" dxfId="33" priority="25" operator="equal">
      <formula>1</formula>
    </cfRule>
    <cfRule type="cellIs" dxfId="32" priority="26" operator="equal">
      <formula>2</formula>
    </cfRule>
    <cfRule type="cellIs" dxfId="31" priority="27" operator="equal">
      <formula>4</formula>
    </cfRule>
    <cfRule type="cellIs" dxfId="30" priority="28" operator="equal">
      <formula>6</formula>
    </cfRule>
    <cfRule type="cellIs" dxfId="29" priority="29" operator="equal">
      <formula>1</formula>
    </cfRule>
    <cfRule type="cellIs" dxfId="28" priority="30" operator="equal">
      <formula>2</formula>
    </cfRule>
    <cfRule type="cellIs" dxfId="27" priority="31" operator="equal">
      <formula>3</formula>
    </cfRule>
    <cfRule type="cellIs" dxfId="26" priority="32" operator="equal">
      <formula>6</formula>
    </cfRule>
  </conditionalFormatting>
  <conditionalFormatting sqref="D513:Q513">
    <cfRule type="cellIs" dxfId="25" priority="17" operator="equal">
      <formula>1</formula>
    </cfRule>
    <cfRule type="cellIs" dxfId="24" priority="18" operator="equal">
      <formula>2</formula>
    </cfRule>
    <cfRule type="cellIs" dxfId="23" priority="19" operator="equal">
      <formula>4</formula>
    </cfRule>
    <cfRule type="cellIs" dxfId="22" priority="20" operator="equal">
      <formula>6</formula>
    </cfRule>
    <cfRule type="cellIs" dxfId="21" priority="21" operator="equal">
      <formula>1</formula>
    </cfRule>
    <cfRule type="cellIs" dxfId="20" priority="22" operator="equal">
      <formula>2</formula>
    </cfRule>
    <cfRule type="cellIs" dxfId="19" priority="23" operator="equal">
      <formula>3</formula>
    </cfRule>
    <cfRule type="cellIs" dxfId="18" priority="24" operator="equal">
      <formula>6</formula>
    </cfRule>
  </conditionalFormatting>
  <conditionalFormatting sqref="D554:Q554">
    <cfRule type="cellIs" dxfId="17" priority="9" operator="equal">
      <formula>1</formula>
    </cfRule>
    <cfRule type="cellIs" dxfId="16" priority="10" operator="equal">
      <formula>2</formula>
    </cfRule>
    <cfRule type="cellIs" dxfId="15" priority="11" operator="equal">
      <formula>4</formula>
    </cfRule>
    <cfRule type="cellIs" dxfId="14" priority="12" operator="equal">
      <formula>6</formula>
    </cfRule>
    <cfRule type="cellIs" dxfId="13" priority="13" operator="equal">
      <formula>1</formula>
    </cfRule>
    <cfRule type="cellIs" dxfId="12" priority="14" operator="equal">
      <formula>2</formula>
    </cfRule>
    <cfRule type="cellIs" dxfId="11" priority="15" operator="equal">
      <formula>3</formula>
    </cfRule>
    <cfRule type="cellIs" dxfId="10" priority="16" operator="equal">
      <formula>6</formula>
    </cfRule>
  </conditionalFormatting>
  <conditionalFormatting sqref="D555:Q569">
    <cfRule type="cellIs" dxfId="9" priority="1" operator="equal">
      <formula>1</formula>
    </cfRule>
    <cfRule type="cellIs" dxfId="8" priority="2" operator="equal">
      <formula>2</formula>
    </cfRule>
    <cfRule type="cellIs" dxfId="7" priority="3" operator="equal">
      <formula>4</formula>
    </cfRule>
    <cfRule type="cellIs" dxfId="6" priority="4" operator="equal">
      <formula>6</formula>
    </cfRule>
    <cfRule type="cellIs" dxfId="5" priority="5" operator="equal">
      <formula>1</formula>
    </cfRule>
    <cfRule type="cellIs" dxfId="4" priority="6" operator="equal">
      <formula>2</formula>
    </cfRule>
    <cfRule type="cellIs" dxfId="3" priority="7" operator="equal">
      <formula>3</formula>
    </cfRule>
    <cfRule type="cellIs" dxfId="2" priority="8" operator="equal">
      <formula>6</formula>
    </cfRule>
  </conditionalFormatting>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D7B3-D67C-4ACE-82D6-D934EE4AE8A7}">
  <dimension ref="A2:N31"/>
  <sheetViews>
    <sheetView zoomScale="70" zoomScaleNormal="70" workbookViewId="0">
      <pane xSplit="3" ySplit="15" topLeftCell="D20" activePane="bottomRight" state="frozen"/>
      <selection pane="topRight" activeCell="D1" sqref="D1"/>
      <selection pane="bottomLeft" activeCell="A16" sqref="A16"/>
      <selection pane="bottomRight" activeCell="F21" sqref="F21"/>
    </sheetView>
  </sheetViews>
  <sheetFormatPr baseColWidth="10" defaultColWidth="11.3984375" defaultRowHeight="12.75" x14ac:dyDescent="0.35"/>
  <cols>
    <col min="2" max="2" width="25.59765625" customWidth="1"/>
    <col min="3" max="3" width="45" hidden="1" customWidth="1"/>
    <col min="4" max="7" width="30.73046875" style="170" customWidth="1"/>
    <col min="8" max="8" width="40" style="170" hidden="1" customWidth="1"/>
    <col min="9" max="9" width="25.265625" style="170" customWidth="1"/>
    <col min="10" max="10" width="22.1328125" customWidth="1"/>
    <col min="11" max="12" width="23.86328125" customWidth="1"/>
  </cols>
  <sheetData>
    <row r="2" spans="1:14" ht="34.35" customHeight="1" x14ac:dyDescent="0.35">
      <c r="B2" s="342" t="s">
        <v>304</v>
      </c>
      <c r="C2" s="342"/>
      <c r="D2" s="342"/>
      <c r="E2" s="342"/>
      <c r="F2" s="342"/>
    </row>
    <row r="3" spans="1:14" ht="13.5" customHeight="1" x14ac:dyDescent="0.4">
      <c r="B3" s="196" t="s">
        <v>305</v>
      </c>
      <c r="C3" s="195"/>
      <c r="D3" s="341" t="s">
        <v>306</v>
      </c>
      <c r="E3" s="342"/>
      <c r="F3" s="218">
        <v>1</v>
      </c>
      <c r="G3" s="218" t="s">
        <v>307</v>
      </c>
      <c r="H3" s="78" t="s">
        <v>308</v>
      </c>
      <c r="I3" s="235"/>
      <c r="J3" t="s">
        <v>308</v>
      </c>
      <c r="K3" s="2"/>
    </row>
    <row r="4" spans="1:14" ht="13.15" x14ac:dyDescent="0.4">
      <c r="B4" t="s">
        <v>309</v>
      </c>
      <c r="D4" s="342"/>
      <c r="E4" s="342"/>
      <c r="F4" s="218">
        <v>2</v>
      </c>
      <c r="G4" s="218" t="s">
        <v>310</v>
      </c>
      <c r="H4" s="78" t="s">
        <v>311</v>
      </c>
      <c r="I4" s="235"/>
      <c r="J4" t="s">
        <v>311</v>
      </c>
      <c r="K4" s="2"/>
    </row>
    <row r="5" spans="1:14" ht="13.15" x14ac:dyDescent="0.4">
      <c r="B5" t="s">
        <v>312</v>
      </c>
      <c r="D5" s="342"/>
      <c r="E5" s="342"/>
      <c r="F5" s="218">
        <v>4</v>
      </c>
      <c r="G5" s="218" t="s">
        <v>313</v>
      </c>
      <c r="H5" s="78" t="s">
        <v>314</v>
      </c>
      <c r="I5" s="235"/>
      <c r="J5" t="s">
        <v>314</v>
      </c>
      <c r="K5" s="2"/>
    </row>
    <row r="6" spans="1:14" ht="13.15" x14ac:dyDescent="0.4">
      <c r="B6" t="s">
        <v>315</v>
      </c>
      <c r="D6" s="342"/>
      <c r="E6" s="342"/>
      <c r="F6" s="218">
        <v>6</v>
      </c>
      <c r="G6" s="218" t="s">
        <v>316</v>
      </c>
      <c r="H6" s="78" t="s">
        <v>317</v>
      </c>
      <c r="I6" s="235"/>
      <c r="J6" t="s">
        <v>317</v>
      </c>
      <c r="K6" s="2"/>
    </row>
    <row r="7" spans="1:14" x14ac:dyDescent="0.35">
      <c r="B7" t="s">
        <v>318</v>
      </c>
      <c r="D7" s="342"/>
      <c r="E7" s="342"/>
      <c r="F7" s="2"/>
      <c r="K7" s="2"/>
    </row>
    <row r="8" spans="1:14" x14ac:dyDescent="0.35">
      <c r="B8" t="s">
        <v>319</v>
      </c>
      <c r="D8" s="342"/>
      <c r="E8" s="342"/>
      <c r="F8" s="2"/>
      <c r="K8" s="2"/>
    </row>
    <row r="9" spans="1:14" x14ac:dyDescent="0.35">
      <c r="B9" t="s">
        <v>320</v>
      </c>
      <c r="E9" s="195"/>
      <c r="F9" s="195"/>
    </row>
    <row r="12" spans="1:14" ht="15" x14ac:dyDescent="0.4">
      <c r="D12" s="197" t="s">
        <v>321</v>
      </c>
      <c r="G12" s="170" t="s">
        <v>322</v>
      </c>
    </row>
    <row r="13" spans="1:14" ht="13.15" thickBot="1" x14ac:dyDescent="0.4"/>
    <row r="14" spans="1:14" ht="13.5" thickBot="1" x14ac:dyDescent="0.45">
      <c r="B14" s="343" t="s">
        <v>323</v>
      </c>
      <c r="C14" s="129"/>
      <c r="D14" s="191">
        <v>1</v>
      </c>
      <c r="E14" s="191">
        <v>2</v>
      </c>
      <c r="F14" s="191">
        <v>4</v>
      </c>
      <c r="G14" s="245">
        <v>6</v>
      </c>
      <c r="H14" s="254"/>
      <c r="I14" s="345" t="s">
        <v>915</v>
      </c>
      <c r="J14" s="345"/>
      <c r="K14" s="345"/>
      <c r="L14" s="345"/>
      <c r="M14" s="345"/>
      <c r="N14" s="346"/>
    </row>
    <row r="15" spans="1:14" ht="39" customHeight="1" thickBot="1" x14ac:dyDescent="0.45">
      <c r="B15" s="344"/>
      <c r="C15" s="255" t="s">
        <v>0</v>
      </c>
      <c r="D15" s="193" t="s">
        <v>307</v>
      </c>
      <c r="E15" s="193" t="s">
        <v>310</v>
      </c>
      <c r="F15" s="193" t="s">
        <v>313</v>
      </c>
      <c r="G15" s="246" t="s">
        <v>316</v>
      </c>
      <c r="H15" s="247" t="s">
        <v>324</v>
      </c>
      <c r="I15" s="252" t="s">
        <v>914</v>
      </c>
      <c r="J15" s="252" t="s">
        <v>916</v>
      </c>
      <c r="K15" s="252" t="s">
        <v>917</v>
      </c>
      <c r="L15" s="252" t="s">
        <v>918</v>
      </c>
      <c r="M15" s="253" t="s">
        <v>919</v>
      </c>
      <c r="N15" s="256" t="s">
        <v>920</v>
      </c>
    </row>
    <row r="16" spans="1:14" ht="61.5" customHeight="1" thickBot="1" x14ac:dyDescent="0.4">
      <c r="A16" s="207"/>
      <c r="B16" s="217" t="s">
        <v>14</v>
      </c>
      <c r="C16" s="216" t="s">
        <v>15</v>
      </c>
      <c r="D16" s="214" t="s">
        <v>326</v>
      </c>
      <c r="E16" s="214" t="s">
        <v>844</v>
      </c>
      <c r="F16" s="214" t="s">
        <v>327</v>
      </c>
      <c r="G16" s="215" t="s">
        <v>328</v>
      </c>
      <c r="H16" s="248" t="s">
        <v>329</v>
      </c>
      <c r="I16" s="79">
        <v>2</v>
      </c>
      <c r="J16" s="226">
        <v>4</v>
      </c>
      <c r="K16" s="78">
        <v>4</v>
      </c>
      <c r="L16" s="78">
        <v>4</v>
      </c>
      <c r="M16" s="78">
        <v>2</v>
      </c>
      <c r="N16" s="257">
        <v>6</v>
      </c>
    </row>
    <row r="17" spans="1:14" ht="102.4" thickBot="1" x14ac:dyDescent="0.4">
      <c r="B17" s="217" t="s">
        <v>23</v>
      </c>
      <c r="C17" s="216" t="s">
        <v>24</v>
      </c>
      <c r="D17" s="214" t="s">
        <v>330</v>
      </c>
      <c r="E17" s="214" t="s">
        <v>331</v>
      </c>
      <c r="F17" s="214" t="s">
        <v>332</v>
      </c>
      <c r="G17" s="215" t="s">
        <v>333</v>
      </c>
      <c r="H17" s="248" t="s">
        <v>334</v>
      </c>
      <c r="I17" s="79">
        <v>2</v>
      </c>
      <c r="J17" s="226">
        <v>1</v>
      </c>
      <c r="K17" s="78">
        <v>4</v>
      </c>
      <c r="L17" s="78">
        <v>4</v>
      </c>
      <c r="M17" s="78">
        <v>4</v>
      </c>
      <c r="N17" s="257">
        <v>6</v>
      </c>
    </row>
    <row r="18" spans="1:14" ht="64.150000000000006" thickBot="1" x14ac:dyDescent="0.4">
      <c r="B18" s="217" t="s">
        <v>863</v>
      </c>
      <c r="C18" s="216" t="s">
        <v>32</v>
      </c>
      <c r="D18" s="214" t="s">
        <v>335</v>
      </c>
      <c r="E18" s="214" t="s">
        <v>336</v>
      </c>
      <c r="F18" s="214" t="s">
        <v>337</v>
      </c>
      <c r="G18" s="215" t="s">
        <v>338</v>
      </c>
      <c r="H18" s="248" t="s">
        <v>339</v>
      </c>
      <c r="I18" s="79">
        <v>2</v>
      </c>
      <c r="J18" s="226">
        <v>1</v>
      </c>
      <c r="K18" s="78">
        <v>4</v>
      </c>
      <c r="L18" s="78">
        <v>4</v>
      </c>
      <c r="M18" s="78">
        <v>4</v>
      </c>
      <c r="N18" s="257">
        <v>6</v>
      </c>
    </row>
    <row r="19" spans="1:14" ht="51.4" thickBot="1" x14ac:dyDescent="0.4">
      <c r="B19" s="221" t="s">
        <v>864</v>
      </c>
      <c r="C19" s="220" t="s">
        <v>35</v>
      </c>
      <c r="D19" s="214" t="s">
        <v>340</v>
      </c>
      <c r="E19" s="214" t="s">
        <v>341</v>
      </c>
      <c r="F19" s="214" t="s">
        <v>342</v>
      </c>
      <c r="G19" s="215" t="s">
        <v>343</v>
      </c>
      <c r="H19" s="249" t="s">
        <v>344</v>
      </c>
      <c r="I19" s="79">
        <v>2</v>
      </c>
      <c r="J19" s="78">
        <v>2</v>
      </c>
      <c r="K19" s="78">
        <v>4</v>
      </c>
      <c r="L19" s="78">
        <v>4</v>
      </c>
      <c r="M19" s="78">
        <v>2</v>
      </c>
      <c r="N19" s="257">
        <v>6</v>
      </c>
    </row>
    <row r="20" spans="1:14" ht="232.5" customHeight="1" thickBot="1" x14ac:dyDescent="0.4">
      <c r="A20" s="207"/>
      <c r="B20" s="217" t="s">
        <v>865</v>
      </c>
      <c r="C20" s="216" t="s">
        <v>38</v>
      </c>
      <c r="D20" s="214" t="s">
        <v>345</v>
      </c>
      <c r="E20" s="214" t="s">
        <v>346</v>
      </c>
      <c r="F20" s="214" t="s">
        <v>347</v>
      </c>
      <c r="G20" s="215" t="s">
        <v>348</v>
      </c>
      <c r="H20" s="250" t="s">
        <v>349</v>
      </c>
      <c r="I20" s="78">
        <v>2</v>
      </c>
      <c r="J20" s="76">
        <v>1</v>
      </c>
      <c r="K20" s="78">
        <v>4</v>
      </c>
      <c r="L20" s="78">
        <v>4</v>
      </c>
      <c r="M20" s="78">
        <v>4</v>
      </c>
      <c r="N20" s="257">
        <v>6</v>
      </c>
    </row>
    <row r="21" spans="1:14" ht="235.5" customHeight="1" thickBot="1" x14ac:dyDescent="0.4">
      <c r="A21" s="219"/>
      <c r="B21" s="221" t="s">
        <v>46</v>
      </c>
      <c r="C21" s="220" t="s">
        <v>47</v>
      </c>
      <c r="D21" s="214" t="s">
        <v>350</v>
      </c>
      <c r="E21" s="214" t="s">
        <v>351</v>
      </c>
      <c r="F21" s="214" t="s">
        <v>352</v>
      </c>
      <c r="G21" s="215" t="s">
        <v>353</v>
      </c>
      <c r="H21" s="248" t="s">
        <v>354</v>
      </c>
      <c r="I21" s="79">
        <v>2</v>
      </c>
      <c r="J21" s="226">
        <v>1</v>
      </c>
      <c r="K21" s="78">
        <v>4</v>
      </c>
      <c r="L21" s="78">
        <v>4</v>
      </c>
      <c r="M21" s="78"/>
      <c r="N21" s="257">
        <v>6</v>
      </c>
    </row>
    <row r="22" spans="1:14" ht="134.25" customHeight="1" thickBot="1" x14ac:dyDescent="0.4">
      <c r="A22" s="207"/>
      <c r="B22" s="217" t="s">
        <v>55</v>
      </c>
      <c r="C22" s="216" t="s">
        <v>56</v>
      </c>
      <c r="D22" s="214" t="s">
        <v>355</v>
      </c>
      <c r="E22" s="214" t="s">
        <v>356</v>
      </c>
      <c r="F22" s="214" t="s">
        <v>357</v>
      </c>
      <c r="G22" s="215" t="s">
        <v>358</v>
      </c>
      <c r="H22" s="248" t="s">
        <v>359</v>
      </c>
      <c r="I22" s="79">
        <v>2</v>
      </c>
      <c r="J22" s="226">
        <v>1</v>
      </c>
      <c r="K22" s="78">
        <v>4</v>
      </c>
      <c r="L22" s="78">
        <v>4</v>
      </c>
      <c r="M22" s="78"/>
      <c r="N22" s="257">
        <v>6</v>
      </c>
    </row>
    <row r="23" spans="1:14" ht="95.25" customHeight="1" thickBot="1" x14ac:dyDescent="0.4">
      <c r="B23" s="217" t="s">
        <v>64</v>
      </c>
      <c r="C23" s="216" t="s">
        <v>65</v>
      </c>
      <c r="D23" s="214" t="s">
        <v>360</v>
      </c>
      <c r="E23" s="214" t="s">
        <v>361</v>
      </c>
      <c r="F23" s="214" t="s">
        <v>362</v>
      </c>
      <c r="G23" s="215" t="s">
        <v>363</v>
      </c>
      <c r="H23" s="248" t="s">
        <v>364</v>
      </c>
      <c r="I23" s="79">
        <v>1</v>
      </c>
      <c r="J23" s="226">
        <v>1</v>
      </c>
      <c r="K23" s="78">
        <v>4</v>
      </c>
      <c r="L23" s="78">
        <v>4</v>
      </c>
      <c r="M23" s="78"/>
      <c r="N23" s="257">
        <v>6</v>
      </c>
    </row>
    <row r="24" spans="1:14" ht="92.45" customHeight="1" thickBot="1" x14ac:dyDescent="0.4">
      <c r="B24" s="217" t="s">
        <v>67</v>
      </c>
      <c r="C24" s="216" t="s">
        <v>68</v>
      </c>
      <c r="D24" s="214" t="s">
        <v>365</v>
      </c>
      <c r="E24" s="214" t="s">
        <v>366</v>
      </c>
      <c r="F24" s="214" t="s">
        <v>367</v>
      </c>
      <c r="G24" s="215" t="s">
        <v>368</v>
      </c>
      <c r="H24" s="248" t="s">
        <v>369</v>
      </c>
      <c r="I24" s="79">
        <v>2</v>
      </c>
      <c r="J24" s="226">
        <v>1</v>
      </c>
      <c r="K24" s="78">
        <v>4</v>
      </c>
      <c r="L24" s="78">
        <v>4</v>
      </c>
      <c r="M24" s="78"/>
      <c r="N24" s="257">
        <v>6</v>
      </c>
    </row>
    <row r="25" spans="1:14" ht="51.4" thickBot="1" x14ac:dyDescent="0.4">
      <c r="B25" s="217" t="s">
        <v>71</v>
      </c>
      <c r="C25" s="216" t="s">
        <v>72</v>
      </c>
      <c r="D25" s="214" t="s">
        <v>370</v>
      </c>
      <c r="E25" s="214" t="s">
        <v>371</v>
      </c>
      <c r="F25" s="214" t="s">
        <v>372</v>
      </c>
      <c r="G25" s="214" t="s">
        <v>372</v>
      </c>
      <c r="H25" s="248" t="s">
        <v>373</v>
      </c>
      <c r="I25" s="79">
        <v>2</v>
      </c>
      <c r="J25" s="226">
        <v>1</v>
      </c>
      <c r="K25" s="78">
        <v>4</v>
      </c>
      <c r="L25" s="78">
        <v>4</v>
      </c>
      <c r="M25" s="78"/>
      <c r="N25" s="257">
        <v>6</v>
      </c>
    </row>
    <row r="26" spans="1:14" ht="75" customHeight="1" thickBot="1" x14ac:dyDescent="0.4">
      <c r="A26" s="207"/>
      <c r="B26" s="217" t="s">
        <v>74</v>
      </c>
      <c r="C26" s="216" t="s">
        <v>75</v>
      </c>
      <c r="D26" s="214" t="s">
        <v>374</v>
      </c>
      <c r="E26" s="214" t="s">
        <v>375</v>
      </c>
      <c r="F26" s="214" t="s">
        <v>376</v>
      </c>
      <c r="G26" s="214" t="s">
        <v>377</v>
      </c>
      <c r="H26" s="248" t="s">
        <v>378</v>
      </c>
      <c r="I26" s="79">
        <v>1</v>
      </c>
      <c r="J26" s="226">
        <v>4</v>
      </c>
      <c r="K26" s="78">
        <v>4</v>
      </c>
      <c r="L26" s="78">
        <v>4</v>
      </c>
      <c r="M26" s="78"/>
      <c r="N26" s="257">
        <v>6</v>
      </c>
    </row>
    <row r="27" spans="1:14" ht="72" customHeight="1" thickBot="1" x14ac:dyDescent="0.4">
      <c r="A27" s="207"/>
      <c r="B27" s="217" t="s">
        <v>77</v>
      </c>
      <c r="C27" s="216" t="s">
        <v>78</v>
      </c>
      <c r="D27" s="214" t="s">
        <v>374</v>
      </c>
      <c r="E27" s="214" t="s">
        <v>379</v>
      </c>
      <c r="F27" s="214" t="s">
        <v>380</v>
      </c>
      <c r="G27" s="214" t="s">
        <v>381</v>
      </c>
      <c r="H27" s="248" t="s">
        <v>382</v>
      </c>
      <c r="I27" s="79">
        <v>1</v>
      </c>
      <c r="J27" s="226">
        <v>4</v>
      </c>
      <c r="K27" s="78">
        <v>4</v>
      </c>
      <c r="L27" s="78">
        <v>4</v>
      </c>
      <c r="M27" s="78"/>
      <c r="N27" s="257">
        <v>6</v>
      </c>
    </row>
    <row r="28" spans="1:14" ht="173.1" customHeight="1" thickBot="1" x14ac:dyDescent="0.4">
      <c r="A28" s="207"/>
      <c r="B28" s="217" t="s">
        <v>81</v>
      </c>
      <c r="C28" s="216" t="s">
        <v>82</v>
      </c>
      <c r="D28" s="214" t="s">
        <v>383</v>
      </c>
      <c r="E28" s="214" t="s">
        <v>384</v>
      </c>
      <c r="F28" s="214" t="s">
        <v>385</v>
      </c>
      <c r="G28" s="214" t="s">
        <v>386</v>
      </c>
      <c r="H28" s="248" t="s">
        <v>387</v>
      </c>
      <c r="I28" s="79">
        <v>2</v>
      </c>
      <c r="J28" s="226">
        <v>2</v>
      </c>
      <c r="K28" s="78">
        <v>4</v>
      </c>
      <c r="L28" s="78">
        <v>4</v>
      </c>
      <c r="M28" s="78"/>
      <c r="N28" s="257">
        <v>6</v>
      </c>
    </row>
    <row r="29" spans="1:14" ht="108" customHeight="1" thickBot="1" x14ac:dyDescent="0.4">
      <c r="A29" s="207"/>
      <c r="B29" s="217" t="s">
        <v>860</v>
      </c>
      <c r="C29" s="216" t="s">
        <v>91</v>
      </c>
      <c r="D29" s="214" t="s">
        <v>388</v>
      </c>
      <c r="E29" s="214" t="s">
        <v>389</v>
      </c>
      <c r="F29" s="214" t="s">
        <v>390</v>
      </c>
      <c r="G29" s="215" t="s">
        <v>391</v>
      </c>
      <c r="H29" s="248" t="s">
        <v>392</v>
      </c>
      <c r="I29" s="79">
        <v>1</v>
      </c>
      <c r="J29" s="226">
        <v>4</v>
      </c>
      <c r="K29" s="78">
        <v>4</v>
      </c>
      <c r="L29" s="78">
        <v>4</v>
      </c>
      <c r="M29" s="78"/>
      <c r="N29" s="257">
        <v>6</v>
      </c>
    </row>
    <row r="30" spans="1:14" ht="120.75" customHeight="1" thickBot="1" x14ac:dyDescent="0.4">
      <c r="B30" s="222" t="s">
        <v>862</v>
      </c>
      <c r="C30" s="223" t="s">
        <v>94</v>
      </c>
      <c r="D30" s="224" t="s">
        <v>393</v>
      </c>
      <c r="E30" s="224" t="s">
        <v>394</v>
      </c>
      <c r="F30" s="224" t="s">
        <v>395</v>
      </c>
      <c r="G30" s="225" t="s">
        <v>396</v>
      </c>
      <c r="H30" s="248" t="s">
        <v>397</v>
      </c>
      <c r="I30" s="79">
        <v>1</v>
      </c>
      <c r="J30" s="226">
        <v>2</v>
      </c>
      <c r="K30" s="78">
        <v>4</v>
      </c>
      <c r="L30" s="78">
        <v>4</v>
      </c>
      <c r="M30" s="78"/>
      <c r="N30" s="257">
        <v>6</v>
      </c>
    </row>
    <row r="31" spans="1:14" ht="198" customHeight="1" thickBot="1" x14ac:dyDescent="0.4">
      <c r="B31" s="222" t="s">
        <v>861</v>
      </c>
      <c r="C31" s="223" t="s">
        <v>97</v>
      </c>
      <c r="D31" s="224" t="s">
        <v>398</v>
      </c>
      <c r="E31" s="229" t="s">
        <v>399</v>
      </c>
      <c r="F31" s="224" t="s">
        <v>400</v>
      </c>
      <c r="G31" s="224" t="s">
        <v>401</v>
      </c>
      <c r="H31" s="251" t="s">
        <v>402</v>
      </c>
      <c r="I31" s="79">
        <v>1</v>
      </c>
      <c r="J31" s="226">
        <v>1</v>
      </c>
      <c r="K31" s="78">
        <v>4</v>
      </c>
      <c r="L31" s="78">
        <v>4</v>
      </c>
      <c r="M31" s="78"/>
      <c r="N31" s="257">
        <v>6</v>
      </c>
    </row>
  </sheetData>
  <mergeCells count="4">
    <mergeCell ref="D3:E8"/>
    <mergeCell ref="B2:F2"/>
    <mergeCell ref="B14:B15"/>
    <mergeCell ref="I14:N14"/>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64985-8152-45CE-81E1-DA54DF839B30}">
  <dimension ref="A2:I48"/>
  <sheetViews>
    <sheetView zoomScale="85" zoomScaleNormal="85" workbookViewId="0">
      <selection activeCell="A4" sqref="A4:I4"/>
    </sheetView>
  </sheetViews>
  <sheetFormatPr baseColWidth="10" defaultColWidth="11.3984375" defaultRowHeight="12.75" x14ac:dyDescent="0.35"/>
  <cols>
    <col min="1" max="1" width="11.1328125" customWidth="1"/>
    <col min="2" max="2" width="44" customWidth="1"/>
    <col min="3" max="3" width="3.1328125" customWidth="1"/>
    <col min="4" max="4" width="16.86328125" customWidth="1"/>
    <col min="5" max="5" width="52.86328125" customWidth="1"/>
    <col min="6" max="6" width="43.1328125" customWidth="1"/>
    <col min="7" max="7" width="24.1328125" customWidth="1"/>
    <col min="8" max="8" width="28.59765625" customWidth="1"/>
    <col min="9" max="9" width="32.86328125" customWidth="1"/>
  </cols>
  <sheetData>
    <row r="2" spans="1:9" ht="13.15" x14ac:dyDescent="0.4">
      <c r="A2" t="s">
        <v>405</v>
      </c>
      <c r="B2" s="198" t="s">
        <v>406</v>
      </c>
      <c r="C2" s="198" t="s">
        <v>407</v>
      </c>
      <c r="D2" s="198"/>
    </row>
    <row r="3" spans="1:9" ht="13.15" thickBot="1" x14ac:dyDescent="0.4"/>
    <row r="4" spans="1:9" ht="25.5" customHeight="1" x14ac:dyDescent="0.35">
      <c r="A4" s="187" t="s">
        <v>408</v>
      </c>
      <c r="B4" s="188" t="s">
        <v>409</v>
      </c>
      <c r="C4" s="347" t="s">
        <v>410</v>
      </c>
      <c r="D4" s="347"/>
      <c r="E4" s="188" t="s">
        <v>411</v>
      </c>
      <c r="F4" s="188" t="s">
        <v>412</v>
      </c>
      <c r="G4" s="188" t="s">
        <v>274</v>
      </c>
      <c r="H4" s="188" t="s">
        <v>325</v>
      </c>
      <c r="I4" s="189" t="s">
        <v>413</v>
      </c>
    </row>
    <row r="5" spans="1:9" ht="76.5" x14ac:dyDescent="0.35">
      <c r="A5" s="236" t="s">
        <v>414</v>
      </c>
      <c r="B5" s="237" t="s">
        <v>14</v>
      </c>
      <c r="C5" s="237">
        <v>2</v>
      </c>
      <c r="D5" s="237" t="str">
        <f>VLOOKUP(C5,Lernziele!F$3:G$6,2,FALSE)</f>
        <v>Verstehen</v>
      </c>
      <c r="E5" s="238" t="str" cm="1">
        <f t="array" ref="E5">_xlfn.IFS(C5=Lernziele!D$14,VLOOKUP(B5,Lernziele!B$16:G$31,3,FALSE),C5=Lernziele!E$14,VLOOKUP(B5,Lernziele!B$16:G$31,4,FALSE),C5=Lernziele!F$14,VLOOKUP(B5,Lernziele!B$16:G$31,5,FALSE),C5=Lernziele!G$14,VLOOKUP(B5,Lernziele!B$16:G$31,6,FALSE))</f>
        <v xml:space="preserve">Der Teilnehmer versteht die Wechselwirkung der einezelnen Komponenten die das System ausmacht. </v>
      </c>
      <c r="F5" s="238" t="str">
        <f>VLOOKUP(B5,Lernziele!B16:J31,7,FALSE)</f>
        <v>Motivation für SE
Begriffsdefinitionen (Index)
Werte des SE
Vorgehensmodelle SE (V-Modell)
SE Standards
SE-Männchern</v>
      </c>
      <c r="G5" s="238">
        <f>VLOOKUP(B5,Lernziele!B16:L31,8,FALSE)</f>
        <v>2</v>
      </c>
      <c r="H5" s="237"/>
      <c r="I5" s="239" t="str" cm="1">
        <f t="array" ref="I5">_xlfn.IFS(C5=Lernziele!F$3,"=Lernziele!H$3",C5=Lernziele!F$4,_xlfn.TEXTJOIN("; ",TRUE,Lernziele!J$3,Lernziele!J$4),C5=Lernziele!F$5,_xlfn.TEXTJOIN("; ",TRUE,Lernziele!J$3,Lernziele!J$4,Lernziele!J$5),C5=Lernziele!F$6,_xlfn.TEXTJOIN("; ",TRUE,Lernziele!J$3,Lernziele!J$4,Lernziele!J$5,Lernziele!J$6))</f>
        <v>Seminare/Webinar. Serious Gaming; Blenden Learning</v>
      </c>
    </row>
    <row r="6" spans="1:9" ht="51" x14ac:dyDescent="0.35">
      <c r="A6" s="227" t="s">
        <v>415</v>
      </c>
      <c r="B6" s="78" t="s">
        <v>23</v>
      </c>
      <c r="C6" s="78">
        <f>VLOOKUP(B6,'Rollen-Kompetenzen-Matrix'!B$3:Q$546,4,FALSE)</f>
        <v>4</v>
      </c>
      <c r="D6" s="78" t="str">
        <f>VLOOKUP(C6,Lernziele!F$3:G$6,2,FALSE)</f>
        <v>Anwenden</v>
      </c>
      <c r="E6" s="226" t="str" cm="1">
        <f t="array" ref="E6">_xlfn.IFS(C6=Lernziele!D$14,VLOOKUP(B6,Lernziele!B$16:G$31,3,FALSE),C6=Lernziele!E$14,VLOOKUP(B6,Lernziele!B$16:G$31,4,FALSE),C6=Lernziele!F$14,VLOOKUP(B6,Lernziele!B$16:G$31,5,FALSE),C6=Lernziele!G$14,VLOOKUP(B6,Lernziele!B$16:G$31,6,FALSE))</f>
        <v>Die Teilnehmer sind in der Lage eigene Systemmodelle für ihre relevanten Umfang eigenständig zu definieren. Sie Sind befähigt  Sie können zwischen domänen-übergreifenden und domänenspezifischen Modellen unterscheiden,</v>
      </c>
      <c r="F6" s="226" t="str">
        <f>VLOOKUP(B6,Lernziele!B17:J31,7,FALSE)</f>
        <v>Modelltheorie
Simulation</v>
      </c>
      <c r="G6" s="226">
        <f>VLOOKUP(B6,Lernziele!B17:L32,8,FALSE)</f>
        <v>2</v>
      </c>
      <c r="H6" s="78"/>
      <c r="I6" s="230" t="str" cm="1">
        <f t="array" ref="I6">_xlfn.IFS(C6=Lernziele!F$3,"=Lernziele!H$3",C6=Lernziele!F$4,_xlfn.TEXTJOIN("; ",TRUE,Lernziele!J$3,Lernziele!J$4),C6=Lernziele!F$5,_xlfn.TEXTJOIN("; ",TRUE,Lernziele!J$3,Lernziele!J$4,Lernziele!J$5),C6=Lernziele!F$6,_xlfn.TEXTJOIN("; ",TRUE,Lernziele!J$3,Lernziele!J$4,Lernziele!J$5,Lernziele!J$6))</f>
        <v>Seminare/Webinar. Serious Gaming; Blenden Learning; Coaching, Train ing on the Job, Tutorials</v>
      </c>
    </row>
    <row r="7" spans="1:9" ht="38.25" x14ac:dyDescent="0.35">
      <c r="A7" s="227" t="s">
        <v>416</v>
      </c>
      <c r="B7" s="78" t="s">
        <v>31</v>
      </c>
      <c r="C7" s="78">
        <f>VLOOKUP(B7,'Rollen-Kompetenzen-Matrix'!B$3:Q$546,4,FALSE)</f>
        <v>4</v>
      </c>
      <c r="D7" s="78" t="str">
        <f>VLOOKUP(C7,Lernziele!F$3:G$6,2,FALSE)</f>
        <v>Anwenden</v>
      </c>
      <c r="E7" s="226" t="e" cm="1">
        <f t="array" ref="E7">_xlfn.IFS(C7=Lernziele!D$14,VLOOKUP(B7,Lernziele!B$16:G$31,3,FALSE),C7=Lernziele!E$14,VLOOKUP(B7,Lernziele!B$16:G$31,4,FALSE),C7=Lernziele!F$14,VLOOKUP(B7,Lernziele!B$16:G$31,5,FALSE),C7=Lernziele!G$14,VLOOKUP(B7,Lernziele!B$16:G$31,6,FALSE))</f>
        <v>#N/A</v>
      </c>
      <c r="F7" s="226" t="e">
        <f>VLOOKUP(B7,Lernziele!B18:J32,7,FALSE)</f>
        <v>#N/A</v>
      </c>
      <c r="G7" s="226" t="e">
        <f>VLOOKUP(B7,Lernziele!B18:L33,8,FALSE)</f>
        <v>#N/A</v>
      </c>
      <c r="H7" s="78"/>
      <c r="I7" s="230" t="str" cm="1">
        <f t="array" ref="I7">_xlfn.IFS(C7=Lernziele!F$3,"=Lernziele!H$3",C7=Lernziele!F$4,_xlfn.TEXTJOIN("; ",TRUE,Lernziele!J$3,Lernziele!J$4),C7=Lernziele!F$5,_xlfn.TEXTJOIN("; ",TRUE,Lernziele!J$3,Lernziele!J$4,Lernziele!J$5),C7=Lernziele!F$6,_xlfn.TEXTJOIN("; ",TRUE,Lernziele!J$3,Lernziele!J$4,Lernziele!J$5,Lernziele!J$6))</f>
        <v>Seminare/Webinar. Serious Gaming; Blenden Learning; Coaching, Train ing on the Job, Tutorials</v>
      </c>
    </row>
    <row r="8" spans="1:9" ht="38.25" x14ac:dyDescent="0.35">
      <c r="A8" s="227" t="s">
        <v>417</v>
      </c>
      <c r="B8" s="78" t="s">
        <v>34</v>
      </c>
      <c r="C8" s="78">
        <f>VLOOKUP(B8,'Rollen-Kompetenzen-Matrix'!B$3:Q$546,4,FALSE)</f>
        <v>4</v>
      </c>
      <c r="D8" s="78" t="str">
        <f>VLOOKUP(C8,Lernziele!F$3:G$6,2,FALSE)</f>
        <v>Anwenden</v>
      </c>
      <c r="E8" s="226" t="e" cm="1">
        <f t="array" ref="E8">_xlfn.IFS(C8=Lernziele!D$14,VLOOKUP(B8,Lernziele!B$16:G$31,3,FALSE),C8=Lernziele!E$14,VLOOKUP(B8,Lernziele!B$16:G$31,4,FALSE),C8=Lernziele!F$14,VLOOKUP(B8,Lernziele!B$16:G$31,5,FALSE),C8=Lernziele!G$14,VLOOKUP(B8,Lernziele!B$16:G$31,6,FALSE))</f>
        <v>#N/A</v>
      </c>
      <c r="F8" s="226" t="e">
        <f>VLOOKUP(B8,Lernziele!B19:J33,7,FALSE)</f>
        <v>#N/A</v>
      </c>
      <c r="G8" s="226" t="e">
        <f>VLOOKUP(B8,Lernziele!B19:L34,8,FALSE)</f>
        <v>#N/A</v>
      </c>
      <c r="H8" s="78"/>
      <c r="I8" s="230" t="str" cm="1">
        <f t="array" ref="I8">_xlfn.IFS(C8=Lernziele!F$3,"=Lernziele!H$3",C8=Lernziele!F$4,_xlfn.TEXTJOIN("; ",TRUE,Lernziele!J$3,Lernziele!J$4),C8=Lernziele!F$5,_xlfn.TEXTJOIN("; ",TRUE,Lernziele!J$3,Lernziele!J$4,Lernziele!J$5),C8=Lernziele!F$6,_xlfn.TEXTJOIN("; ",TRUE,Lernziele!J$3,Lernziele!J$4,Lernziele!J$5,Lernziele!J$6))</f>
        <v>Seminare/Webinar. Serious Gaming; Blenden Learning; Coaching, Train ing on the Job, Tutorials</v>
      </c>
    </row>
    <row r="9" spans="1:9" ht="38.25" x14ac:dyDescent="0.35">
      <c r="A9" s="227" t="s">
        <v>418</v>
      </c>
      <c r="B9" s="78" t="s">
        <v>37</v>
      </c>
      <c r="C9" s="78">
        <f>VLOOKUP(B9,'Rollen-Kompetenzen-Matrix'!B$3:Q$546,4,FALSE)</f>
        <v>4</v>
      </c>
      <c r="D9" s="78" t="str">
        <f>VLOOKUP(C9,Lernziele!F$3:G$6,2,FALSE)</f>
        <v>Anwenden</v>
      </c>
      <c r="E9" s="226" t="e" cm="1">
        <f t="array" ref="E9">_xlfn.IFS(C9=Lernziele!D$14,VLOOKUP(B9,Lernziele!B$16:G$31,3,FALSE),C9=Lernziele!E$14,VLOOKUP(B9,Lernziele!B$16:G$31,4,FALSE),C9=Lernziele!F$14,VLOOKUP(B9,Lernziele!B$16:G$31,5,FALSE),C9=Lernziele!G$14,VLOOKUP(B9,Lernziele!B$16:G$31,6,FALSE))</f>
        <v>#N/A</v>
      </c>
      <c r="F9" s="226" t="e">
        <f>VLOOKUP(B9,Lernziele!B20:J34,7,FALSE)</f>
        <v>#N/A</v>
      </c>
      <c r="G9" s="226" t="e">
        <f>VLOOKUP(B9,Lernziele!B20:L35,8,FALSE)</f>
        <v>#N/A</v>
      </c>
      <c r="H9" s="78"/>
      <c r="I9" s="230" t="str" cm="1">
        <f t="array" ref="I9">_xlfn.IFS(C9=Lernziele!F$3,"=Lernziele!H$3",C9=Lernziele!F$4,_xlfn.TEXTJOIN("; ",TRUE,Lernziele!J$3,Lernziele!J$4),C9=Lernziele!F$5,_xlfn.TEXTJOIN("; ",TRUE,Lernziele!J$3,Lernziele!J$4,Lernziele!J$5),C9=Lernziele!F$6,_xlfn.TEXTJOIN("; ",TRUE,Lernziele!J$3,Lernziele!J$4,Lernziele!J$5,Lernziele!J$6))</f>
        <v>Seminare/Webinar. Serious Gaming; Blenden Learning; Coaching, Train ing on the Job, Tutorials</v>
      </c>
    </row>
    <row r="10" spans="1:9" ht="178.5" x14ac:dyDescent="0.35">
      <c r="A10" s="227" t="s">
        <v>419</v>
      </c>
      <c r="B10" s="78" t="s">
        <v>46</v>
      </c>
      <c r="C10" s="78">
        <f>VLOOKUP(B10,'Rollen-Kompetenzen-Matrix'!B$3:Q$546,4,FALSE)</f>
        <v>2</v>
      </c>
      <c r="D10" s="78" t="str">
        <f>VLOOKUP(C10,Lernziele!F$3:G$6,2,FALSE)</f>
        <v>Verstehen</v>
      </c>
      <c r="E10" s="226" t="str" cm="1">
        <f t="array" ref="E10">_xlfn.IFS(C10=Lernziele!D$14,VLOOKUP(B10,Lernziele!B$16:G$31,3,FALSE),C10=Lernziele!E$14,VLOOKUP(B10,Lernziele!B$16:G$31,4,FALSE),C10=Lernziele!F$14,VLOOKUP(B10,Lernziele!B$16:G$31,5,FALSE),C10=Lernziele!G$14,VLOOKUP(B10,Lernziele!B$16:G$31,6,FALSE))</f>
        <v>Prozess: Die Teilnehmer können nachvollziehen, warum Architekturmodelle als In- und Outputs des Entwicklungsprozesses relevant sind.
Methode: Die Teilnehmer können Architekturmodelle lesen und daraus für sie relevante Informationen entnehmen.
Tool: Die Teilnehmer können Architekturmodelle in einem Werkzeug anschauen und kommentieren/reviewen.</v>
      </c>
      <c r="F10" s="226" t="str">
        <f>VLOOKUP(B10,Lernziele!B21:J35,7,FALSE)</f>
        <v>Der Architekturprozess im Unternehmen
Entwicklung von funktionalen, logischer Architektur
Synthese – Ableitung der physischen Architektur aus der logischen Architektur
Zuordnung von Anforderungen zur Architektur inkl. ableiten von Anforderungen
weitere Architektur Sichten (Scurity, Safety etc.)
Bildern von Alternativen, Auswahl von Alternativen
Kriteren für Achitekturen (Vergleichsstudien)
Schnittstellen und Interaktionen zwischen Systemelementen, externen Systemen und Umsystemen
Beziehung zwischen funktionellen und phys. Elementen</v>
      </c>
      <c r="G10" s="226">
        <f>VLOOKUP(B10,Lernziele!B21:L36,8,FALSE)</f>
        <v>2</v>
      </c>
      <c r="H10" s="78"/>
      <c r="I10" s="230" t="str" cm="1">
        <f t="array" ref="I10">_xlfn.IFS(C10=Lernziele!F$3,"=Lernziele!H$3",C10=Lernziele!F$4,_xlfn.TEXTJOIN("; ",TRUE,Lernziele!J$3,Lernziele!J$4),C10=Lernziele!F$5,_xlfn.TEXTJOIN("; ",TRUE,Lernziele!J$3,Lernziele!J$4,Lernziele!J$5),C10=Lernziele!F$6,_xlfn.TEXTJOIN("; ",TRUE,Lernziele!J$3,Lernziele!J$4,Lernziele!J$5,Lernziele!J$6))</f>
        <v>Seminare/Webinar. Serious Gaming; Blenden Learning</v>
      </c>
    </row>
    <row r="11" spans="1:9" ht="140.25" x14ac:dyDescent="0.35">
      <c r="A11" s="227" t="s">
        <v>420</v>
      </c>
      <c r="B11" s="78" t="s">
        <v>55</v>
      </c>
      <c r="C11" s="78">
        <f>VLOOKUP(B11,'Rollen-Kompetenzen-Matrix'!B$3:Q$546,4,FALSE)</f>
        <v>2</v>
      </c>
      <c r="D11" s="78" t="str">
        <f>VLOOKUP(C11,Lernziele!F$3:G$6,2,FALSE)</f>
        <v>Verstehen</v>
      </c>
      <c r="E11" s="226" t="str" cm="1">
        <f t="array" ref="E11">_xlfn.IFS(C11=Lernziele!D$14,VLOOKUP(B11,Lernziele!B$16:G$31,3,FALSE),C11=Lernziele!E$14,VLOOKUP(B11,Lernziele!B$16:G$31,4,FALSE),C11=Lernziele!F$14,VLOOKUP(B11,Lernziele!B$16:G$31,5,FALSE),C11=Lernziele!G$14,VLOOKUP(B11,Lernziele!B$16:G$31,6,FALSE))</f>
        <v xml:space="preserve">Der Teilnehmer kann Testpläne, Testfälle und -ergebnisse lesen und verstehen. </v>
      </c>
      <c r="F11" s="226" t="str">
        <f>VLOOKUP(B11,Lernziele!B22:J36,7,FALSE)</f>
        <v>Systemintegrationsstrategien
Begriffsdefinition IVV
Verifikationsprozeduren (System, Element, Gerät)
Verifikationsmethoden
Traceabilkity zu Anforderungen
Validationsprozeduren
Korrekturmaßnahmen
Validierungsmethoden
V&amp;V in den Phasen des Lebenszyklus (insb. früher Phase)
Endabnahme des Systems</v>
      </c>
      <c r="G11" s="226"/>
      <c r="H11" s="78"/>
      <c r="I11" s="230" t="str" cm="1">
        <f t="array" ref="I11">_xlfn.IFS(C11=Lernziele!F$3,"=Lernziele!H$3",C11=Lernziele!F$4,_xlfn.TEXTJOIN("; ",TRUE,Lernziele!J$3,Lernziele!J$4),C11=Lernziele!F$5,_xlfn.TEXTJOIN("; ",TRUE,Lernziele!J$3,Lernziele!J$4,Lernziele!J$5),C11=Lernziele!F$6,_xlfn.TEXTJOIN("; ",TRUE,Lernziele!J$3,Lernziele!J$4,Lernziele!J$5,Lernziele!J$6))</f>
        <v>Seminare/Webinar. Serious Gaming; Blenden Learning</v>
      </c>
    </row>
    <row r="12" spans="1:9" ht="127.5" x14ac:dyDescent="0.35">
      <c r="A12" s="227" t="s">
        <v>421</v>
      </c>
      <c r="B12" s="78" t="s">
        <v>64</v>
      </c>
      <c r="C12" s="78">
        <f>VLOOKUP(B12,'Rollen-Kompetenzen-Matrix'!B$3:Q$546,4,FALSE)</f>
        <v>1</v>
      </c>
      <c r="D12" s="78" t="str">
        <f>VLOOKUP(C12,Lernziele!F$3:G$6,2,FALSE)</f>
        <v>Kennen</v>
      </c>
      <c r="E12" s="226" t="str" cm="1">
        <f t="array" ref="E12">_xlfn.IFS(C12=Lernziele!D$14,VLOOKUP(B12,Lernziele!B$16:G$31,3,FALSE),C12=Lernziele!E$14,VLOOKUP(B12,Lernziele!B$16:G$31,4,FALSE),C12=Lernziele!F$14,VLOOKUP(B12,Lernziele!B$16:G$31,5,FALSE),C12=Lernziele!G$14,VLOOKUP(B12,Lernziele!B$16:G$31,6,FALSE))</f>
        <v>Die Teilnehmer kennen die Zeile der Betriebs-, Service- und Instandhaltungsphase. Sie wissen das diese bereits in der Entwicklung berücksichtigung finden und das es Tätigkeiten  in der jewieligen Phase gibt.</v>
      </c>
      <c r="F12" s="226" t="str">
        <f>VLOOKUP(B12,Lernziele!B23:J37,7,FALSE)</f>
        <v>Betriebsstrategien
Auswertung Betriebsdaten
Anwenderfeedback einholen und bewerten
Aufzeichnen von Leistungsdaten, Fehlermeldungen
Wartungsstrategien
Verbrauchmaterialien
Instandhaltungsanalysen
Weiter und Wiederverwenden
Deaktivieren,Außer Betrieb nehmen
Entsorgungsstrategie</v>
      </c>
      <c r="G12" s="226"/>
      <c r="H12" s="78"/>
      <c r="I12" s="230" t="str" cm="1">
        <f t="array" ref="I12">_xlfn.IFS(C12=Lernziele!F$3,"=Lernziele!H$3",C12=Lernziele!F$4,_xlfn.TEXTJOIN("; ",TRUE,Lernziele!J$3,Lernziele!J$4),C12=Lernziele!F$5,_xlfn.TEXTJOIN("; ",TRUE,Lernziele!J$3,Lernziele!J$4,Lernziele!J$5),C12=Lernziele!F$6,_xlfn.TEXTJOIN("; ",TRUE,Lernziele!J$3,Lernziele!J$4,Lernziele!J$5,Lernziele!J$6))</f>
        <v>=Lernziele!H$3</v>
      </c>
    </row>
    <row r="13" spans="1:9" ht="38.25" x14ac:dyDescent="0.35">
      <c r="A13" s="227" t="s">
        <v>422</v>
      </c>
      <c r="B13" s="78" t="s">
        <v>67</v>
      </c>
      <c r="C13" s="78">
        <f>VLOOKUP(B13,'Rollen-Kompetenzen-Matrix'!B$3:Q$546,4,FALSE)</f>
        <v>4</v>
      </c>
      <c r="D13" s="78" t="str">
        <f>VLOOKUP(C13,Lernziele!F$3:G$6,2,FALSE)</f>
        <v>Anwenden</v>
      </c>
      <c r="E13" s="226" t="str" cm="1">
        <f t="array" ref="E13">_xlfn.IFS(C13=Lernziele!D$14,VLOOKUP(B13,Lernziele!B$16:G$31,3,FALSE),C13=Lernziele!E$14,VLOOKUP(B13,Lernziele!B$16:G$31,4,FALSE),C13=Lernziele!F$14,VLOOKUP(B13,Lernziele!B$16:G$31,5,FALSE),C13=Lernziele!G$14,VLOOKUP(B13,Lernziele!B$16:G$31,6,FALSE))</f>
        <v>Methode: der Teilnehmer kann in einem agilen Umfeld arbeiten. Er ist in der Lage die dafür notwedigen Methoden anzuwenden.</v>
      </c>
      <c r="F13" s="226" t="str">
        <f>VLOOKUP(B13,Lernziele!B24:J38,7,FALSE)</f>
        <v>Scrum
SAFe</v>
      </c>
      <c r="G13" s="226"/>
      <c r="H13" s="78"/>
      <c r="I13" s="230" t="str" cm="1">
        <f t="array" ref="I13">_xlfn.IFS(C13=Lernziele!F$3,"=Lernziele!H$3",C13=Lernziele!F$4,_xlfn.TEXTJOIN("; ",TRUE,Lernziele!J$3,Lernziele!J$4),C13=Lernziele!F$5,_xlfn.TEXTJOIN("; ",TRUE,Lernziele!J$3,Lernziele!J$4,Lernziele!J$5),C13=Lernziele!F$6,_xlfn.TEXTJOIN("; ",TRUE,Lernziele!J$3,Lernziele!J$4,Lernziele!J$5,Lernziele!J$6))</f>
        <v>Seminare/Webinar. Serious Gaming; Blenden Learning; Coaching, Train ing on the Job, Tutorials</v>
      </c>
    </row>
    <row r="14" spans="1:9" ht="38.25" x14ac:dyDescent="0.35">
      <c r="A14" s="227" t="s">
        <v>423</v>
      </c>
      <c r="B14" s="78" t="s">
        <v>71</v>
      </c>
      <c r="C14" s="78">
        <f>VLOOKUP(B14,'Rollen-Kompetenzen-Matrix'!B$3:Q$546,4,FALSE)</f>
        <v>4</v>
      </c>
      <c r="D14" s="78" t="str">
        <f>VLOOKUP(C14,Lernziele!F$3:G$6,2,FALSE)</f>
        <v>Anwenden</v>
      </c>
      <c r="E14" s="226" t="str" cm="1">
        <f t="array" ref="E14">_xlfn.IFS(C14=Lernziele!D$14,VLOOKUP(B14,Lernziele!B$16:G$31,3,FALSE),C14=Lernziele!E$14,VLOOKUP(B14,Lernziele!B$16:G$31,4,FALSE),C14=Lernziele!F$14,VLOOKUP(B14,Lernziele!B$16:G$31,5,FALSE),C14=Lernziele!G$14,VLOOKUP(B14,Lernziele!B$16:G$31,6,FALSE))</f>
        <v xml:space="preserve">Die Teilnehmer sind in der Lage selbstorganisiert Projekte, Prozesse und Aufgaben abzuarbeiten. </v>
      </c>
      <c r="F14" s="226" t="str">
        <f>VLOOKUP(B14,Lernziele!B25:J39,7,FALSE)</f>
        <v>Eigenes Verhalten und persönliche Eigenschaften
Zeitmanagement, 
persönlich. Arbeitsorganisation</v>
      </c>
      <c r="G14" s="226"/>
      <c r="H14" s="78"/>
      <c r="I14" s="230" t="str" cm="1">
        <f t="array" ref="I14">_xlfn.IFS(C14=Lernziele!F$3,"=Lernziele!H$3",C14=Lernziele!F$4,_xlfn.TEXTJOIN("; ",TRUE,Lernziele!J$3,Lernziele!J$4),C14=Lernziele!F$5,_xlfn.TEXTJOIN("; ",TRUE,Lernziele!J$3,Lernziele!J$4,Lernziele!J$5),C14=Lernziele!F$6,_xlfn.TEXTJOIN("; ",TRUE,Lernziele!J$3,Lernziele!J$4,Lernziele!J$5,Lernziele!J$6))</f>
        <v>Seminare/Webinar. Serious Gaming; Blenden Learning; Coaching, Train ing on the Job, Tutorials</v>
      </c>
    </row>
    <row r="15" spans="1:9" ht="127.5" x14ac:dyDescent="0.35">
      <c r="A15" s="227" t="s">
        <v>424</v>
      </c>
      <c r="B15" s="78" t="s">
        <v>74</v>
      </c>
      <c r="C15" s="78">
        <f>VLOOKUP(B15,'Rollen-Kompetenzen-Matrix'!B$3:Q$546,4,FALSE)</f>
        <v>4</v>
      </c>
      <c r="D15" s="78" t="str">
        <f>VLOOKUP(C15,Lernziele!F$3:G$6,2,FALSE)</f>
        <v>Anwenden</v>
      </c>
      <c r="E15" s="226" t="str" cm="1">
        <f t="array" ref="E15">_xlfn.IFS(C15=Lernziele!D$14,VLOOKUP(B15,Lernziele!B$16:G$31,3,FALSE),C15=Lernziele!E$14,VLOOKUP(B15,Lernziele!B$16:G$31,4,FALSE),C15=Lernziele!F$14,VLOOKUP(B15,Lernziele!B$16:G$31,5,FALSE),C15=Lernziele!G$14,VLOOKUP(B15,Lernziele!B$16:G$31,6,FALSE))</f>
        <v>Teilnehmer ist in der Lage konstruktiv und effizient zu kommunizieren und gleichzeitig empathisch gegenüber seinem Kommunikationspartner zu sein.</v>
      </c>
      <c r="F15" s="226" t="str">
        <f>VLOOKUP(B15,Lernziele!B26:J40,7,FALSE)</f>
        <v>Stakeholdergerechte Kommunikation
Grundlagen Kommunikationstechnik (4 Seiten,. Selbstbild., Fremdbild,Johari Fenster (Joseph Luft, Harry Ingham))
Zusammenarbeit untersch., Persönlichkeiten
Verhandlungstechnik
Zwischenmenschliche Kommunikation
Sozialkompetenets Verhalten
Methoden der Konfliktlösung und Motivation
Feedbackregeln,. Aktives zuhören</v>
      </c>
      <c r="G15" s="226"/>
      <c r="H15" s="78"/>
      <c r="I15" s="230" t="str" cm="1">
        <f t="array" ref="I15">_xlfn.IFS(C15=Lernziele!F$3,"=Lernziele!H$3",C15=Lernziele!F$4,_xlfn.TEXTJOIN("; ",TRUE,Lernziele!J$3,Lernziele!J$4),C15=Lernziele!F$5,_xlfn.TEXTJOIN("; ",TRUE,Lernziele!J$3,Lernziele!J$4,Lernziele!J$5),C15=Lernziele!F$6,_xlfn.TEXTJOIN("; ",TRUE,Lernziele!J$3,Lernziele!J$4,Lernziele!J$5,Lernziele!J$6))</f>
        <v>Seminare/Webinar. Serious Gaming; Blenden Learning; Coaching, Train ing on the Job, Tutorials</v>
      </c>
    </row>
    <row r="16" spans="1:9" ht="127.5" x14ac:dyDescent="0.35">
      <c r="A16" s="227" t="s">
        <v>425</v>
      </c>
      <c r="B16" s="78" t="s">
        <v>77</v>
      </c>
      <c r="C16" s="78">
        <f>VLOOKUP(B16,'Rollen-Kompetenzen-Matrix'!B$3:Q$546,4,FALSE)</f>
        <v>2</v>
      </c>
      <c r="D16" s="78" t="str">
        <f>VLOOKUP(C16,Lernziele!F$3:G$6,2,FALSE)</f>
        <v>Verstehen</v>
      </c>
      <c r="E16" s="226" t="str" cm="1">
        <f t="array" ref="E16">_xlfn.IFS(C16=Lernziele!D$14,VLOOKUP(B16,Lernziele!B$16:G$31,3,FALSE),C16=Lernziele!E$14,VLOOKUP(B16,Lernziele!B$16:G$31,4,FALSE),C16=Lernziele!F$14,VLOOKUP(B16,Lernziele!B$16:G$31,5,FALSE),C16=Lernziele!G$14,VLOOKUP(B16,Lernziele!B$16:G$31,6,FALSE))</f>
        <v>Teilnehmer versteht die Relevanz bzgl. der Definition von Zielen für ein System und kann diese für das gesamte Team verständlich definieren</v>
      </c>
      <c r="F16" s="226" t="str">
        <f>VLOOKUP(B16,Lernziele!B27:J41,7,FALSE)</f>
        <v>Definition Team, Teamführung
Phasen einer Team-Entwicklung
Charaktere in einem Team (Persönlichkeitsmodell (z.B. Riemann - Thomann), Nähe gegen Entfernung, Dauer gegen Änderungen)
Eigenmschaften und Methodne zu teamführung
Situationsführungstheorie
Kolloboration, Besonderheiten und Eigenschaften eines erfolgreichen Teams
Führungsstile: (Hersey und Blanchard)</v>
      </c>
      <c r="G16" s="226"/>
      <c r="H16" s="78"/>
      <c r="I16" s="230" t="str" cm="1">
        <f t="array" ref="I16">_xlfn.IFS(C16=Lernziele!F$3,"=Lernziele!H$3",C16=Lernziele!F$4,_xlfn.TEXTJOIN("; ",TRUE,Lernziele!J$3,Lernziele!J$4),C16=Lernziele!F$5,_xlfn.TEXTJOIN("; ",TRUE,Lernziele!J$3,Lernziele!J$4,Lernziele!J$5),C16=Lernziele!F$6,_xlfn.TEXTJOIN("; ",TRUE,Lernziele!J$3,Lernziele!J$4,Lernziele!J$5,Lernziele!J$6))</f>
        <v>Seminare/Webinar. Serious Gaming; Blenden Learning</v>
      </c>
    </row>
    <row r="17" spans="1:9" ht="178.5" x14ac:dyDescent="0.35">
      <c r="A17" s="227" t="s">
        <v>426</v>
      </c>
      <c r="B17" s="78" t="s">
        <v>81</v>
      </c>
      <c r="C17" s="78">
        <f>VLOOKUP(B17,'Rollen-Kompetenzen-Matrix'!B$3:Q$546,4,FALSE)</f>
        <v>2</v>
      </c>
      <c r="D17" s="78" t="str">
        <f>VLOOKUP(C17,Lernziele!F$3:G$6,2,FALSE)</f>
        <v>Verstehen</v>
      </c>
      <c r="E17" s="226" t="str" cm="1">
        <f t="array" ref="E17">_xlfn.IFS(C17=Lernziele!D$14,VLOOKUP(B17,Lernziele!B$16:G$31,3,FALSE),C17=Lernziele!E$14,VLOOKUP(B17,Lernziele!B$16:G$31,4,FALSE),C17=Lernziele!F$14,VLOOKUP(B17,Lernziele!B$16:G$31,5,FALSE),C17=Lernziele!G$14,VLOOKUP(B17,Lernziele!B$16:G$31,6,FALSE))</f>
        <v>Prozess : Der Teilnehmer versteht den Projektauftrag und kann das Projektmanagement in dem Kontext des System Engineerings einordnen.
Metzhoden: Der Teilnehmer kann eigenständig die für Ihn relevanten (Projekt-)Pläne erstellen und entsprechende Statusberichte erzeugen (hinsichtlich Q-K-T).
Tool: Der Teilnehmer ist in der Lage die Planung im jeweiligen Werkzeug durchzuführen.</v>
      </c>
      <c r="F17" s="226" t="str">
        <f>VLOOKUP(B17,Lernziele!B28:J42,7,FALSE)</f>
        <v xml:space="preserve">Projektziele und -scope
PSP - Projekte planen
Arbeispakete
Zeitplan, Budgetplan, SE-Plan
Ressourcen, Rollen, Verantwortlichkeiten
Freigabe 
Projektstruktur
Review Meilensteine
Korrekturmaßnahmen und Änderungen
Projektabschluss
Bestimmung von KPIs
Berichtswesen
Auswertung
</v>
      </c>
      <c r="G17" s="226"/>
      <c r="H17" s="78"/>
      <c r="I17" s="230" t="str" cm="1">
        <f t="array" ref="I17">_xlfn.IFS(C17=Lernziele!F$3,"=Lernziele!H$3",C17=Lernziele!F$4,_xlfn.TEXTJOIN("; ",TRUE,Lernziele!J$3,Lernziele!J$4),C17=Lernziele!F$5,_xlfn.TEXTJOIN("; ",TRUE,Lernziele!J$3,Lernziele!J$4,Lernziele!J$5),C17=Lernziele!F$6,_xlfn.TEXTJOIN("; ",TRUE,Lernziele!J$3,Lernziele!J$4,Lernziele!J$5,Lernziele!J$6))</f>
        <v>Seminare/Webinar. Serious Gaming; Blenden Learning</v>
      </c>
    </row>
    <row r="18" spans="1:9" ht="38.25" x14ac:dyDescent="0.35">
      <c r="A18" s="227" t="s">
        <v>427</v>
      </c>
      <c r="B18" s="78" t="s">
        <v>90</v>
      </c>
      <c r="C18" s="78">
        <f>VLOOKUP(B18,'Rollen-Kompetenzen-Matrix'!B$3:Q$546,4,FALSE)</f>
        <v>4</v>
      </c>
      <c r="D18" s="78" t="str">
        <f>VLOOKUP(C18,Lernziele!F$3:G$6,2,FALSE)</f>
        <v>Anwenden</v>
      </c>
      <c r="E18" s="226" t="e" cm="1">
        <f t="array" ref="E18">_xlfn.IFS(C18=Lernziele!D$14,VLOOKUP(B18,Lernziele!B$16:G$31,3,FALSE),C18=Lernziele!E$14,VLOOKUP(B18,Lernziele!B$16:G$31,4,FALSE),C18=Lernziele!F$14,VLOOKUP(B18,Lernziele!B$16:G$31,5,FALSE),C18=Lernziele!G$14,VLOOKUP(B18,Lernziele!B$16:G$31,6,FALSE))</f>
        <v>#N/A</v>
      </c>
      <c r="F18" s="226" t="e">
        <f>VLOOKUP(B18,Lernziele!B29:J43,7,FALSE)</f>
        <v>#N/A</v>
      </c>
      <c r="G18" s="226"/>
      <c r="H18" s="78"/>
      <c r="I18" s="230" t="str" cm="1">
        <f t="array" ref="I18">_xlfn.IFS(C18=Lernziele!F$3,"=Lernziele!H$3",C18=Lernziele!F$4,_xlfn.TEXTJOIN("; ",TRUE,Lernziele!J$3,Lernziele!J$4),C18=Lernziele!F$5,_xlfn.TEXTJOIN("; ",TRUE,Lernziele!J$3,Lernziele!J$4,Lernziele!J$5),C18=Lernziele!F$6,_xlfn.TEXTJOIN("; ",TRUE,Lernziele!J$3,Lernziele!J$4,Lernziele!J$5,Lernziele!J$6))</f>
        <v>Seminare/Webinar. Serious Gaming; Blenden Learning; Coaching, Train ing on the Job, Tutorials</v>
      </c>
    </row>
    <row r="19" spans="1:9" ht="25.5" x14ac:dyDescent="0.35">
      <c r="A19" s="227" t="s">
        <v>428</v>
      </c>
      <c r="B19" s="78" t="s">
        <v>93</v>
      </c>
      <c r="C19" s="78">
        <f>VLOOKUP(B19,'Rollen-Kompetenzen-Matrix'!B$3:Q$546,4,FALSE)</f>
        <v>2</v>
      </c>
      <c r="D19" s="78" t="str">
        <f>VLOOKUP(C19,Lernziele!F$3:G$6,2,FALSE)</f>
        <v>Verstehen</v>
      </c>
      <c r="E19" s="226" t="e" cm="1">
        <f t="array" ref="E19">_xlfn.IFS(C19=Lernziele!D$14,VLOOKUP(B19,Lernziele!B$16:G$31,3,FALSE),C19=Lernziele!E$14,VLOOKUP(B19,Lernziele!B$16:G$31,4,FALSE),C19=Lernziele!F$14,VLOOKUP(B19,Lernziele!B$16:G$31,5,FALSE),C19=Lernziele!G$14,VLOOKUP(B19,Lernziele!B$16:G$31,6,FALSE))</f>
        <v>#N/A</v>
      </c>
      <c r="F19" s="226" t="e">
        <f>VLOOKUP(B19,Lernziele!B30:J44,7,FALSE)</f>
        <v>#N/A</v>
      </c>
      <c r="G19" s="226"/>
      <c r="H19" s="78"/>
      <c r="I19" s="230" t="str" cm="1">
        <f t="array" ref="I19">_xlfn.IFS(C19=Lernziele!F$3,"=Lernziele!H$3",C19=Lernziele!F$4,_xlfn.TEXTJOIN("; ",TRUE,Lernziele!J$3,Lernziele!J$4),C19=Lernziele!F$5,_xlfn.TEXTJOIN("; ",TRUE,Lernziele!J$3,Lernziele!J$4,Lernziele!J$5),C19=Lernziele!F$6,_xlfn.TEXTJOIN("; ",TRUE,Lernziele!J$3,Lernziele!J$4,Lernziele!J$5,Lernziele!J$6))</f>
        <v>Seminare/Webinar. Serious Gaming; Blenden Learning</v>
      </c>
    </row>
    <row r="20" spans="1:9" ht="25.9" thickBot="1" x14ac:dyDescent="0.4">
      <c r="A20" s="228" t="s">
        <v>429</v>
      </c>
      <c r="B20" s="83" t="s">
        <v>96</v>
      </c>
      <c r="C20" s="83">
        <f>VLOOKUP(B20,'Rollen-Kompetenzen-Matrix'!B$3:Q$546,4,FALSE)</f>
        <v>2</v>
      </c>
      <c r="D20" s="83" t="str">
        <f>VLOOKUP(C20,Lernziele!F$3:G$6,2,FALSE)</f>
        <v>Verstehen</v>
      </c>
      <c r="E20" s="226" t="e" cm="1">
        <f t="array" ref="E20">_xlfn.IFS(C20=Lernziele!D$14,VLOOKUP(B20,Lernziele!B$16:G$31,3,FALSE),C20=Lernziele!E$14,VLOOKUP(B20,Lernziele!B$16:G$31,4,FALSE),C20=Lernziele!F$14,VLOOKUP(B20,Lernziele!B$16:G$31,5,FALSE),C20=Lernziele!G$14,VLOOKUP(B20,Lernziele!B$16:G$31,6,FALSE))</f>
        <v>#N/A</v>
      </c>
      <c r="F20" s="226" t="e">
        <f>VLOOKUP(B20,Lernziele!B31:J45,7,FALSE)</f>
        <v>#N/A</v>
      </c>
      <c r="G20" s="234"/>
      <c r="H20" s="83"/>
      <c r="I20" s="230" t="str" cm="1">
        <f t="array" ref="I20">_xlfn.IFS(C20=Lernziele!F$3,"=Lernziele!H$3",C20=Lernziele!F$4,_xlfn.TEXTJOIN("; ",TRUE,Lernziele!J$3,Lernziele!J$4),C20=Lernziele!F$5,_xlfn.TEXTJOIN("; ",TRUE,Lernziele!J$3,Lernziele!J$4,Lernziele!J$5),C20=Lernziele!F$6,_xlfn.TEXTJOIN("; ",TRUE,Lernziele!J$3,Lernziele!J$4,Lernziele!J$5,Lernziele!J$6))</f>
        <v>Seminare/Webinar. Serious Gaming; Blenden Learning</v>
      </c>
    </row>
    <row r="44" spans="2:2" x14ac:dyDescent="0.35">
      <c r="B44" t="s">
        <v>90</v>
      </c>
    </row>
    <row r="46" spans="2:2" x14ac:dyDescent="0.35">
      <c r="B46" t="s">
        <v>93</v>
      </c>
    </row>
    <row r="48" spans="2:2" x14ac:dyDescent="0.35">
      <c r="B48" t="s">
        <v>96</v>
      </c>
    </row>
  </sheetData>
  <mergeCells count="1">
    <mergeCell ref="C4:D4"/>
  </mergeCells>
  <phoneticPr fontId="27" type="noConversion"/>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A84A9-647C-4361-BC36-857DFA1EDACE}">
  <dimension ref="B2:G21"/>
  <sheetViews>
    <sheetView zoomScale="70" zoomScaleNormal="70" workbookViewId="0">
      <selection activeCell="L9" sqref="L9"/>
    </sheetView>
  </sheetViews>
  <sheetFormatPr baseColWidth="10" defaultRowHeight="12.75" x14ac:dyDescent="0.35"/>
  <cols>
    <col min="2" max="2" width="36.1328125" customWidth="1"/>
    <col min="3" max="3" width="47.265625" customWidth="1"/>
    <col min="4" max="6" width="40.86328125" customWidth="1"/>
    <col min="7" max="7" width="45.1328125" customWidth="1"/>
  </cols>
  <sheetData>
    <row r="2" spans="2:7" ht="13.15" thickBot="1" x14ac:dyDescent="0.4"/>
    <row r="3" spans="2:7" ht="13.15" x14ac:dyDescent="0.4">
      <c r="B3" s="348" t="s">
        <v>323</v>
      </c>
      <c r="C3" s="350" t="s">
        <v>0</v>
      </c>
      <c r="D3" s="191">
        <v>1</v>
      </c>
      <c r="E3" s="191">
        <v>2</v>
      </c>
      <c r="F3" s="191">
        <v>4</v>
      </c>
      <c r="G3" s="192">
        <v>6</v>
      </c>
    </row>
    <row r="4" spans="2:7" ht="13.5" thickBot="1" x14ac:dyDescent="0.45">
      <c r="B4" s="349"/>
      <c r="C4" s="351"/>
      <c r="D4" s="193" t="s">
        <v>307</v>
      </c>
      <c r="E4" s="193" t="s">
        <v>310</v>
      </c>
      <c r="F4" s="193" t="s">
        <v>313</v>
      </c>
      <c r="G4" s="194" t="s">
        <v>316</v>
      </c>
    </row>
    <row r="5" spans="2:7" ht="51.4" thickBot="1" x14ac:dyDescent="0.4">
      <c r="B5" s="217" t="s">
        <v>14</v>
      </c>
      <c r="C5" s="216" t="s">
        <v>15</v>
      </c>
      <c r="D5" s="214" t="s">
        <v>326</v>
      </c>
      <c r="E5" s="214" t="s">
        <v>844</v>
      </c>
      <c r="F5" s="214" t="s">
        <v>327</v>
      </c>
      <c r="G5" s="215" t="s">
        <v>328</v>
      </c>
    </row>
    <row r="6" spans="2:7" ht="64.150000000000006" thickBot="1" x14ac:dyDescent="0.4">
      <c r="B6" s="217" t="s">
        <v>23</v>
      </c>
      <c r="C6" s="216" t="s">
        <v>24</v>
      </c>
      <c r="D6" s="214" t="s">
        <v>330</v>
      </c>
      <c r="E6" s="214" t="s">
        <v>331</v>
      </c>
      <c r="F6" s="214" t="s">
        <v>332</v>
      </c>
      <c r="G6" s="215" t="s">
        <v>333</v>
      </c>
    </row>
    <row r="7" spans="2:7" ht="51.4" thickBot="1" x14ac:dyDescent="0.4">
      <c r="B7" s="217" t="s">
        <v>31</v>
      </c>
      <c r="C7" s="216" t="s">
        <v>32</v>
      </c>
      <c r="D7" s="214" t="s">
        <v>335</v>
      </c>
      <c r="E7" s="214" t="s">
        <v>336</v>
      </c>
      <c r="F7" s="214" t="s">
        <v>337</v>
      </c>
      <c r="G7" s="215" t="s">
        <v>338</v>
      </c>
    </row>
    <row r="8" spans="2:7" ht="38.65" thickBot="1" x14ac:dyDescent="0.4">
      <c r="B8" s="221" t="s">
        <v>34</v>
      </c>
      <c r="C8" s="220" t="s">
        <v>35</v>
      </c>
      <c r="D8" s="214" t="s">
        <v>340</v>
      </c>
      <c r="E8" s="214" t="s">
        <v>341</v>
      </c>
      <c r="F8" s="214" t="s">
        <v>342</v>
      </c>
      <c r="G8" s="215" t="s">
        <v>343</v>
      </c>
    </row>
    <row r="9" spans="2:7" ht="180" thickBot="1" x14ac:dyDescent="0.4">
      <c r="B9" s="217" t="s">
        <v>37</v>
      </c>
      <c r="C9" s="216" t="s">
        <v>38</v>
      </c>
      <c r="D9" s="214" t="s">
        <v>345</v>
      </c>
      <c r="E9" s="214" t="s">
        <v>346</v>
      </c>
      <c r="F9" s="214" t="s">
        <v>347</v>
      </c>
      <c r="G9" s="215" t="s">
        <v>348</v>
      </c>
    </row>
    <row r="10" spans="2:7" ht="167.25" thickBot="1" x14ac:dyDescent="0.4">
      <c r="B10" s="221" t="s">
        <v>46</v>
      </c>
      <c r="C10" s="220" t="s">
        <v>47</v>
      </c>
      <c r="D10" s="214" t="s">
        <v>350</v>
      </c>
      <c r="E10" s="214" t="s">
        <v>351</v>
      </c>
      <c r="F10" s="214" t="s">
        <v>352</v>
      </c>
      <c r="G10" s="215" t="s">
        <v>353</v>
      </c>
    </row>
    <row r="11" spans="2:7" ht="89.65" thickBot="1" x14ac:dyDescent="0.4">
      <c r="B11" s="217" t="s">
        <v>55</v>
      </c>
      <c r="C11" s="216" t="s">
        <v>56</v>
      </c>
      <c r="D11" s="214" t="s">
        <v>355</v>
      </c>
      <c r="E11" s="214" t="s">
        <v>356</v>
      </c>
      <c r="F11" s="214" t="s">
        <v>357</v>
      </c>
      <c r="G11" s="215" t="s">
        <v>358</v>
      </c>
    </row>
    <row r="12" spans="2:7" ht="76.900000000000006" thickBot="1" x14ac:dyDescent="0.4">
      <c r="B12" s="217" t="s">
        <v>64</v>
      </c>
      <c r="C12" s="216" t="s">
        <v>65</v>
      </c>
      <c r="D12" s="214" t="s">
        <v>360</v>
      </c>
      <c r="E12" s="214" t="s">
        <v>361</v>
      </c>
      <c r="F12" s="214" t="s">
        <v>362</v>
      </c>
      <c r="G12" s="215" t="s">
        <v>363</v>
      </c>
    </row>
    <row r="13" spans="2:7" ht="64.150000000000006" thickBot="1" x14ac:dyDescent="0.4">
      <c r="B13" s="217" t="s">
        <v>67</v>
      </c>
      <c r="C13" s="216" t="s">
        <v>68</v>
      </c>
      <c r="D13" s="214" t="s">
        <v>365</v>
      </c>
      <c r="E13" s="214" t="s">
        <v>366</v>
      </c>
      <c r="F13" s="214" t="s">
        <v>367</v>
      </c>
      <c r="G13" s="215" t="s">
        <v>368</v>
      </c>
    </row>
    <row r="14" spans="2:7" ht="38.65" thickBot="1" x14ac:dyDescent="0.4">
      <c r="B14" s="217" t="s">
        <v>71</v>
      </c>
      <c r="C14" s="216" t="s">
        <v>72</v>
      </c>
      <c r="D14" s="214" t="s">
        <v>370</v>
      </c>
      <c r="E14" s="214" t="s">
        <v>371</v>
      </c>
      <c r="F14" s="214" t="s">
        <v>372</v>
      </c>
      <c r="G14" s="214" t="s">
        <v>372</v>
      </c>
    </row>
    <row r="15" spans="2:7" ht="64.150000000000006" thickBot="1" x14ac:dyDescent="0.4">
      <c r="B15" s="217" t="s">
        <v>74</v>
      </c>
      <c r="C15" s="216" t="s">
        <v>75</v>
      </c>
      <c r="D15" s="214" t="s">
        <v>374</v>
      </c>
      <c r="E15" s="214" t="s">
        <v>375</v>
      </c>
      <c r="F15" s="214" t="s">
        <v>376</v>
      </c>
      <c r="G15" s="214" t="s">
        <v>377</v>
      </c>
    </row>
    <row r="16" spans="2:7" ht="64.150000000000006" thickBot="1" x14ac:dyDescent="0.4">
      <c r="B16" s="217" t="s">
        <v>77</v>
      </c>
      <c r="C16" s="216" t="s">
        <v>78</v>
      </c>
      <c r="D16" s="214" t="s">
        <v>374</v>
      </c>
      <c r="E16" s="214" t="s">
        <v>379</v>
      </c>
      <c r="F16" s="214" t="s">
        <v>380</v>
      </c>
      <c r="G16" s="214" t="s">
        <v>381</v>
      </c>
    </row>
    <row r="17" spans="2:7" ht="129" thickBot="1" x14ac:dyDescent="0.4">
      <c r="B17" s="217" t="s">
        <v>81</v>
      </c>
      <c r="C17" s="216" t="s">
        <v>82</v>
      </c>
      <c r="D17" s="214" t="s">
        <v>383</v>
      </c>
      <c r="E17" s="214" t="s">
        <v>384</v>
      </c>
      <c r="F17" s="214" t="s">
        <v>385</v>
      </c>
      <c r="G17" s="214" t="s">
        <v>386</v>
      </c>
    </row>
    <row r="18" spans="2:7" ht="76.900000000000006" thickBot="1" x14ac:dyDescent="0.4">
      <c r="B18" s="217" t="s">
        <v>90</v>
      </c>
      <c r="C18" s="216" t="s">
        <v>91</v>
      </c>
      <c r="D18" s="214" t="s">
        <v>388</v>
      </c>
      <c r="E18" s="214" t="s">
        <v>389</v>
      </c>
      <c r="F18" s="214" t="s">
        <v>390</v>
      </c>
      <c r="G18" s="215" t="s">
        <v>391</v>
      </c>
    </row>
    <row r="19" spans="2:7" ht="89.65" thickBot="1" x14ac:dyDescent="0.4">
      <c r="B19" s="222" t="s">
        <v>93</v>
      </c>
      <c r="C19" s="223" t="s">
        <v>94</v>
      </c>
      <c r="D19" s="224" t="s">
        <v>393</v>
      </c>
      <c r="E19" s="224" t="s">
        <v>394</v>
      </c>
      <c r="F19" s="224" t="s">
        <v>395</v>
      </c>
      <c r="G19" s="225" t="s">
        <v>396</v>
      </c>
    </row>
    <row r="20" spans="2:7" ht="115.15" thickBot="1" x14ac:dyDescent="0.4">
      <c r="B20" s="222" t="s">
        <v>96</v>
      </c>
      <c r="C20" s="223" t="s">
        <v>97</v>
      </c>
      <c r="D20" s="224" t="s">
        <v>398</v>
      </c>
      <c r="E20" s="229" t="s">
        <v>399</v>
      </c>
      <c r="F20" s="224" t="s">
        <v>400</v>
      </c>
      <c r="G20" s="224" t="s">
        <v>401</v>
      </c>
    </row>
    <row r="21" spans="2:7" ht="25.5" x14ac:dyDescent="0.35">
      <c r="B21" s="231" t="s">
        <v>403</v>
      </c>
      <c r="C21" s="232" t="s">
        <v>404</v>
      </c>
      <c r="D21" s="233"/>
      <c r="E21" s="233"/>
      <c r="F21" s="233"/>
      <c r="G21" s="233"/>
    </row>
  </sheetData>
  <mergeCells count="2">
    <mergeCell ref="B3:B4"/>
    <mergeCell ref="C3:C4"/>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2392-FC48-462F-8843-AB1030EB4923}">
  <dimension ref="A1:K22"/>
  <sheetViews>
    <sheetView workbookViewId="0">
      <selection activeCell="B24" sqref="B24"/>
    </sheetView>
  </sheetViews>
  <sheetFormatPr baseColWidth="10" defaultRowHeight="12.75" x14ac:dyDescent="0.35"/>
  <cols>
    <col min="2" max="2" width="45.86328125" customWidth="1"/>
    <col min="3" max="3" width="38.3984375" customWidth="1"/>
    <col min="6" max="6" width="27" customWidth="1"/>
    <col min="7" max="7" width="22" customWidth="1"/>
    <col min="10" max="10" width="28.1328125" customWidth="1"/>
  </cols>
  <sheetData>
    <row r="1" spans="1:11" ht="13.15" thickBot="1" x14ac:dyDescent="0.4"/>
    <row r="2" spans="1:11" x14ac:dyDescent="0.35">
      <c r="A2" s="187" t="s">
        <v>871</v>
      </c>
      <c r="B2" s="188" t="s">
        <v>408</v>
      </c>
      <c r="C2" s="188" t="s">
        <v>323</v>
      </c>
      <c r="D2" s="347" t="s">
        <v>410</v>
      </c>
      <c r="E2" s="347"/>
      <c r="F2" s="188" t="s">
        <v>411</v>
      </c>
      <c r="G2" s="188" t="s">
        <v>867</v>
      </c>
      <c r="H2" s="188" t="s">
        <v>274</v>
      </c>
      <c r="I2" s="188" t="s">
        <v>325</v>
      </c>
      <c r="J2" s="189" t="s">
        <v>413</v>
      </c>
      <c r="K2" s="241" t="s">
        <v>866</v>
      </c>
    </row>
    <row r="3" spans="1:11" x14ac:dyDescent="0.35">
      <c r="A3" s="242" t="s">
        <v>870</v>
      </c>
      <c r="B3" s="242" t="s">
        <v>869</v>
      </c>
      <c r="C3" s="244"/>
      <c r="D3" s="243"/>
      <c r="E3" s="243"/>
      <c r="F3" s="242"/>
      <c r="G3" s="242"/>
      <c r="H3" s="242"/>
      <c r="I3" s="242"/>
      <c r="J3" s="242"/>
      <c r="K3" s="240"/>
    </row>
    <row r="4" spans="1:11" ht="12.75" customHeight="1" x14ac:dyDescent="0.35">
      <c r="A4" t="s">
        <v>892</v>
      </c>
      <c r="B4" t="s">
        <v>868</v>
      </c>
      <c r="C4" s="2"/>
    </row>
    <row r="5" spans="1:11" x14ac:dyDescent="0.35">
      <c r="A5" t="s">
        <v>893</v>
      </c>
      <c r="B5" t="s">
        <v>872</v>
      </c>
      <c r="C5" s="2" t="s">
        <v>14</v>
      </c>
    </row>
    <row r="6" spans="1:11" ht="25.5" x14ac:dyDescent="0.35">
      <c r="A6" t="s">
        <v>894</v>
      </c>
      <c r="B6" t="s">
        <v>874</v>
      </c>
      <c r="C6" s="2" t="s">
        <v>884</v>
      </c>
      <c r="G6" t="s">
        <v>873</v>
      </c>
    </row>
    <row r="7" spans="1:11" x14ac:dyDescent="0.35">
      <c r="A7" t="s">
        <v>895</v>
      </c>
      <c r="B7" t="s">
        <v>913</v>
      </c>
      <c r="C7" s="2"/>
    </row>
    <row r="8" spans="1:11" ht="51" x14ac:dyDescent="0.35">
      <c r="A8" t="s">
        <v>896</v>
      </c>
      <c r="B8" t="s">
        <v>887</v>
      </c>
      <c r="C8" s="2" t="s">
        <v>912</v>
      </c>
    </row>
    <row r="9" spans="1:11" ht="51" x14ac:dyDescent="0.35">
      <c r="A9" t="s">
        <v>897</v>
      </c>
      <c r="B9" t="s">
        <v>888</v>
      </c>
      <c r="C9" s="2" t="s">
        <v>912</v>
      </c>
    </row>
    <row r="10" spans="1:11" ht="51" x14ac:dyDescent="0.35">
      <c r="A10" t="s">
        <v>898</v>
      </c>
      <c r="B10" t="s">
        <v>890</v>
      </c>
      <c r="C10" s="2" t="s">
        <v>911</v>
      </c>
    </row>
    <row r="11" spans="1:11" ht="51" x14ac:dyDescent="0.35">
      <c r="A11" t="s">
        <v>899</v>
      </c>
      <c r="B11" t="s">
        <v>889</v>
      </c>
      <c r="C11" s="2" t="s">
        <v>911</v>
      </c>
    </row>
    <row r="12" spans="1:11" x14ac:dyDescent="0.35">
      <c r="A12" t="s">
        <v>900</v>
      </c>
      <c r="B12" t="s">
        <v>55</v>
      </c>
      <c r="C12" s="2" t="s">
        <v>55</v>
      </c>
    </row>
    <row r="13" spans="1:11" x14ac:dyDescent="0.35">
      <c r="A13" t="s">
        <v>901</v>
      </c>
      <c r="B13" t="s">
        <v>891</v>
      </c>
      <c r="C13" s="2" t="s">
        <v>55</v>
      </c>
    </row>
    <row r="14" spans="1:11" ht="38.25" x14ac:dyDescent="0.35">
      <c r="A14" t="s">
        <v>902</v>
      </c>
      <c r="B14" t="s">
        <v>64</v>
      </c>
      <c r="C14" s="2" t="s">
        <v>883</v>
      </c>
    </row>
    <row r="15" spans="1:11" x14ac:dyDescent="0.35">
      <c r="A15" t="s">
        <v>903</v>
      </c>
      <c r="B15" t="s">
        <v>880</v>
      </c>
      <c r="C15" s="2" t="s">
        <v>23</v>
      </c>
    </row>
    <row r="16" spans="1:11" ht="25.5" x14ac:dyDescent="0.35">
      <c r="A16" t="s">
        <v>904</v>
      </c>
      <c r="B16" t="s">
        <v>875</v>
      </c>
      <c r="C16" s="2" t="s">
        <v>882</v>
      </c>
    </row>
    <row r="17" spans="1:3" ht="25.5" x14ac:dyDescent="0.35">
      <c r="A17" t="s">
        <v>905</v>
      </c>
      <c r="B17" t="s">
        <v>876</v>
      </c>
      <c r="C17" s="2" t="s">
        <v>881</v>
      </c>
    </row>
    <row r="18" spans="1:3" ht="25.5" x14ac:dyDescent="0.35">
      <c r="A18" t="s">
        <v>910</v>
      </c>
      <c r="B18" t="s">
        <v>876</v>
      </c>
      <c r="C18" s="2" t="s">
        <v>881</v>
      </c>
    </row>
    <row r="19" spans="1:3" x14ac:dyDescent="0.35">
      <c r="A19" t="s">
        <v>906</v>
      </c>
      <c r="B19" t="s">
        <v>877</v>
      </c>
      <c r="C19" s="2"/>
    </row>
    <row r="20" spans="1:3" x14ac:dyDescent="0.35">
      <c r="A20" t="s">
        <v>907</v>
      </c>
      <c r="B20" t="s">
        <v>878</v>
      </c>
      <c r="C20" s="2" t="s">
        <v>93</v>
      </c>
    </row>
    <row r="21" spans="1:3" x14ac:dyDescent="0.35">
      <c r="A21" t="s">
        <v>908</v>
      </c>
      <c r="B21" t="s">
        <v>879</v>
      </c>
      <c r="C21" s="2"/>
    </row>
    <row r="22" spans="1:3" ht="25.5" x14ac:dyDescent="0.35">
      <c r="A22" t="s">
        <v>909</v>
      </c>
      <c r="B22" t="s">
        <v>885</v>
      </c>
      <c r="C22" s="2" t="s">
        <v>886</v>
      </c>
    </row>
  </sheetData>
  <mergeCells count="1">
    <mergeCell ref="D2:E2"/>
  </mergeCells>
  <pageMargins left="0.7" right="0.7" top="0.78740157499999996" bottom="0.78740157499999996"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172A-F577-435E-B97C-00D8497CB0B8}">
  <dimension ref="B3:B6"/>
  <sheetViews>
    <sheetView workbookViewId="0">
      <selection activeCell="C15" sqref="C15"/>
    </sheetView>
  </sheetViews>
  <sheetFormatPr baseColWidth="10" defaultRowHeight="12.75" x14ac:dyDescent="0.35"/>
  <sheetData>
    <row r="3" spans="2:2" x14ac:dyDescent="0.35">
      <c r="B3">
        <v>0</v>
      </c>
    </row>
    <row r="4" spans="2:2" x14ac:dyDescent="0.35">
      <c r="B4">
        <v>1</v>
      </c>
    </row>
    <row r="5" spans="2:2" x14ac:dyDescent="0.35">
      <c r="B5">
        <v>2</v>
      </c>
    </row>
    <row r="6" spans="2:2" x14ac:dyDescent="0.35">
      <c r="B6">
        <v>3</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4E81-94DE-4743-896B-C6F225E4CD74}">
  <dimension ref="A1:BZ46"/>
  <sheetViews>
    <sheetView zoomScaleNormal="100" workbookViewId="0">
      <pane xSplit="5" ySplit="8" topLeftCell="F36" activePane="bottomRight" state="frozen"/>
      <selection pane="topRight" activeCell="F1" sqref="F1"/>
      <selection pane="bottomLeft" activeCell="A9" sqref="A9"/>
      <selection pane="bottomRight" activeCell="F55" sqref="F55"/>
    </sheetView>
  </sheetViews>
  <sheetFormatPr baseColWidth="10" defaultColWidth="11.3984375" defaultRowHeight="12.75" x14ac:dyDescent="0.35"/>
  <cols>
    <col min="1" max="1" width="20.3984375" style="1" customWidth="1"/>
    <col min="2" max="2" width="30.1328125" hidden="1" customWidth="1"/>
    <col min="3" max="3" width="26.86328125" style="1" customWidth="1"/>
    <col min="4" max="4" width="19.86328125" style="1" customWidth="1"/>
    <col min="5" max="5" width="26.86328125" style="1" customWidth="1"/>
    <col min="6" max="6" width="47.3984375" style="1" customWidth="1"/>
    <col min="7" max="7" width="27.3984375" style="1" customWidth="1"/>
    <col min="8" max="9" width="26.59765625" style="1" customWidth="1"/>
    <col min="10" max="10" width="23.3984375" style="1" customWidth="1"/>
    <col min="11" max="24" width="4.86328125" style="1" hidden="1" customWidth="1"/>
    <col min="25" max="25" width="5.86328125" hidden="1" customWidth="1"/>
    <col min="26" max="26" width="6.3984375" hidden="1" customWidth="1"/>
    <col min="27" max="69" width="3.3984375" hidden="1" customWidth="1"/>
    <col min="70" max="70" width="3.86328125" hidden="1" customWidth="1"/>
    <col min="71" max="71" width="3.3984375" hidden="1" customWidth="1"/>
    <col min="72" max="73" width="4.1328125" hidden="1" customWidth="1"/>
    <col min="74" max="74" width="21.59765625" customWidth="1"/>
  </cols>
  <sheetData>
    <row r="1" spans="1:78" ht="13.15" x14ac:dyDescent="0.35">
      <c r="D1" s="23" t="s">
        <v>430</v>
      </c>
      <c r="G1" s="1">
        <v>5</v>
      </c>
      <c r="H1" s="1" t="s">
        <v>431</v>
      </c>
    </row>
    <row r="2" spans="1:78" ht="13.15" x14ac:dyDescent="0.35">
      <c r="D2" s="23" t="s">
        <v>432</v>
      </c>
      <c r="G2" s="1">
        <v>4</v>
      </c>
    </row>
    <row r="3" spans="1:78" ht="13.15" x14ac:dyDescent="0.35">
      <c r="D3" s="23" t="s">
        <v>433</v>
      </c>
      <c r="G3" s="1">
        <v>3</v>
      </c>
      <c r="H3" s="1" t="s">
        <v>434</v>
      </c>
    </row>
    <row r="4" spans="1:78" x14ac:dyDescent="0.35">
      <c r="G4" s="1">
        <v>2</v>
      </c>
    </row>
    <row r="5" spans="1:78" ht="28.5" customHeight="1" x14ac:dyDescent="0.35">
      <c r="C5" s="1" t="s">
        <v>435</v>
      </c>
      <c r="D5" s="12" t="s">
        <v>436</v>
      </c>
      <c r="G5" s="1">
        <v>1</v>
      </c>
      <c r="H5" s="1" t="s">
        <v>437</v>
      </c>
      <c r="Y5" s="386" t="s">
        <v>438</v>
      </c>
      <c r="Z5" s="388"/>
      <c r="AA5" s="386" t="s">
        <v>439</v>
      </c>
      <c r="AB5" s="387"/>
      <c r="AC5" s="387"/>
      <c r="AD5" s="387"/>
      <c r="AE5" s="387"/>
      <c r="AF5" s="388"/>
      <c r="AG5" s="386" t="s">
        <v>440</v>
      </c>
      <c r="AH5" s="387"/>
      <c r="AI5" s="387"/>
      <c r="AJ5" s="387"/>
      <c r="AK5" s="387"/>
      <c r="AL5" s="387"/>
      <c r="AM5" s="387"/>
      <c r="AN5" s="388"/>
      <c r="AO5" s="383" t="s">
        <v>441</v>
      </c>
      <c r="AP5" s="384"/>
      <c r="AQ5" s="384"/>
      <c r="AR5" s="384"/>
      <c r="AS5" s="384"/>
      <c r="AT5" s="384"/>
      <c r="AU5" s="384"/>
      <c r="AV5" s="384"/>
      <c r="AW5" s="384"/>
      <c r="AX5" s="384"/>
      <c r="AY5" s="384"/>
      <c r="AZ5" s="384"/>
      <c r="BA5" s="384"/>
      <c r="BB5" s="385"/>
      <c r="BC5" s="380" t="s">
        <v>442</v>
      </c>
      <c r="BD5" s="381"/>
      <c r="BE5" s="381"/>
      <c r="BF5" s="381"/>
      <c r="BG5" s="381"/>
      <c r="BH5" s="381"/>
      <c r="BI5" s="381"/>
      <c r="BJ5" s="381"/>
      <c r="BK5" s="381"/>
      <c r="BL5" s="381"/>
      <c r="BM5" s="381"/>
      <c r="BN5" s="381"/>
      <c r="BO5" s="381"/>
      <c r="BP5" s="381"/>
      <c r="BQ5" s="382"/>
      <c r="BR5" s="362" t="s">
        <v>443</v>
      </c>
      <c r="BS5" s="363"/>
      <c r="BT5" s="363"/>
      <c r="BU5" s="364"/>
    </row>
    <row r="6" spans="1:78" ht="64.349999999999994" customHeight="1" x14ac:dyDescent="0.35">
      <c r="C6" s="11" t="s">
        <v>444</v>
      </c>
      <c r="D6" s="11" t="s">
        <v>0</v>
      </c>
      <c r="E6" s="11" t="s">
        <v>323</v>
      </c>
      <c r="F6" s="11" t="s">
        <v>0</v>
      </c>
      <c r="G6" s="11" t="s">
        <v>445</v>
      </c>
      <c r="H6" s="11" t="s">
        <v>446</v>
      </c>
      <c r="I6" s="11" t="s">
        <v>447</v>
      </c>
      <c r="J6" s="48" t="s">
        <v>448</v>
      </c>
      <c r="K6" s="41" t="s">
        <v>449</v>
      </c>
      <c r="L6" s="41" t="s">
        <v>450</v>
      </c>
      <c r="M6" s="41" t="s">
        <v>451</v>
      </c>
      <c r="N6" s="41" t="s">
        <v>452</v>
      </c>
      <c r="O6" s="41" t="s">
        <v>453</v>
      </c>
      <c r="P6" s="41" t="s">
        <v>454</v>
      </c>
      <c r="Q6" s="4" t="s">
        <v>455</v>
      </c>
      <c r="R6" s="4" t="s">
        <v>456</v>
      </c>
      <c r="S6" s="4" t="s">
        <v>457</v>
      </c>
      <c r="T6" s="4" t="s">
        <v>458</v>
      </c>
      <c r="U6" s="4" t="s">
        <v>459</v>
      </c>
      <c r="V6" s="4" t="s">
        <v>460</v>
      </c>
      <c r="W6" s="4" t="s">
        <v>461</v>
      </c>
      <c r="X6" s="4" t="s">
        <v>462</v>
      </c>
      <c r="Y6" s="3" t="s">
        <v>463</v>
      </c>
      <c r="Z6" s="5" t="s">
        <v>464</v>
      </c>
      <c r="AA6" s="3" t="s">
        <v>465</v>
      </c>
      <c r="AB6" s="4" t="s">
        <v>466</v>
      </c>
      <c r="AC6" s="4" t="s">
        <v>467</v>
      </c>
      <c r="AD6" s="4" t="s">
        <v>468</v>
      </c>
      <c r="AE6" s="4" t="s">
        <v>469</v>
      </c>
      <c r="AF6" s="4" t="s">
        <v>470</v>
      </c>
      <c r="AG6" s="3" t="s">
        <v>471</v>
      </c>
      <c r="AH6" s="4" t="s">
        <v>472</v>
      </c>
      <c r="AI6" s="4" t="s">
        <v>90</v>
      </c>
      <c r="AJ6" s="4" t="s">
        <v>473</v>
      </c>
      <c r="AK6" s="4" t="s">
        <v>96</v>
      </c>
      <c r="AL6" s="4" t="s">
        <v>93</v>
      </c>
      <c r="AM6" s="4" t="s">
        <v>474</v>
      </c>
      <c r="AN6" s="5" t="s">
        <v>475</v>
      </c>
      <c r="AO6" s="27" t="s">
        <v>476</v>
      </c>
      <c r="AP6" s="28" t="s">
        <v>477</v>
      </c>
      <c r="AQ6" s="28" t="s">
        <v>478</v>
      </c>
      <c r="AR6" s="28" t="s">
        <v>479</v>
      </c>
      <c r="AS6" s="28" t="s">
        <v>480</v>
      </c>
      <c r="AT6" s="28" t="s">
        <v>481</v>
      </c>
      <c r="AU6" s="28" t="s">
        <v>403</v>
      </c>
      <c r="AV6" s="28" t="s">
        <v>482</v>
      </c>
      <c r="AW6" s="28" t="s">
        <v>483</v>
      </c>
      <c r="AX6" s="28" t="s">
        <v>484</v>
      </c>
      <c r="AY6" s="28" t="s">
        <v>485</v>
      </c>
      <c r="AZ6" s="28" t="s">
        <v>486</v>
      </c>
      <c r="BA6" s="28" t="s">
        <v>487</v>
      </c>
      <c r="BB6" s="29" t="s">
        <v>488</v>
      </c>
      <c r="BC6" s="3" t="s">
        <v>489</v>
      </c>
      <c r="BD6" s="4" t="s">
        <v>490</v>
      </c>
      <c r="BE6" s="4" t="s">
        <v>491</v>
      </c>
      <c r="BF6" s="4" t="s">
        <v>492</v>
      </c>
      <c r="BG6" s="4" t="s">
        <v>493</v>
      </c>
      <c r="BH6" s="4" t="s">
        <v>494</v>
      </c>
      <c r="BI6" s="4" t="s">
        <v>495</v>
      </c>
      <c r="BJ6" s="4" t="s">
        <v>496</v>
      </c>
      <c r="BK6" s="4" t="s">
        <v>497</v>
      </c>
      <c r="BL6" s="4" t="s">
        <v>498</v>
      </c>
      <c r="BM6" s="4" t="s">
        <v>92</v>
      </c>
      <c r="BN6" s="4" t="s">
        <v>499</v>
      </c>
      <c r="BO6" s="4" t="s">
        <v>500</v>
      </c>
      <c r="BP6" s="4" t="s">
        <v>501</v>
      </c>
      <c r="BQ6" s="4" t="s">
        <v>502</v>
      </c>
      <c r="BR6" s="3" t="s">
        <v>503</v>
      </c>
      <c r="BS6" s="4" t="s">
        <v>504</v>
      </c>
      <c r="BT6" s="4"/>
      <c r="BU6" s="7"/>
    </row>
    <row r="7" spans="1:78" ht="38.85" customHeight="1" x14ac:dyDescent="0.35">
      <c r="A7" s="352" t="s">
        <v>505</v>
      </c>
      <c r="B7" t="s">
        <v>506</v>
      </c>
      <c r="C7" s="353" t="s">
        <v>507</v>
      </c>
      <c r="D7" s="359" t="s">
        <v>508</v>
      </c>
      <c r="E7" s="57" t="s">
        <v>14</v>
      </c>
      <c r="F7" s="17" t="s">
        <v>509</v>
      </c>
      <c r="G7" s="17">
        <v>5</v>
      </c>
      <c r="H7" s="17">
        <v>5</v>
      </c>
      <c r="I7" s="17">
        <v>5</v>
      </c>
      <c r="J7" s="49"/>
      <c r="K7" s="42">
        <v>1</v>
      </c>
      <c r="L7" s="42">
        <v>1</v>
      </c>
      <c r="M7" s="42">
        <v>2</v>
      </c>
      <c r="N7" s="42">
        <v>1</v>
      </c>
      <c r="O7" s="42">
        <v>0</v>
      </c>
      <c r="P7" s="42">
        <v>0</v>
      </c>
      <c r="Q7" s="17">
        <v>1</v>
      </c>
      <c r="R7" s="17">
        <v>2</v>
      </c>
      <c r="S7" s="17">
        <v>1</v>
      </c>
      <c r="T7" s="17">
        <v>0</v>
      </c>
      <c r="U7" s="17">
        <v>1</v>
      </c>
      <c r="V7" s="17">
        <v>1</v>
      </c>
      <c r="W7" s="17">
        <v>2</v>
      </c>
      <c r="X7" s="17">
        <v>0</v>
      </c>
      <c r="Y7" s="14">
        <v>1</v>
      </c>
      <c r="Z7" s="15">
        <v>1</v>
      </c>
      <c r="AA7" s="14">
        <v>2</v>
      </c>
      <c r="AB7" s="13">
        <v>1</v>
      </c>
      <c r="AC7" s="13">
        <v>1</v>
      </c>
      <c r="AD7" s="13">
        <v>1</v>
      </c>
      <c r="AE7" s="13">
        <v>1</v>
      </c>
      <c r="AF7" s="13">
        <v>1</v>
      </c>
      <c r="AG7" s="14">
        <v>2</v>
      </c>
      <c r="AH7" s="13">
        <v>1</v>
      </c>
      <c r="AI7" s="13">
        <v>1</v>
      </c>
      <c r="AJ7" s="13">
        <v>1</v>
      </c>
      <c r="AK7" s="13"/>
      <c r="AL7" s="13">
        <v>1</v>
      </c>
      <c r="AM7" s="13">
        <v>1</v>
      </c>
      <c r="AN7" s="15">
        <v>1</v>
      </c>
      <c r="AO7" s="14">
        <v>2</v>
      </c>
      <c r="AP7" s="13">
        <v>2</v>
      </c>
      <c r="AQ7" s="13">
        <v>2</v>
      </c>
      <c r="AR7" s="13">
        <v>2</v>
      </c>
      <c r="AS7" s="13">
        <v>1</v>
      </c>
      <c r="AT7" s="13">
        <v>1</v>
      </c>
      <c r="AU7" s="13">
        <v>2</v>
      </c>
      <c r="AV7" s="13">
        <v>2</v>
      </c>
      <c r="AW7" s="13">
        <v>1</v>
      </c>
      <c r="AX7" s="13">
        <v>2</v>
      </c>
      <c r="AY7" s="13">
        <v>2</v>
      </c>
      <c r="AZ7" s="13">
        <v>2</v>
      </c>
      <c r="BA7" s="13">
        <v>2</v>
      </c>
      <c r="BB7" s="15">
        <v>2</v>
      </c>
      <c r="BC7" s="14">
        <v>2</v>
      </c>
      <c r="BD7" s="13">
        <v>2</v>
      </c>
      <c r="BE7" s="13">
        <v>2</v>
      </c>
      <c r="BF7" s="13">
        <v>1</v>
      </c>
      <c r="BG7" s="13">
        <v>1</v>
      </c>
      <c r="BH7" s="13">
        <v>1</v>
      </c>
      <c r="BI7" s="13">
        <v>2</v>
      </c>
      <c r="BJ7" s="13">
        <v>2</v>
      </c>
      <c r="BK7" s="13">
        <v>1</v>
      </c>
      <c r="BL7" s="13">
        <v>1</v>
      </c>
      <c r="BM7" s="13">
        <v>2</v>
      </c>
      <c r="BN7" s="13">
        <v>1</v>
      </c>
      <c r="BO7" s="13">
        <v>2</v>
      </c>
      <c r="BP7" s="13">
        <v>2</v>
      </c>
      <c r="BQ7" s="13"/>
      <c r="BR7" s="6"/>
      <c r="BU7" s="7"/>
      <c r="BY7">
        <v>0</v>
      </c>
      <c r="BZ7" t="s">
        <v>510</v>
      </c>
    </row>
    <row r="8" spans="1:78" ht="43.35" customHeight="1" x14ac:dyDescent="0.35">
      <c r="A8" s="352"/>
      <c r="B8" t="s">
        <v>511</v>
      </c>
      <c r="C8" s="354"/>
      <c r="D8" s="360"/>
      <c r="E8" s="73" t="s">
        <v>512</v>
      </c>
      <c r="F8" s="18" t="s">
        <v>513</v>
      </c>
      <c r="G8" s="18">
        <v>3</v>
      </c>
      <c r="H8" s="18">
        <v>2</v>
      </c>
      <c r="I8" s="18">
        <v>3</v>
      </c>
      <c r="J8" s="18"/>
      <c r="K8" s="43">
        <v>2</v>
      </c>
      <c r="L8" s="43">
        <v>0</v>
      </c>
      <c r="M8" s="43">
        <v>2</v>
      </c>
      <c r="N8" s="43">
        <v>1</v>
      </c>
      <c r="O8" s="43">
        <v>0</v>
      </c>
      <c r="P8" s="43">
        <v>0</v>
      </c>
      <c r="Q8" s="18">
        <v>2</v>
      </c>
      <c r="R8" s="18">
        <v>2</v>
      </c>
      <c r="S8" s="18">
        <v>0</v>
      </c>
      <c r="T8" s="18">
        <v>0</v>
      </c>
      <c r="U8" s="18">
        <v>0</v>
      </c>
      <c r="V8" s="18">
        <v>0</v>
      </c>
      <c r="W8" s="18">
        <v>0</v>
      </c>
      <c r="X8" s="18">
        <v>0</v>
      </c>
      <c r="Y8" s="6">
        <v>1</v>
      </c>
      <c r="Z8" s="7">
        <v>1</v>
      </c>
      <c r="AA8" s="6">
        <v>2</v>
      </c>
      <c r="AC8">
        <v>1</v>
      </c>
      <c r="AG8" s="6">
        <v>1</v>
      </c>
      <c r="AH8">
        <v>1</v>
      </c>
      <c r="AI8">
        <v>1</v>
      </c>
      <c r="AJ8">
        <v>1</v>
      </c>
      <c r="AL8">
        <v>1</v>
      </c>
      <c r="AN8" s="7"/>
      <c r="AO8" s="6">
        <v>1</v>
      </c>
      <c r="AP8">
        <v>1</v>
      </c>
      <c r="AQ8">
        <v>1</v>
      </c>
      <c r="AR8">
        <v>1</v>
      </c>
      <c r="AT8">
        <v>1</v>
      </c>
      <c r="AU8">
        <v>2</v>
      </c>
      <c r="AV8">
        <v>1</v>
      </c>
      <c r="AW8">
        <v>2</v>
      </c>
      <c r="AX8">
        <v>1</v>
      </c>
      <c r="AY8">
        <v>1</v>
      </c>
      <c r="AZ8">
        <v>1</v>
      </c>
      <c r="BA8">
        <v>1</v>
      </c>
      <c r="BB8" s="7">
        <v>1</v>
      </c>
      <c r="BC8" s="6">
        <v>1</v>
      </c>
      <c r="BH8">
        <v>1</v>
      </c>
      <c r="BK8">
        <v>1</v>
      </c>
      <c r="BL8">
        <v>1</v>
      </c>
      <c r="BN8">
        <v>2</v>
      </c>
      <c r="BR8" s="6"/>
      <c r="BU8" s="7"/>
      <c r="BY8">
        <v>1</v>
      </c>
      <c r="BZ8" t="s">
        <v>514</v>
      </c>
    </row>
    <row r="9" spans="1:78" ht="35.1" customHeight="1" x14ac:dyDescent="0.35">
      <c r="A9" s="352"/>
      <c r="B9" t="s">
        <v>515</v>
      </c>
      <c r="C9" s="354"/>
      <c r="D9" s="360"/>
      <c r="E9" s="58" t="s">
        <v>515</v>
      </c>
      <c r="F9" s="18" t="s">
        <v>516</v>
      </c>
      <c r="G9" s="18">
        <v>3</v>
      </c>
      <c r="H9" s="18">
        <v>3</v>
      </c>
      <c r="I9" s="18">
        <v>3</v>
      </c>
      <c r="J9" s="18"/>
      <c r="K9" s="43">
        <v>1</v>
      </c>
      <c r="L9" s="43">
        <v>1</v>
      </c>
      <c r="M9" s="43">
        <v>2</v>
      </c>
      <c r="N9" s="43">
        <v>2</v>
      </c>
      <c r="O9" s="43">
        <v>0</v>
      </c>
      <c r="P9" s="43">
        <v>0</v>
      </c>
      <c r="Q9" s="18">
        <v>0</v>
      </c>
      <c r="R9" s="18">
        <v>1</v>
      </c>
      <c r="S9" s="18">
        <v>0</v>
      </c>
      <c r="T9" s="18">
        <v>0</v>
      </c>
      <c r="U9" s="18">
        <v>0</v>
      </c>
      <c r="V9" s="18">
        <v>0</v>
      </c>
      <c r="W9" s="18">
        <v>0</v>
      </c>
      <c r="X9" s="18">
        <v>0</v>
      </c>
      <c r="Y9" s="6">
        <v>1</v>
      </c>
      <c r="Z9" s="7">
        <v>1</v>
      </c>
      <c r="AA9" s="6">
        <v>1</v>
      </c>
      <c r="AB9">
        <v>1</v>
      </c>
      <c r="AC9">
        <v>2</v>
      </c>
      <c r="AD9">
        <v>1</v>
      </c>
      <c r="AE9">
        <v>1</v>
      </c>
      <c r="AF9">
        <v>1</v>
      </c>
      <c r="AG9" s="6">
        <v>1</v>
      </c>
      <c r="AH9">
        <v>1</v>
      </c>
      <c r="AI9">
        <v>1</v>
      </c>
      <c r="AJ9">
        <v>1</v>
      </c>
      <c r="AK9">
        <v>1</v>
      </c>
      <c r="AL9">
        <v>1</v>
      </c>
      <c r="AM9">
        <v>1</v>
      </c>
      <c r="AN9" s="7">
        <v>1</v>
      </c>
      <c r="AO9" s="6">
        <v>1</v>
      </c>
      <c r="AP9">
        <v>2</v>
      </c>
      <c r="AQ9">
        <v>1</v>
      </c>
      <c r="AR9">
        <v>1</v>
      </c>
      <c r="AS9">
        <v>1</v>
      </c>
      <c r="AT9">
        <v>1</v>
      </c>
      <c r="AV9">
        <v>2</v>
      </c>
      <c r="AW9">
        <v>1</v>
      </c>
      <c r="AX9">
        <v>1</v>
      </c>
      <c r="AY9">
        <v>2</v>
      </c>
      <c r="AZ9">
        <v>1</v>
      </c>
      <c r="BA9">
        <v>1</v>
      </c>
      <c r="BB9" s="7">
        <v>1</v>
      </c>
      <c r="BC9" s="6">
        <v>2</v>
      </c>
      <c r="BD9">
        <v>1</v>
      </c>
      <c r="BE9">
        <v>2</v>
      </c>
      <c r="BF9">
        <v>2</v>
      </c>
      <c r="BG9">
        <v>1</v>
      </c>
      <c r="BH9">
        <v>1</v>
      </c>
      <c r="BI9">
        <v>1</v>
      </c>
      <c r="BJ9">
        <v>1</v>
      </c>
      <c r="BK9">
        <v>2</v>
      </c>
      <c r="BL9">
        <v>1</v>
      </c>
      <c r="BM9">
        <v>2</v>
      </c>
      <c r="BN9">
        <v>1</v>
      </c>
      <c r="BO9">
        <v>1</v>
      </c>
      <c r="BP9">
        <v>1</v>
      </c>
      <c r="BR9" s="6"/>
      <c r="BU9" s="7"/>
      <c r="BY9">
        <v>2</v>
      </c>
      <c r="BZ9" t="s">
        <v>517</v>
      </c>
    </row>
    <row r="10" spans="1:78" ht="42" customHeight="1" x14ac:dyDescent="0.35">
      <c r="A10" s="352"/>
      <c r="B10" t="s">
        <v>518</v>
      </c>
      <c r="C10" s="354"/>
      <c r="D10" s="360"/>
      <c r="E10" t="s">
        <v>519</v>
      </c>
      <c r="F10" s="18" t="s">
        <v>520</v>
      </c>
      <c r="G10" s="18">
        <v>2</v>
      </c>
      <c r="H10" s="18">
        <v>2</v>
      </c>
      <c r="I10" s="18">
        <v>2</v>
      </c>
      <c r="J10" s="18"/>
      <c r="K10" s="43">
        <v>1</v>
      </c>
      <c r="L10" s="43">
        <v>1</v>
      </c>
      <c r="M10" s="43">
        <v>2</v>
      </c>
      <c r="N10" s="43">
        <v>2</v>
      </c>
      <c r="O10" s="43">
        <v>1</v>
      </c>
      <c r="P10" s="43">
        <v>1</v>
      </c>
      <c r="Q10" s="18">
        <v>1</v>
      </c>
      <c r="R10" s="18">
        <v>2</v>
      </c>
      <c r="S10" s="18">
        <v>1</v>
      </c>
      <c r="T10" s="18">
        <v>1</v>
      </c>
      <c r="U10" s="18">
        <v>0</v>
      </c>
      <c r="V10" s="18">
        <v>0</v>
      </c>
      <c r="W10" s="18">
        <v>2</v>
      </c>
      <c r="X10" s="18">
        <v>0</v>
      </c>
      <c r="Y10" s="6"/>
      <c r="Z10" s="7"/>
      <c r="AA10" s="6"/>
      <c r="AF10">
        <v>1</v>
      </c>
      <c r="AG10" s="6">
        <v>1</v>
      </c>
      <c r="AI10">
        <v>1</v>
      </c>
      <c r="AJ10">
        <v>2</v>
      </c>
      <c r="AL10">
        <v>1</v>
      </c>
      <c r="AN10" s="7"/>
      <c r="AO10" s="6">
        <v>1</v>
      </c>
      <c r="AP10">
        <v>2</v>
      </c>
      <c r="AQ10">
        <v>1</v>
      </c>
      <c r="AR10">
        <v>2</v>
      </c>
      <c r="AS10">
        <v>2</v>
      </c>
      <c r="AT10">
        <v>2</v>
      </c>
      <c r="AU10">
        <v>1</v>
      </c>
      <c r="AV10">
        <v>1</v>
      </c>
      <c r="AW10">
        <v>1</v>
      </c>
      <c r="AX10">
        <v>1</v>
      </c>
      <c r="AY10">
        <v>1</v>
      </c>
      <c r="AZ10">
        <v>1</v>
      </c>
      <c r="BA10">
        <v>1</v>
      </c>
      <c r="BB10" s="7">
        <v>1</v>
      </c>
      <c r="BC10" s="6">
        <v>1</v>
      </c>
      <c r="BD10">
        <v>1</v>
      </c>
      <c r="BE10">
        <v>1</v>
      </c>
      <c r="BF10">
        <v>1</v>
      </c>
      <c r="BG10">
        <v>1</v>
      </c>
      <c r="BH10">
        <v>1</v>
      </c>
      <c r="BI10">
        <v>1</v>
      </c>
      <c r="BJ10">
        <v>1</v>
      </c>
      <c r="BK10">
        <v>1</v>
      </c>
      <c r="BL10">
        <v>1</v>
      </c>
      <c r="BM10">
        <v>1</v>
      </c>
      <c r="BN10">
        <v>1</v>
      </c>
      <c r="BO10">
        <v>1</v>
      </c>
      <c r="BP10">
        <v>1</v>
      </c>
      <c r="BR10" s="6"/>
      <c r="BU10" s="7"/>
    </row>
    <row r="11" spans="1:78" ht="25.5" x14ac:dyDescent="0.35">
      <c r="A11" s="352"/>
      <c r="B11" t="s">
        <v>521</v>
      </c>
      <c r="C11" s="354"/>
      <c r="D11" s="360"/>
      <c r="E11" t="s">
        <v>522</v>
      </c>
      <c r="F11" s="18" t="s">
        <v>523</v>
      </c>
      <c r="G11" s="18">
        <v>2</v>
      </c>
      <c r="H11" s="18">
        <v>2</v>
      </c>
      <c r="I11" s="18">
        <v>2</v>
      </c>
      <c r="J11" s="18"/>
      <c r="K11" s="43">
        <v>2</v>
      </c>
      <c r="L11" s="43">
        <v>2</v>
      </c>
      <c r="M11" s="43">
        <v>2</v>
      </c>
      <c r="N11" s="43">
        <v>2</v>
      </c>
      <c r="O11" s="43">
        <v>2</v>
      </c>
      <c r="P11" s="43">
        <v>1</v>
      </c>
      <c r="Q11" s="18">
        <v>2</v>
      </c>
      <c r="R11" s="18">
        <v>2</v>
      </c>
      <c r="S11" s="18">
        <v>2</v>
      </c>
      <c r="T11" s="18">
        <v>1</v>
      </c>
      <c r="U11" s="18">
        <v>2</v>
      </c>
      <c r="V11" s="18">
        <v>2</v>
      </c>
      <c r="W11" s="18">
        <v>2</v>
      </c>
      <c r="X11" s="18">
        <v>0</v>
      </c>
      <c r="Y11" s="6"/>
      <c r="Z11" s="7"/>
      <c r="AA11" s="6"/>
      <c r="AE11">
        <v>2</v>
      </c>
      <c r="AF11">
        <v>1</v>
      </c>
      <c r="AG11" s="6">
        <v>1</v>
      </c>
      <c r="AH11">
        <v>2</v>
      </c>
      <c r="AI11">
        <v>2</v>
      </c>
      <c r="AJ11">
        <v>2</v>
      </c>
      <c r="AL11">
        <v>1</v>
      </c>
      <c r="AM11">
        <v>1</v>
      </c>
      <c r="AN11" s="7">
        <v>2</v>
      </c>
      <c r="AO11" s="6">
        <v>1</v>
      </c>
      <c r="AP11">
        <v>2</v>
      </c>
      <c r="AQ11">
        <v>1</v>
      </c>
      <c r="AR11">
        <v>2</v>
      </c>
      <c r="AS11">
        <v>2</v>
      </c>
      <c r="AT11">
        <v>1</v>
      </c>
      <c r="AU11">
        <v>1</v>
      </c>
      <c r="AV11">
        <v>1</v>
      </c>
      <c r="AW11">
        <v>1</v>
      </c>
      <c r="AX11">
        <v>1</v>
      </c>
      <c r="AY11">
        <v>1</v>
      </c>
      <c r="AZ11">
        <v>1</v>
      </c>
      <c r="BA11">
        <v>1</v>
      </c>
      <c r="BB11" s="7">
        <v>1</v>
      </c>
      <c r="BC11" s="6">
        <v>1</v>
      </c>
      <c r="BD11">
        <v>1</v>
      </c>
      <c r="BE11">
        <v>1</v>
      </c>
      <c r="BF11">
        <v>1</v>
      </c>
      <c r="BG11">
        <v>1</v>
      </c>
      <c r="BH11">
        <v>1</v>
      </c>
      <c r="BI11">
        <v>1</v>
      </c>
      <c r="BJ11">
        <v>1</v>
      </c>
      <c r="BK11">
        <v>1</v>
      </c>
      <c r="BL11">
        <v>1</v>
      </c>
      <c r="BM11">
        <v>1</v>
      </c>
      <c r="BN11">
        <v>1</v>
      </c>
      <c r="BO11">
        <v>1</v>
      </c>
      <c r="BP11">
        <v>1</v>
      </c>
      <c r="BR11" s="6"/>
      <c r="BU11" s="7"/>
    </row>
    <row r="12" spans="1:78" ht="51" x14ac:dyDescent="0.35">
      <c r="A12" s="352"/>
      <c r="B12" t="s">
        <v>524</v>
      </c>
      <c r="C12" s="355"/>
      <c r="D12" s="361"/>
      <c r="E12" s="60" t="s">
        <v>23</v>
      </c>
      <c r="F12" s="19" t="s">
        <v>525</v>
      </c>
      <c r="G12" s="19">
        <v>5</v>
      </c>
      <c r="H12" s="19">
        <v>5</v>
      </c>
      <c r="I12" s="19">
        <v>4</v>
      </c>
      <c r="J12" s="50"/>
      <c r="K12" s="44">
        <v>2</v>
      </c>
      <c r="L12" s="44">
        <v>0</v>
      </c>
      <c r="M12" s="44">
        <v>2</v>
      </c>
      <c r="N12" s="44">
        <v>2</v>
      </c>
      <c r="O12" s="44">
        <v>0</v>
      </c>
      <c r="P12" s="44">
        <v>0</v>
      </c>
      <c r="Q12" s="19">
        <v>0</v>
      </c>
      <c r="R12" s="19">
        <v>2</v>
      </c>
      <c r="S12" s="19">
        <v>0</v>
      </c>
      <c r="T12" s="19">
        <v>0</v>
      </c>
      <c r="U12" s="19">
        <v>0</v>
      </c>
      <c r="V12" s="19">
        <v>0</v>
      </c>
      <c r="W12" s="19">
        <v>1</v>
      </c>
      <c r="X12" s="19">
        <v>0</v>
      </c>
      <c r="Y12" s="8"/>
      <c r="Z12" s="10"/>
      <c r="AA12" s="8">
        <v>1</v>
      </c>
      <c r="AB12" s="9">
        <v>1</v>
      </c>
      <c r="AC12" s="9"/>
      <c r="AD12" s="9">
        <v>1</v>
      </c>
      <c r="AE12" s="9">
        <v>1</v>
      </c>
      <c r="AF12" s="9">
        <v>1</v>
      </c>
      <c r="AG12" s="8"/>
      <c r="AH12" s="9"/>
      <c r="AI12" s="9">
        <v>1</v>
      </c>
      <c r="AJ12" s="9">
        <v>2</v>
      </c>
      <c r="AK12" s="9">
        <v>1</v>
      </c>
      <c r="AL12" s="9">
        <v>1</v>
      </c>
      <c r="AM12" s="9"/>
      <c r="AN12" s="10"/>
      <c r="AO12" s="8">
        <v>2</v>
      </c>
      <c r="AP12" s="9">
        <v>2</v>
      </c>
      <c r="AQ12" s="9">
        <v>2</v>
      </c>
      <c r="AR12" s="9">
        <v>2</v>
      </c>
      <c r="AS12" s="9">
        <v>2</v>
      </c>
      <c r="AT12" s="9">
        <v>2</v>
      </c>
      <c r="AU12" s="9">
        <v>1</v>
      </c>
      <c r="AV12" s="9">
        <v>1</v>
      </c>
      <c r="AW12" s="9">
        <v>1</v>
      </c>
      <c r="AX12" s="9">
        <v>1</v>
      </c>
      <c r="AY12" s="9">
        <v>1</v>
      </c>
      <c r="AZ12" s="9">
        <v>1</v>
      </c>
      <c r="BA12" s="9">
        <v>1</v>
      </c>
      <c r="BB12" s="10">
        <v>1</v>
      </c>
      <c r="BC12" s="8">
        <v>2</v>
      </c>
      <c r="BD12" s="9">
        <v>2</v>
      </c>
      <c r="BE12" s="9">
        <v>2</v>
      </c>
      <c r="BF12" s="9">
        <v>2</v>
      </c>
      <c r="BG12" s="9">
        <v>2</v>
      </c>
      <c r="BH12" s="9">
        <v>1</v>
      </c>
      <c r="BI12" s="9"/>
      <c r="BJ12" s="9">
        <v>1</v>
      </c>
      <c r="BK12" s="9"/>
      <c r="BL12" s="9"/>
      <c r="BM12" s="9">
        <v>2</v>
      </c>
      <c r="BN12" s="9"/>
      <c r="BO12" s="9">
        <v>2</v>
      </c>
      <c r="BP12" s="9"/>
      <c r="BQ12" s="9"/>
      <c r="BR12" s="6"/>
      <c r="BU12" s="7"/>
    </row>
    <row r="13" spans="1:78" ht="25.5" x14ac:dyDescent="0.35">
      <c r="A13" s="352" t="s">
        <v>526</v>
      </c>
      <c r="B13" t="s">
        <v>527</v>
      </c>
      <c r="C13" s="353" t="s">
        <v>528</v>
      </c>
      <c r="D13" s="20"/>
      <c r="E13" s="64" t="s">
        <v>529</v>
      </c>
      <c r="F13" s="17" t="s">
        <v>530</v>
      </c>
      <c r="G13" s="17">
        <v>4</v>
      </c>
      <c r="H13" s="17">
        <v>3</v>
      </c>
      <c r="I13" s="17">
        <v>5</v>
      </c>
      <c r="J13" s="52"/>
      <c r="K13" s="42">
        <v>2</v>
      </c>
      <c r="L13" s="42">
        <v>2</v>
      </c>
      <c r="M13" s="42">
        <v>2</v>
      </c>
      <c r="N13" s="42">
        <v>1</v>
      </c>
      <c r="O13" s="42">
        <v>2</v>
      </c>
      <c r="P13" s="42">
        <v>1</v>
      </c>
      <c r="Q13" s="17">
        <v>2</v>
      </c>
      <c r="R13" s="17">
        <v>2</v>
      </c>
      <c r="S13" s="17">
        <v>2</v>
      </c>
      <c r="T13" s="17">
        <v>1</v>
      </c>
      <c r="U13" s="17">
        <v>2</v>
      </c>
      <c r="V13" s="17">
        <v>2</v>
      </c>
      <c r="W13" s="17">
        <v>2</v>
      </c>
      <c r="X13" s="17">
        <v>2</v>
      </c>
      <c r="Y13" s="14"/>
      <c r="Z13" s="15"/>
      <c r="AA13" s="14"/>
      <c r="AB13" s="13"/>
      <c r="AC13" s="13"/>
      <c r="AD13" s="13"/>
      <c r="AE13" s="13"/>
      <c r="AF13" s="13"/>
      <c r="AG13" s="14"/>
      <c r="AH13" s="13"/>
      <c r="AI13" s="13"/>
      <c r="AJ13" s="13"/>
      <c r="AK13" s="13"/>
      <c r="AL13" s="13"/>
      <c r="AM13" s="13"/>
      <c r="AN13" s="15"/>
      <c r="AO13" s="14"/>
      <c r="AP13" s="13"/>
      <c r="AQ13" s="13"/>
      <c r="AR13" s="13"/>
      <c r="AS13" s="13"/>
      <c r="AT13" s="13"/>
      <c r="AU13" s="13"/>
      <c r="AV13" s="13"/>
      <c r="AW13" s="13"/>
      <c r="AX13" s="13"/>
      <c r="AY13" s="13"/>
      <c r="AZ13" s="13"/>
      <c r="BA13" s="13"/>
      <c r="BB13" s="15"/>
      <c r="BC13" s="14">
        <v>1</v>
      </c>
      <c r="BD13" s="13">
        <v>1</v>
      </c>
      <c r="BE13" s="13">
        <v>1</v>
      </c>
      <c r="BF13" s="13">
        <v>1</v>
      </c>
      <c r="BG13" s="13">
        <v>1</v>
      </c>
      <c r="BH13" s="13">
        <v>1</v>
      </c>
      <c r="BI13" s="13">
        <v>1</v>
      </c>
      <c r="BJ13" s="13">
        <v>1</v>
      </c>
      <c r="BK13" s="13">
        <v>1</v>
      </c>
      <c r="BL13" s="13">
        <v>1</v>
      </c>
      <c r="BM13" s="13">
        <v>1</v>
      </c>
      <c r="BN13" s="13">
        <v>1</v>
      </c>
      <c r="BO13" s="13">
        <v>1</v>
      </c>
      <c r="BP13" s="13">
        <v>1</v>
      </c>
      <c r="BQ13" s="13"/>
      <c r="BR13" s="6"/>
      <c r="BU13" s="7"/>
    </row>
    <row r="14" spans="1:78" ht="25.5" x14ac:dyDescent="0.35">
      <c r="A14" s="352"/>
      <c r="B14" t="s">
        <v>531</v>
      </c>
      <c r="C14" s="354"/>
      <c r="E14" s="62" t="s">
        <v>532</v>
      </c>
      <c r="F14" s="18" t="s">
        <v>533</v>
      </c>
      <c r="G14" s="18">
        <v>2</v>
      </c>
      <c r="H14" s="18">
        <v>2</v>
      </c>
      <c r="I14" s="18">
        <v>1</v>
      </c>
      <c r="J14" s="18"/>
      <c r="K14" s="43">
        <v>0</v>
      </c>
      <c r="L14" s="43">
        <v>2</v>
      </c>
      <c r="M14" s="43">
        <v>1</v>
      </c>
      <c r="N14" s="43">
        <v>0</v>
      </c>
      <c r="O14" s="43">
        <v>0</v>
      </c>
      <c r="P14" s="43">
        <v>0</v>
      </c>
      <c r="Q14" s="18">
        <v>0</v>
      </c>
      <c r="R14" s="18">
        <v>0</v>
      </c>
      <c r="S14" s="18">
        <v>0</v>
      </c>
      <c r="T14" s="18">
        <v>0</v>
      </c>
      <c r="U14" s="18">
        <v>1</v>
      </c>
      <c r="V14" s="18">
        <v>2</v>
      </c>
      <c r="W14" s="18">
        <v>0</v>
      </c>
      <c r="X14" s="18">
        <v>0</v>
      </c>
      <c r="Y14" s="6"/>
      <c r="Z14" s="7"/>
      <c r="AA14" s="6"/>
      <c r="AG14" s="6"/>
      <c r="AN14" s="7"/>
      <c r="AO14" s="6"/>
      <c r="BB14" s="7"/>
      <c r="BC14" s="6">
        <v>1</v>
      </c>
      <c r="BD14">
        <v>1</v>
      </c>
      <c r="BE14">
        <v>1</v>
      </c>
      <c r="BF14">
        <v>1</v>
      </c>
      <c r="BG14">
        <v>1</v>
      </c>
      <c r="BH14">
        <v>1</v>
      </c>
      <c r="BI14">
        <v>1</v>
      </c>
      <c r="BJ14">
        <v>1</v>
      </c>
      <c r="BK14">
        <v>1</v>
      </c>
      <c r="BL14">
        <v>1</v>
      </c>
      <c r="BM14">
        <v>1</v>
      </c>
      <c r="BN14">
        <v>1</v>
      </c>
      <c r="BO14">
        <v>1</v>
      </c>
      <c r="BP14">
        <v>1</v>
      </c>
      <c r="BR14" s="6"/>
      <c r="BU14" s="7"/>
    </row>
    <row r="15" spans="1:78" ht="25.5" x14ac:dyDescent="0.35">
      <c r="A15" s="352"/>
      <c r="B15" t="s">
        <v>534</v>
      </c>
      <c r="C15" s="354"/>
      <c r="D15" s="22"/>
      <c r="E15" s="61" t="s">
        <v>535</v>
      </c>
      <c r="F15" s="18" t="s">
        <v>536</v>
      </c>
      <c r="G15" s="18">
        <v>4</v>
      </c>
      <c r="H15" s="18">
        <v>4</v>
      </c>
      <c r="I15" s="18">
        <v>4</v>
      </c>
      <c r="J15" s="51"/>
      <c r="K15" s="43">
        <v>1</v>
      </c>
      <c r="L15" s="43">
        <v>2</v>
      </c>
      <c r="M15" s="43">
        <v>2</v>
      </c>
      <c r="N15" s="43">
        <v>1</v>
      </c>
      <c r="O15" s="43">
        <v>1</v>
      </c>
      <c r="P15" s="43">
        <v>0</v>
      </c>
      <c r="Q15" s="18">
        <v>0</v>
      </c>
      <c r="R15" s="18">
        <v>1</v>
      </c>
      <c r="S15" s="18">
        <v>1</v>
      </c>
      <c r="T15" s="18">
        <v>0</v>
      </c>
      <c r="U15" s="18">
        <v>0</v>
      </c>
      <c r="V15" s="18">
        <v>0</v>
      </c>
      <c r="W15" s="18">
        <v>0</v>
      </c>
      <c r="X15" s="18">
        <v>0</v>
      </c>
      <c r="Y15" s="6"/>
      <c r="Z15" s="7"/>
      <c r="AA15" s="6"/>
      <c r="AG15" s="6"/>
      <c r="AN15" s="7"/>
      <c r="AO15" s="6"/>
      <c r="BB15" s="7"/>
      <c r="BC15" s="6"/>
      <c r="BR15" s="6"/>
      <c r="BU15" s="7"/>
    </row>
    <row r="16" spans="1:78" ht="63.75" x14ac:dyDescent="0.35">
      <c r="A16" s="352"/>
      <c r="B16" t="s">
        <v>537</v>
      </c>
      <c r="C16" s="354"/>
      <c r="E16" s="62" t="s">
        <v>538</v>
      </c>
      <c r="F16" s="18" t="s">
        <v>539</v>
      </c>
      <c r="G16" s="18">
        <v>3</v>
      </c>
      <c r="H16" s="18">
        <v>2</v>
      </c>
      <c r="I16" s="18">
        <v>2</v>
      </c>
      <c r="J16" s="18"/>
      <c r="K16" s="43">
        <v>2</v>
      </c>
      <c r="L16" s="43">
        <v>2</v>
      </c>
      <c r="M16" s="43">
        <v>2</v>
      </c>
      <c r="N16" s="43">
        <v>1</v>
      </c>
      <c r="O16" s="43">
        <v>2</v>
      </c>
      <c r="P16" s="43">
        <v>0</v>
      </c>
      <c r="Q16" s="18">
        <v>2</v>
      </c>
      <c r="R16" s="18">
        <v>0</v>
      </c>
      <c r="S16" s="18">
        <v>0</v>
      </c>
      <c r="T16" s="18">
        <v>0</v>
      </c>
      <c r="U16" s="18">
        <v>0</v>
      </c>
      <c r="V16" s="18">
        <v>0</v>
      </c>
      <c r="W16" s="18">
        <v>0</v>
      </c>
      <c r="X16" s="18">
        <v>0</v>
      </c>
      <c r="Y16" s="6"/>
      <c r="Z16" s="7"/>
      <c r="AA16" s="6"/>
      <c r="AG16" s="6"/>
      <c r="AN16" s="7"/>
      <c r="AO16" s="6"/>
      <c r="BB16" s="7"/>
      <c r="BC16" s="6">
        <v>2</v>
      </c>
      <c r="BE16">
        <v>1</v>
      </c>
      <c r="BG16">
        <v>2</v>
      </c>
      <c r="BI16">
        <v>1</v>
      </c>
      <c r="BJ16">
        <v>1</v>
      </c>
      <c r="BK16">
        <v>2</v>
      </c>
      <c r="BP16">
        <v>1</v>
      </c>
      <c r="BR16" s="6"/>
      <c r="BU16" s="7"/>
    </row>
    <row r="17" spans="1:73" ht="38.25" x14ac:dyDescent="0.35">
      <c r="A17" s="352"/>
      <c r="B17" t="s">
        <v>540</v>
      </c>
      <c r="C17" s="354"/>
      <c r="E17" s="62" t="s">
        <v>541</v>
      </c>
      <c r="F17" s="18" t="s">
        <v>542</v>
      </c>
      <c r="G17" s="18">
        <v>4</v>
      </c>
      <c r="H17" s="18">
        <v>4</v>
      </c>
      <c r="I17" s="18">
        <v>3</v>
      </c>
      <c r="J17" s="18"/>
      <c r="K17" s="43">
        <v>1</v>
      </c>
      <c r="L17" s="43">
        <v>2</v>
      </c>
      <c r="M17" s="43">
        <v>1</v>
      </c>
      <c r="N17" s="43">
        <v>0</v>
      </c>
      <c r="O17" s="43">
        <v>1</v>
      </c>
      <c r="P17" s="43">
        <v>0</v>
      </c>
      <c r="Q17" s="18">
        <v>0</v>
      </c>
      <c r="R17" s="18">
        <v>1</v>
      </c>
      <c r="S17" s="18">
        <v>1</v>
      </c>
      <c r="T17" s="18">
        <v>0</v>
      </c>
      <c r="U17" s="18">
        <v>0</v>
      </c>
      <c r="V17" s="18">
        <v>0</v>
      </c>
      <c r="W17" s="18">
        <v>0</v>
      </c>
      <c r="X17" s="18">
        <v>0</v>
      </c>
      <c r="Y17" s="6"/>
      <c r="Z17" s="7"/>
      <c r="AA17" s="6"/>
      <c r="AG17" s="6"/>
      <c r="AN17" s="7"/>
      <c r="AO17" s="6"/>
      <c r="BB17" s="7"/>
      <c r="BC17" s="6"/>
      <c r="BR17" s="6"/>
      <c r="BU17" s="7"/>
    </row>
    <row r="18" spans="1:73" ht="25.5" x14ac:dyDescent="0.35">
      <c r="A18" s="352"/>
      <c r="B18" t="s">
        <v>543</v>
      </c>
      <c r="C18" s="354"/>
      <c r="E18" s="62" t="s">
        <v>544</v>
      </c>
      <c r="F18" s="18" t="s">
        <v>545</v>
      </c>
      <c r="G18" s="18">
        <v>2</v>
      </c>
      <c r="H18" s="18">
        <v>2</v>
      </c>
      <c r="I18" s="18">
        <v>2</v>
      </c>
      <c r="J18" s="18"/>
      <c r="K18" s="43">
        <v>0</v>
      </c>
      <c r="L18" s="43">
        <v>2</v>
      </c>
      <c r="M18" s="43">
        <v>1</v>
      </c>
      <c r="N18" s="43">
        <v>0</v>
      </c>
      <c r="O18" s="43">
        <v>1</v>
      </c>
      <c r="P18" s="43">
        <v>1</v>
      </c>
      <c r="Q18" s="18">
        <v>1</v>
      </c>
      <c r="R18" s="18">
        <v>2</v>
      </c>
      <c r="S18" s="18">
        <v>1</v>
      </c>
      <c r="T18" s="18">
        <v>2</v>
      </c>
      <c r="U18" s="18">
        <v>2</v>
      </c>
      <c r="V18" s="18">
        <v>2</v>
      </c>
      <c r="W18" s="18">
        <v>1</v>
      </c>
      <c r="X18" s="18">
        <v>0</v>
      </c>
      <c r="Y18" s="6"/>
      <c r="Z18" s="7"/>
      <c r="AA18" s="6"/>
      <c r="AG18" s="6"/>
      <c r="AN18" s="7"/>
      <c r="AO18" s="6"/>
      <c r="BB18" s="7"/>
      <c r="BC18" s="6"/>
      <c r="BR18" s="6"/>
      <c r="BU18" s="7"/>
    </row>
    <row r="19" spans="1:73" ht="38.25" x14ac:dyDescent="0.35">
      <c r="A19" s="352"/>
      <c r="B19" t="s">
        <v>546</v>
      </c>
      <c r="C19" s="354"/>
      <c r="E19" s="62" t="s">
        <v>547</v>
      </c>
      <c r="F19" s="18" t="s">
        <v>548</v>
      </c>
      <c r="G19" s="18">
        <v>2</v>
      </c>
      <c r="H19" s="18">
        <v>2</v>
      </c>
      <c r="I19" s="18">
        <v>2</v>
      </c>
      <c r="J19" s="18"/>
      <c r="K19" s="43">
        <v>1</v>
      </c>
      <c r="L19" s="43">
        <v>2</v>
      </c>
      <c r="M19" s="43">
        <v>1</v>
      </c>
      <c r="N19" s="43">
        <v>1</v>
      </c>
      <c r="O19" s="43">
        <v>1</v>
      </c>
      <c r="P19" s="43">
        <v>1</v>
      </c>
      <c r="Q19" s="18">
        <v>1</v>
      </c>
      <c r="R19" s="18">
        <v>1</v>
      </c>
      <c r="S19" s="18">
        <v>1</v>
      </c>
      <c r="T19" s="18">
        <v>1</v>
      </c>
      <c r="U19" s="18">
        <v>1</v>
      </c>
      <c r="V19" s="18">
        <v>1</v>
      </c>
      <c r="W19" s="18">
        <v>1</v>
      </c>
      <c r="X19" s="18">
        <v>1</v>
      </c>
      <c r="Y19" s="6"/>
      <c r="Z19" s="7"/>
      <c r="AA19" s="6"/>
      <c r="AG19" s="6"/>
      <c r="AN19" s="7"/>
      <c r="AO19" s="6"/>
      <c r="BB19" s="7"/>
      <c r="BC19" s="6"/>
      <c r="BR19" s="6"/>
      <c r="BU19" s="7"/>
    </row>
    <row r="20" spans="1:73" ht="51" x14ac:dyDescent="0.35">
      <c r="A20" s="352"/>
      <c r="B20" t="s">
        <v>549</v>
      </c>
      <c r="C20" s="355"/>
      <c r="D20" s="21"/>
      <c r="E20" s="63" t="s">
        <v>550</v>
      </c>
      <c r="F20" s="19" t="s">
        <v>551</v>
      </c>
      <c r="G20" s="19">
        <v>2</v>
      </c>
      <c r="H20" s="19">
        <v>2</v>
      </c>
      <c r="I20" s="19">
        <v>2</v>
      </c>
      <c r="J20" s="19"/>
      <c r="K20" s="44">
        <v>0</v>
      </c>
      <c r="L20" s="44">
        <v>1</v>
      </c>
      <c r="M20" s="44">
        <v>1</v>
      </c>
      <c r="N20" s="44">
        <v>0</v>
      </c>
      <c r="O20" s="44">
        <v>1</v>
      </c>
      <c r="P20" s="44">
        <v>0</v>
      </c>
      <c r="Q20" s="19">
        <v>1</v>
      </c>
      <c r="R20" s="19">
        <v>2</v>
      </c>
      <c r="S20" s="19">
        <v>1</v>
      </c>
      <c r="T20" s="19">
        <v>0</v>
      </c>
      <c r="U20" s="19">
        <v>2</v>
      </c>
      <c r="V20" s="19">
        <v>2</v>
      </c>
      <c r="W20" s="19">
        <v>1</v>
      </c>
      <c r="X20" s="19">
        <v>0</v>
      </c>
      <c r="Y20" s="8"/>
      <c r="Z20" s="10"/>
      <c r="AA20" s="8"/>
      <c r="AB20" s="9"/>
      <c r="AC20" s="9"/>
      <c r="AD20" s="9"/>
      <c r="AE20" s="9"/>
      <c r="AF20" s="9"/>
      <c r="AG20" s="8"/>
      <c r="AH20" s="9"/>
      <c r="AI20" s="9"/>
      <c r="AJ20" s="9"/>
      <c r="AK20" s="9"/>
      <c r="AL20" s="9"/>
      <c r="AM20" s="9"/>
      <c r="AN20" s="10"/>
      <c r="AO20" s="8"/>
      <c r="AP20" s="9"/>
      <c r="AQ20" s="9"/>
      <c r="AR20" s="9"/>
      <c r="AS20" s="9"/>
      <c r="AT20" s="9"/>
      <c r="AU20" s="9"/>
      <c r="AV20" s="9"/>
      <c r="AW20" s="9"/>
      <c r="AX20" s="9"/>
      <c r="AY20" s="9"/>
      <c r="AZ20" s="9"/>
      <c r="BA20" s="9"/>
      <c r="BB20" s="10"/>
      <c r="BC20" s="8"/>
      <c r="BD20" s="9"/>
      <c r="BE20" s="9"/>
      <c r="BF20" s="9"/>
      <c r="BG20" s="9"/>
      <c r="BH20" s="9"/>
      <c r="BI20" s="9"/>
      <c r="BJ20" s="9"/>
      <c r="BK20" s="9"/>
      <c r="BL20" s="9"/>
      <c r="BM20" s="9"/>
      <c r="BN20" s="9"/>
      <c r="BO20" s="9"/>
      <c r="BP20" s="9"/>
      <c r="BQ20" s="9"/>
      <c r="BR20" s="6"/>
      <c r="BU20" s="7"/>
    </row>
    <row r="21" spans="1:73" ht="38.25" x14ac:dyDescent="0.35">
      <c r="A21" s="352" t="s">
        <v>552</v>
      </c>
      <c r="B21" t="s">
        <v>553</v>
      </c>
      <c r="C21" s="377" t="s">
        <v>554</v>
      </c>
      <c r="D21" s="374" t="s">
        <v>555</v>
      </c>
      <c r="E21" s="57" t="s">
        <v>556</v>
      </c>
      <c r="F21" s="17" t="s">
        <v>557</v>
      </c>
      <c r="G21" s="17">
        <v>5</v>
      </c>
      <c r="H21" s="17">
        <v>5</v>
      </c>
      <c r="I21" s="17">
        <v>5</v>
      </c>
      <c r="J21" s="49"/>
      <c r="K21" s="42">
        <v>2</v>
      </c>
      <c r="L21" s="42">
        <v>0</v>
      </c>
      <c r="M21" s="42">
        <v>2</v>
      </c>
      <c r="N21" s="42">
        <v>1</v>
      </c>
      <c r="O21" s="42">
        <v>1</v>
      </c>
      <c r="P21" s="42">
        <v>0</v>
      </c>
      <c r="Q21" s="17">
        <v>1</v>
      </c>
      <c r="R21" s="17">
        <v>2</v>
      </c>
      <c r="S21" s="17">
        <v>2</v>
      </c>
      <c r="T21" s="17">
        <v>0</v>
      </c>
      <c r="U21" s="17">
        <v>0</v>
      </c>
      <c r="V21" s="17">
        <v>0</v>
      </c>
      <c r="W21" s="17">
        <v>1</v>
      </c>
      <c r="X21" s="17">
        <v>0</v>
      </c>
      <c r="Y21" s="14">
        <v>1</v>
      </c>
      <c r="Z21" s="15">
        <v>1</v>
      </c>
      <c r="AA21" s="14"/>
      <c r="AB21" s="13"/>
      <c r="AC21" s="13"/>
      <c r="AD21" s="13"/>
      <c r="AE21" s="13">
        <v>2</v>
      </c>
      <c r="AF21" s="13"/>
      <c r="AG21" s="14"/>
      <c r="AH21" s="13"/>
      <c r="AI21" s="13"/>
      <c r="AJ21" s="13">
        <v>1</v>
      </c>
      <c r="AK21" s="13"/>
      <c r="AL21" s="13">
        <v>1</v>
      </c>
      <c r="AM21" s="13"/>
      <c r="AN21" s="15">
        <v>2</v>
      </c>
      <c r="AO21" s="14">
        <v>2</v>
      </c>
      <c r="AP21" s="13">
        <v>2</v>
      </c>
      <c r="AQ21" s="13">
        <v>2</v>
      </c>
      <c r="AR21" s="13">
        <v>1</v>
      </c>
      <c r="AS21" s="13"/>
      <c r="AT21" s="13"/>
      <c r="AU21" s="13"/>
      <c r="AV21" s="13"/>
      <c r="AW21" s="13">
        <v>1</v>
      </c>
      <c r="AX21" s="13"/>
      <c r="AY21" s="13">
        <v>1</v>
      </c>
      <c r="AZ21" s="13">
        <v>1</v>
      </c>
      <c r="BA21" s="13">
        <v>1</v>
      </c>
      <c r="BB21" s="15">
        <v>1</v>
      </c>
      <c r="BC21" s="14">
        <v>2</v>
      </c>
      <c r="BD21" s="13">
        <v>2</v>
      </c>
      <c r="BE21" s="13">
        <v>1</v>
      </c>
      <c r="BF21" s="13">
        <v>1</v>
      </c>
      <c r="BG21" s="13">
        <v>2</v>
      </c>
      <c r="BH21" s="13"/>
      <c r="BI21" s="13">
        <v>1</v>
      </c>
      <c r="BJ21" s="13"/>
      <c r="BK21" s="13">
        <v>2</v>
      </c>
      <c r="BL21" s="13">
        <v>1</v>
      </c>
      <c r="BM21" s="13">
        <v>2</v>
      </c>
      <c r="BN21" s="13"/>
      <c r="BO21" s="13">
        <v>1</v>
      </c>
      <c r="BP21" s="13">
        <v>1</v>
      </c>
      <c r="BQ21" s="13"/>
      <c r="BR21" s="6"/>
      <c r="BU21" s="7"/>
    </row>
    <row r="22" spans="1:73" ht="51" x14ac:dyDescent="0.35">
      <c r="A22" s="352"/>
      <c r="B22" t="s">
        <v>558</v>
      </c>
      <c r="C22" s="378"/>
      <c r="D22" s="375"/>
      <c r="E22" s="58" t="s">
        <v>559</v>
      </c>
      <c r="F22" s="18" t="s">
        <v>560</v>
      </c>
      <c r="G22" s="18">
        <v>5</v>
      </c>
      <c r="H22" s="18">
        <v>5</v>
      </c>
      <c r="I22" s="18">
        <v>5</v>
      </c>
      <c r="J22" s="56" t="s">
        <v>561</v>
      </c>
      <c r="K22" s="43">
        <v>0</v>
      </c>
      <c r="L22" s="43">
        <v>0</v>
      </c>
      <c r="M22" s="43">
        <v>2</v>
      </c>
      <c r="N22" s="43">
        <v>1</v>
      </c>
      <c r="O22" s="43">
        <v>0</v>
      </c>
      <c r="P22" s="43">
        <v>0</v>
      </c>
      <c r="Q22" s="18">
        <v>0</v>
      </c>
      <c r="R22" s="18">
        <v>2</v>
      </c>
      <c r="S22" s="18">
        <v>2</v>
      </c>
      <c r="T22" s="18">
        <v>0</v>
      </c>
      <c r="U22" s="18">
        <v>0</v>
      </c>
      <c r="V22" s="18">
        <v>0</v>
      </c>
      <c r="W22" s="18">
        <v>0</v>
      </c>
      <c r="X22" s="18">
        <v>0</v>
      </c>
      <c r="Y22" s="6"/>
      <c r="Z22" s="7"/>
      <c r="AA22" s="6"/>
      <c r="AG22" s="6"/>
      <c r="AN22" s="7"/>
      <c r="AO22" s="6"/>
      <c r="AP22">
        <v>1</v>
      </c>
      <c r="AR22">
        <v>2</v>
      </c>
      <c r="AS22">
        <v>2</v>
      </c>
      <c r="BB22" s="7"/>
      <c r="BC22" s="6">
        <v>2</v>
      </c>
      <c r="BD22">
        <v>1</v>
      </c>
      <c r="BE22">
        <v>2</v>
      </c>
      <c r="BF22">
        <v>2</v>
      </c>
      <c r="BG22">
        <v>2</v>
      </c>
      <c r="BI22">
        <v>1</v>
      </c>
      <c r="BK22">
        <v>2</v>
      </c>
      <c r="BL22">
        <v>1</v>
      </c>
      <c r="BM22">
        <v>2</v>
      </c>
      <c r="BO22">
        <v>1</v>
      </c>
      <c r="BR22" s="6"/>
      <c r="BU22" s="7"/>
    </row>
    <row r="23" spans="1:73" ht="38.25" x14ac:dyDescent="0.35">
      <c r="A23" s="352"/>
      <c r="B23" t="s">
        <v>562</v>
      </c>
      <c r="C23" s="378"/>
      <c r="D23" s="375"/>
      <c r="E23" s="73" t="s">
        <v>563</v>
      </c>
      <c r="F23" s="18" t="s">
        <v>564</v>
      </c>
      <c r="G23" s="18">
        <v>2</v>
      </c>
      <c r="H23" s="18">
        <v>3</v>
      </c>
      <c r="I23" s="18">
        <v>2</v>
      </c>
      <c r="J23" s="18" t="s">
        <v>93</v>
      </c>
      <c r="K23" s="43">
        <v>0</v>
      </c>
      <c r="L23" s="43">
        <v>0</v>
      </c>
      <c r="M23" s="43">
        <v>2</v>
      </c>
      <c r="N23" s="43">
        <v>2</v>
      </c>
      <c r="O23" s="43">
        <v>0</v>
      </c>
      <c r="P23" s="43">
        <v>0</v>
      </c>
      <c r="Q23" s="18">
        <v>0</v>
      </c>
      <c r="R23" s="18">
        <v>2</v>
      </c>
      <c r="S23" s="18">
        <v>2</v>
      </c>
      <c r="T23" s="18">
        <v>0</v>
      </c>
      <c r="U23" s="18">
        <v>0</v>
      </c>
      <c r="V23" s="18">
        <v>0</v>
      </c>
      <c r="W23" s="18">
        <v>1</v>
      </c>
      <c r="X23" s="18">
        <v>0</v>
      </c>
      <c r="Y23" s="6"/>
      <c r="Z23" s="7"/>
      <c r="AA23" s="6">
        <v>1</v>
      </c>
      <c r="AE23">
        <v>2</v>
      </c>
      <c r="AG23" s="6"/>
      <c r="AN23" s="7">
        <v>1</v>
      </c>
      <c r="AO23" s="6"/>
      <c r="AS23">
        <v>2</v>
      </c>
      <c r="AT23">
        <v>2</v>
      </c>
      <c r="BB23" s="7"/>
      <c r="BC23" s="6">
        <v>2</v>
      </c>
      <c r="BD23">
        <v>1</v>
      </c>
      <c r="BE23">
        <v>2</v>
      </c>
      <c r="BF23">
        <v>1</v>
      </c>
      <c r="BG23">
        <v>2</v>
      </c>
      <c r="BJ23">
        <v>1</v>
      </c>
      <c r="BK23">
        <v>1</v>
      </c>
      <c r="BM23">
        <v>2</v>
      </c>
      <c r="BN23">
        <v>2</v>
      </c>
      <c r="BO23">
        <v>2</v>
      </c>
      <c r="BR23" s="6"/>
      <c r="BU23" s="7"/>
    </row>
    <row r="24" spans="1:73" ht="51" x14ac:dyDescent="0.35">
      <c r="A24" s="352"/>
      <c r="B24" t="s">
        <v>482</v>
      </c>
      <c r="C24" s="378"/>
      <c r="D24" s="375"/>
      <c r="E24" s="58" t="s">
        <v>482</v>
      </c>
      <c r="F24" s="18" t="s">
        <v>565</v>
      </c>
      <c r="G24" s="18">
        <v>3</v>
      </c>
      <c r="H24" s="18">
        <v>4</v>
      </c>
      <c r="I24" s="18">
        <v>2</v>
      </c>
      <c r="J24" s="56" t="s">
        <v>566</v>
      </c>
      <c r="K24" s="43">
        <v>0</v>
      </c>
      <c r="L24" s="43">
        <v>0</v>
      </c>
      <c r="M24" s="43">
        <v>2</v>
      </c>
      <c r="N24" s="43">
        <v>1</v>
      </c>
      <c r="O24" s="43">
        <v>2</v>
      </c>
      <c r="P24" s="43">
        <v>2</v>
      </c>
      <c r="Q24" s="18">
        <v>0</v>
      </c>
      <c r="R24" s="18">
        <v>2</v>
      </c>
      <c r="S24" s="18">
        <v>1</v>
      </c>
      <c r="T24" s="18">
        <v>2</v>
      </c>
      <c r="U24" s="18">
        <v>0</v>
      </c>
      <c r="V24" s="18">
        <v>0</v>
      </c>
      <c r="W24" s="18">
        <v>2</v>
      </c>
      <c r="X24" s="18">
        <v>0</v>
      </c>
      <c r="Y24" s="6"/>
      <c r="Z24" s="7"/>
      <c r="AA24" s="6"/>
      <c r="AG24" s="6"/>
      <c r="AN24" s="7"/>
      <c r="AO24" s="6"/>
      <c r="AR24">
        <v>1</v>
      </c>
      <c r="AS24">
        <v>1</v>
      </c>
      <c r="AT24">
        <v>1</v>
      </c>
      <c r="AU24">
        <v>2</v>
      </c>
      <c r="AV24">
        <v>2</v>
      </c>
      <c r="BB24" s="7"/>
      <c r="BC24" s="6">
        <v>2</v>
      </c>
      <c r="BE24">
        <v>2</v>
      </c>
      <c r="BF24">
        <v>2</v>
      </c>
      <c r="BG24">
        <v>2</v>
      </c>
      <c r="BI24">
        <v>2</v>
      </c>
      <c r="BK24">
        <v>2</v>
      </c>
      <c r="BL24">
        <v>1</v>
      </c>
      <c r="BM24">
        <v>2</v>
      </c>
      <c r="BN24">
        <v>1</v>
      </c>
      <c r="BO24">
        <v>1</v>
      </c>
      <c r="BP24">
        <v>1</v>
      </c>
      <c r="BR24" s="6"/>
      <c r="BU24" s="7"/>
    </row>
    <row r="25" spans="1:73" ht="38.25" x14ac:dyDescent="0.35">
      <c r="A25" s="352"/>
      <c r="B25" t="s">
        <v>567</v>
      </c>
      <c r="C25" s="378"/>
      <c r="D25" s="375"/>
      <c r="E25" s="58" t="s">
        <v>561</v>
      </c>
      <c r="F25" s="18" t="s">
        <v>568</v>
      </c>
      <c r="G25" s="18">
        <v>4</v>
      </c>
      <c r="H25" s="18">
        <v>5</v>
      </c>
      <c r="I25" s="18">
        <v>4</v>
      </c>
      <c r="J25" s="18" t="s">
        <v>559</v>
      </c>
      <c r="K25" s="43">
        <v>0</v>
      </c>
      <c r="L25" s="43">
        <v>0</v>
      </c>
      <c r="M25" s="43">
        <v>2</v>
      </c>
      <c r="N25" s="43">
        <v>2</v>
      </c>
      <c r="O25" s="43">
        <v>0</v>
      </c>
      <c r="P25" s="43">
        <v>0</v>
      </c>
      <c r="Q25" s="18">
        <v>0</v>
      </c>
      <c r="R25" s="18">
        <v>1</v>
      </c>
      <c r="S25" s="18">
        <v>1</v>
      </c>
      <c r="T25" s="18">
        <v>0</v>
      </c>
      <c r="U25" s="18">
        <v>0</v>
      </c>
      <c r="V25" s="18">
        <v>0</v>
      </c>
      <c r="W25" s="18">
        <v>1</v>
      </c>
      <c r="X25" s="18">
        <v>0</v>
      </c>
      <c r="Y25" s="6"/>
      <c r="Z25" s="7"/>
      <c r="AA25" s="6"/>
      <c r="AG25" s="6"/>
      <c r="AN25" s="7"/>
      <c r="AO25" s="6"/>
      <c r="AP25">
        <v>1</v>
      </c>
      <c r="AR25">
        <v>1</v>
      </c>
      <c r="AS25">
        <v>1</v>
      </c>
      <c r="AV25">
        <v>1</v>
      </c>
      <c r="BB25" s="7"/>
      <c r="BC25" s="6">
        <v>2</v>
      </c>
      <c r="BE25">
        <v>2</v>
      </c>
      <c r="BF25">
        <v>2</v>
      </c>
      <c r="BG25">
        <v>2</v>
      </c>
      <c r="BI25">
        <v>1</v>
      </c>
      <c r="BK25">
        <v>2</v>
      </c>
      <c r="BL25">
        <v>2</v>
      </c>
      <c r="BM25">
        <v>2</v>
      </c>
      <c r="BO25">
        <v>1</v>
      </c>
      <c r="BP25">
        <v>1</v>
      </c>
      <c r="BR25" s="6"/>
      <c r="BU25" s="7"/>
    </row>
    <row r="26" spans="1:73" ht="38.25" x14ac:dyDescent="0.35">
      <c r="A26" s="352"/>
      <c r="B26" t="s">
        <v>569</v>
      </c>
      <c r="C26" s="378"/>
      <c r="D26" s="375"/>
      <c r="E26" s="58" t="s">
        <v>483</v>
      </c>
      <c r="F26" s="18" t="s">
        <v>570</v>
      </c>
      <c r="G26" s="18">
        <v>3</v>
      </c>
      <c r="H26" s="18">
        <v>4</v>
      </c>
      <c r="I26" s="18">
        <v>4</v>
      </c>
      <c r="J26" s="18" t="s">
        <v>571</v>
      </c>
      <c r="K26" s="43">
        <v>0</v>
      </c>
      <c r="L26" s="43">
        <v>0</v>
      </c>
      <c r="M26" s="43">
        <v>1</v>
      </c>
      <c r="N26" s="43">
        <v>1</v>
      </c>
      <c r="O26" s="43">
        <v>0</v>
      </c>
      <c r="P26" s="43">
        <v>0</v>
      </c>
      <c r="Q26" s="18">
        <v>0</v>
      </c>
      <c r="R26" s="18">
        <v>2</v>
      </c>
      <c r="S26" s="18">
        <v>0</v>
      </c>
      <c r="T26" s="18">
        <v>0</v>
      </c>
      <c r="U26" s="18">
        <v>0</v>
      </c>
      <c r="V26" s="18">
        <v>0</v>
      </c>
      <c r="W26" s="18">
        <v>2</v>
      </c>
      <c r="X26" s="18">
        <v>0</v>
      </c>
      <c r="Y26" s="6"/>
      <c r="Z26" s="7"/>
      <c r="AA26" s="6"/>
      <c r="AG26" s="6"/>
      <c r="AN26" s="7"/>
      <c r="AO26" s="6"/>
      <c r="AW26">
        <v>2</v>
      </c>
      <c r="BB26" s="7"/>
      <c r="BC26" s="6">
        <v>2</v>
      </c>
      <c r="BE26">
        <v>1</v>
      </c>
      <c r="BF26">
        <v>2</v>
      </c>
      <c r="BG26">
        <v>2</v>
      </c>
      <c r="BI26">
        <v>1</v>
      </c>
      <c r="BK26">
        <v>2</v>
      </c>
      <c r="BL26">
        <v>2</v>
      </c>
      <c r="BM26">
        <v>2</v>
      </c>
      <c r="BN26">
        <v>1</v>
      </c>
      <c r="BO26">
        <v>2</v>
      </c>
      <c r="BR26" s="6"/>
      <c r="BU26" s="7"/>
    </row>
    <row r="27" spans="1:73" ht="51" x14ac:dyDescent="0.35">
      <c r="A27" s="352"/>
      <c r="B27" t="s">
        <v>572</v>
      </c>
      <c r="C27" s="378"/>
      <c r="D27" s="375"/>
      <c r="E27" s="58" t="s">
        <v>485</v>
      </c>
      <c r="F27" s="18" t="s">
        <v>573</v>
      </c>
      <c r="G27" s="18">
        <v>3</v>
      </c>
      <c r="H27" s="18">
        <v>4</v>
      </c>
      <c r="I27" s="18">
        <v>4</v>
      </c>
      <c r="J27" s="18" t="s">
        <v>574</v>
      </c>
      <c r="K27" s="43">
        <v>1</v>
      </c>
      <c r="L27" s="43">
        <v>0</v>
      </c>
      <c r="M27" s="43">
        <v>1</v>
      </c>
      <c r="N27" s="43">
        <v>1</v>
      </c>
      <c r="O27" s="43">
        <v>0</v>
      </c>
      <c r="P27" s="43">
        <v>0</v>
      </c>
      <c r="Q27" s="18">
        <v>1</v>
      </c>
      <c r="R27" s="18">
        <v>2</v>
      </c>
      <c r="S27" s="18">
        <v>0</v>
      </c>
      <c r="T27" s="18">
        <v>0</v>
      </c>
      <c r="U27" s="18">
        <v>0</v>
      </c>
      <c r="V27" s="18">
        <v>0</v>
      </c>
      <c r="W27" s="18">
        <v>2</v>
      </c>
      <c r="X27" s="18">
        <v>0</v>
      </c>
      <c r="Y27" s="6"/>
      <c r="Z27" s="7"/>
      <c r="AA27" s="6"/>
      <c r="AG27" s="6"/>
      <c r="AN27" s="7"/>
      <c r="AO27" s="6">
        <v>1</v>
      </c>
      <c r="AP27">
        <v>1</v>
      </c>
      <c r="AY27">
        <v>2</v>
      </c>
      <c r="BB27" s="7"/>
      <c r="BC27" s="6">
        <v>2</v>
      </c>
      <c r="BE27">
        <v>1</v>
      </c>
      <c r="BF27">
        <v>2</v>
      </c>
      <c r="BG27">
        <v>2</v>
      </c>
      <c r="BI27">
        <v>1</v>
      </c>
      <c r="BK27">
        <v>2</v>
      </c>
      <c r="BL27">
        <v>2</v>
      </c>
      <c r="BM27">
        <v>2</v>
      </c>
      <c r="BN27">
        <v>1</v>
      </c>
      <c r="BO27">
        <v>2</v>
      </c>
      <c r="BR27" s="6"/>
      <c r="BU27" s="7"/>
    </row>
    <row r="28" spans="1:73" ht="41.1" customHeight="1" x14ac:dyDescent="0.35">
      <c r="A28" s="352"/>
      <c r="B28" t="s">
        <v>575</v>
      </c>
      <c r="C28" s="378"/>
      <c r="D28" s="375"/>
      <c r="E28" t="s">
        <v>484</v>
      </c>
      <c r="F28" s="18" t="s">
        <v>576</v>
      </c>
      <c r="G28" s="18">
        <v>2</v>
      </c>
      <c r="H28" s="18">
        <v>3</v>
      </c>
      <c r="I28" s="18">
        <v>1</v>
      </c>
      <c r="J28" s="53"/>
      <c r="K28" s="43">
        <v>1</v>
      </c>
      <c r="L28" s="43">
        <v>0</v>
      </c>
      <c r="M28" s="43">
        <v>1</v>
      </c>
      <c r="N28" s="43">
        <v>0</v>
      </c>
      <c r="O28" s="43">
        <v>0</v>
      </c>
      <c r="P28" s="43">
        <v>0</v>
      </c>
      <c r="Q28" s="18">
        <v>0</v>
      </c>
      <c r="R28" s="18">
        <v>0</v>
      </c>
      <c r="S28" s="18">
        <v>0</v>
      </c>
      <c r="T28" s="18">
        <v>2</v>
      </c>
      <c r="U28" s="18">
        <v>0</v>
      </c>
      <c r="V28" s="18">
        <v>0</v>
      </c>
      <c r="W28" s="18">
        <v>1</v>
      </c>
      <c r="X28" s="18">
        <v>0</v>
      </c>
      <c r="Y28" s="6"/>
      <c r="Z28" s="7"/>
      <c r="AA28" s="6">
        <v>2</v>
      </c>
      <c r="AG28" s="6"/>
      <c r="AN28" s="7"/>
      <c r="AO28" s="6"/>
      <c r="AX28">
        <v>2</v>
      </c>
      <c r="BB28" s="7"/>
      <c r="BC28" s="6">
        <v>1</v>
      </c>
      <c r="BF28">
        <v>1</v>
      </c>
      <c r="BG28">
        <v>2</v>
      </c>
      <c r="BH28">
        <v>2</v>
      </c>
      <c r="BI28">
        <v>1</v>
      </c>
      <c r="BL28">
        <v>2</v>
      </c>
      <c r="BM28">
        <v>2</v>
      </c>
      <c r="BN28">
        <v>1</v>
      </c>
      <c r="BO28">
        <v>1</v>
      </c>
      <c r="BR28" s="6"/>
      <c r="BU28" s="7"/>
    </row>
    <row r="29" spans="1:73" ht="38.25" x14ac:dyDescent="0.35">
      <c r="A29" s="352"/>
      <c r="B29" t="s">
        <v>577</v>
      </c>
      <c r="C29" s="379"/>
      <c r="D29" s="376"/>
      <c r="E29" s="9" t="s">
        <v>578</v>
      </c>
      <c r="F29" s="19" t="s">
        <v>579</v>
      </c>
      <c r="G29" s="19">
        <v>2</v>
      </c>
      <c r="H29" s="19">
        <v>3</v>
      </c>
      <c r="I29" s="19">
        <v>2</v>
      </c>
      <c r="J29" s="54" t="s">
        <v>580</v>
      </c>
      <c r="K29" s="44">
        <v>0</v>
      </c>
      <c r="L29" s="44">
        <v>0</v>
      </c>
      <c r="M29" s="44">
        <v>1</v>
      </c>
      <c r="N29" s="44">
        <v>0</v>
      </c>
      <c r="O29" s="44">
        <v>0</v>
      </c>
      <c r="P29" s="44">
        <v>0</v>
      </c>
      <c r="Q29" s="19">
        <v>0</v>
      </c>
      <c r="R29" s="19">
        <v>0</v>
      </c>
      <c r="S29" s="19">
        <v>0</v>
      </c>
      <c r="T29" s="19">
        <v>2</v>
      </c>
      <c r="U29" s="19">
        <v>0</v>
      </c>
      <c r="V29" s="19">
        <v>0</v>
      </c>
      <c r="W29" s="19">
        <v>0</v>
      </c>
      <c r="X29" s="19">
        <v>0</v>
      </c>
      <c r="Y29" s="8"/>
      <c r="Z29" s="10"/>
      <c r="AA29" s="8"/>
      <c r="AB29" s="9"/>
      <c r="AC29" s="9"/>
      <c r="AD29" s="9"/>
      <c r="AE29" s="9"/>
      <c r="AF29" s="9"/>
      <c r="AG29" s="8"/>
      <c r="AH29" s="9"/>
      <c r="AI29" s="9">
        <v>1</v>
      </c>
      <c r="AJ29" s="9"/>
      <c r="AK29" s="9"/>
      <c r="AL29" s="9"/>
      <c r="AM29" s="9"/>
      <c r="AN29" s="10"/>
      <c r="AO29" s="8"/>
      <c r="AP29" s="9"/>
      <c r="AQ29" s="9">
        <v>1</v>
      </c>
      <c r="AR29" s="9">
        <v>2</v>
      </c>
      <c r="AS29" s="9">
        <v>2</v>
      </c>
      <c r="AT29" s="9">
        <v>2</v>
      </c>
      <c r="AU29" s="9"/>
      <c r="AV29" s="9"/>
      <c r="AW29" s="9"/>
      <c r="AX29" s="9"/>
      <c r="AY29" s="9"/>
      <c r="AZ29" s="9"/>
      <c r="BA29" s="9"/>
      <c r="BB29" s="10"/>
      <c r="BC29" s="8">
        <v>2</v>
      </c>
      <c r="BD29" s="9"/>
      <c r="BE29" s="9">
        <v>1</v>
      </c>
      <c r="BF29" s="9"/>
      <c r="BG29" s="9">
        <v>2</v>
      </c>
      <c r="BH29" s="9">
        <v>2</v>
      </c>
      <c r="BI29" s="9">
        <v>2</v>
      </c>
      <c r="BJ29" s="9">
        <v>2</v>
      </c>
      <c r="BK29" s="9">
        <v>1</v>
      </c>
      <c r="BL29" s="9">
        <v>2</v>
      </c>
      <c r="BM29" s="9">
        <v>2</v>
      </c>
      <c r="BN29" s="9"/>
      <c r="BO29" s="9">
        <v>1</v>
      </c>
      <c r="BP29" s="9">
        <v>1</v>
      </c>
      <c r="BQ29" s="9"/>
      <c r="BR29" s="6"/>
      <c r="BU29" s="7"/>
    </row>
    <row r="30" spans="1:73" ht="25.5" x14ac:dyDescent="0.35">
      <c r="A30" s="352" t="s">
        <v>581</v>
      </c>
      <c r="B30" t="s">
        <v>582</v>
      </c>
      <c r="C30" s="356" t="s">
        <v>583</v>
      </c>
      <c r="D30" s="371" t="s">
        <v>584</v>
      </c>
      <c r="E30" s="72" t="s">
        <v>585</v>
      </c>
      <c r="F30" s="17" t="s">
        <v>586</v>
      </c>
      <c r="G30" s="17"/>
      <c r="H30" s="17"/>
      <c r="I30" s="17"/>
      <c r="J30" s="17"/>
      <c r="K30" s="42">
        <v>1</v>
      </c>
      <c r="L30" s="42">
        <v>2</v>
      </c>
      <c r="M30" s="42"/>
      <c r="N30" s="42"/>
      <c r="O30" s="42"/>
      <c r="P30" s="42"/>
      <c r="Q30" s="17"/>
      <c r="R30" s="17"/>
      <c r="S30" s="17"/>
      <c r="T30" s="17"/>
      <c r="U30" s="17"/>
      <c r="V30" s="17"/>
      <c r="W30" s="17"/>
      <c r="X30" s="17"/>
      <c r="Y30" s="14"/>
      <c r="Z30" s="15"/>
      <c r="AA30" s="14">
        <v>1</v>
      </c>
      <c r="AB30" s="13"/>
      <c r="AC30" s="13">
        <v>1</v>
      </c>
      <c r="AD30" s="13"/>
      <c r="AE30" s="13"/>
      <c r="AF30" s="13"/>
      <c r="AG30" s="14">
        <v>2</v>
      </c>
      <c r="AH30" s="13"/>
      <c r="AI30" s="13"/>
      <c r="AJ30" s="13">
        <v>1</v>
      </c>
      <c r="AK30" s="13"/>
      <c r="AL30" s="13"/>
      <c r="AM30" s="13"/>
      <c r="AN30" s="15"/>
      <c r="AO30" s="14"/>
      <c r="AP30" s="13">
        <v>1</v>
      </c>
      <c r="AQ30" s="13">
        <v>1</v>
      </c>
      <c r="AR30" s="13"/>
      <c r="AS30" s="13">
        <v>1</v>
      </c>
      <c r="AT30" s="13">
        <v>1</v>
      </c>
      <c r="AU30" s="13">
        <v>1</v>
      </c>
      <c r="AV30" s="13">
        <v>2</v>
      </c>
      <c r="AW30" s="13">
        <v>1</v>
      </c>
      <c r="AX30" s="13">
        <v>2</v>
      </c>
      <c r="AY30" s="13">
        <v>2</v>
      </c>
      <c r="AZ30" s="13"/>
      <c r="BA30" s="13"/>
      <c r="BB30" s="15"/>
      <c r="BC30" s="14">
        <v>2</v>
      </c>
      <c r="BD30" s="13">
        <v>1</v>
      </c>
      <c r="BE30" s="13"/>
      <c r="BF30" s="13"/>
      <c r="BG30" s="13">
        <v>1</v>
      </c>
      <c r="BH30" s="13">
        <v>2</v>
      </c>
      <c r="BI30" s="13">
        <v>2</v>
      </c>
      <c r="BJ30" s="13">
        <v>2</v>
      </c>
      <c r="BK30" s="13">
        <v>2</v>
      </c>
      <c r="BL30" s="13"/>
      <c r="BM30" s="13">
        <v>2</v>
      </c>
      <c r="BN30" s="13">
        <v>2</v>
      </c>
      <c r="BO30" s="13">
        <v>1</v>
      </c>
      <c r="BP30" s="13">
        <v>2</v>
      </c>
      <c r="BQ30" s="13"/>
      <c r="BR30" s="6"/>
      <c r="BU30" s="7"/>
    </row>
    <row r="31" spans="1:73" ht="25.5" x14ac:dyDescent="0.35">
      <c r="A31" s="352"/>
      <c r="B31" t="s">
        <v>587</v>
      </c>
      <c r="C31" s="357"/>
      <c r="D31" s="372"/>
      <c r="E31" s="73" t="s">
        <v>588</v>
      </c>
      <c r="F31" s="18" t="s">
        <v>589</v>
      </c>
      <c r="G31" s="18"/>
      <c r="H31" s="18"/>
      <c r="I31" s="18"/>
      <c r="J31" s="18"/>
      <c r="K31" s="43">
        <v>1</v>
      </c>
      <c r="L31" s="43">
        <v>2</v>
      </c>
      <c r="M31" s="43"/>
      <c r="N31" s="43"/>
      <c r="O31" s="43"/>
      <c r="P31" s="43"/>
      <c r="Q31" s="18"/>
      <c r="R31" s="18"/>
      <c r="S31" s="18"/>
      <c r="T31" s="18"/>
      <c r="U31" s="18"/>
      <c r="V31" s="18"/>
      <c r="W31" s="18"/>
      <c r="X31" s="18"/>
      <c r="Y31" s="6"/>
      <c r="Z31" s="7"/>
      <c r="AA31" s="6"/>
      <c r="AG31" s="6"/>
      <c r="AH31">
        <v>2</v>
      </c>
      <c r="AI31">
        <v>1</v>
      </c>
      <c r="AJ31">
        <v>1</v>
      </c>
      <c r="AM31">
        <v>2</v>
      </c>
      <c r="AN31" s="7"/>
      <c r="AO31" s="6"/>
      <c r="AU31">
        <v>1</v>
      </c>
      <c r="AV31">
        <v>1</v>
      </c>
      <c r="AW31">
        <v>1</v>
      </c>
      <c r="AX31">
        <v>1</v>
      </c>
      <c r="AY31">
        <v>1</v>
      </c>
      <c r="BA31">
        <v>1</v>
      </c>
      <c r="BB31" s="7"/>
      <c r="BC31" s="6">
        <v>1</v>
      </c>
      <c r="BD31">
        <v>1</v>
      </c>
      <c r="BG31">
        <v>1</v>
      </c>
      <c r="BH31">
        <v>2</v>
      </c>
      <c r="BI31">
        <v>1</v>
      </c>
      <c r="BJ31">
        <v>2</v>
      </c>
      <c r="BK31">
        <v>2</v>
      </c>
      <c r="BL31">
        <v>2</v>
      </c>
      <c r="BM31">
        <v>2</v>
      </c>
      <c r="BN31">
        <v>1</v>
      </c>
      <c r="BO31">
        <v>1</v>
      </c>
      <c r="BP31">
        <v>2</v>
      </c>
      <c r="BR31" s="6"/>
      <c r="BU31" s="7"/>
    </row>
    <row r="32" spans="1:73" ht="38.25" x14ac:dyDescent="0.35">
      <c r="A32" s="352"/>
      <c r="B32" t="s">
        <v>590</v>
      </c>
      <c r="C32" s="357"/>
      <c r="D32" s="372"/>
      <c r="E32" s="73" t="s">
        <v>90</v>
      </c>
      <c r="F32" s="18" t="s">
        <v>591</v>
      </c>
      <c r="G32" s="18"/>
      <c r="H32" s="18"/>
      <c r="I32" s="18"/>
      <c r="J32" s="18"/>
      <c r="K32" s="43">
        <v>2</v>
      </c>
      <c r="L32" s="43">
        <v>2</v>
      </c>
      <c r="M32" s="43"/>
      <c r="N32" s="43"/>
      <c r="O32" s="43"/>
      <c r="P32" s="43"/>
      <c r="Q32" s="18"/>
      <c r="R32" s="18"/>
      <c r="S32" s="18"/>
      <c r="T32" s="18"/>
      <c r="U32" s="18"/>
      <c r="V32" s="18"/>
      <c r="W32" s="18"/>
      <c r="X32" s="18"/>
      <c r="Y32" s="6"/>
      <c r="Z32" s="7"/>
      <c r="AA32" s="6"/>
      <c r="AG32" s="6"/>
      <c r="AI32">
        <v>2</v>
      </c>
      <c r="AL32">
        <v>1</v>
      </c>
      <c r="AN32" s="7">
        <v>1</v>
      </c>
      <c r="AO32" s="6"/>
      <c r="AR32">
        <v>2</v>
      </c>
      <c r="AS32">
        <v>2</v>
      </c>
      <c r="AU32">
        <v>1</v>
      </c>
      <c r="BB32" s="7"/>
      <c r="BC32" s="6">
        <v>1</v>
      </c>
      <c r="BD32">
        <v>2</v>
      </c>
      <c r="BE32">
        <v>1</v>
      </c>
      <c r="BF32">
        <v>1</v>
      </c>
      <c r="BG32">
        <v>1</v>
      </c>
      <c r="BH32">
        <v>1</v>
      </c>
      <c r="BI32">
        <v>1</v>
      </c>
      <c r="BJ32">
        <v>1</v>
      </c>
      <c r="BK32">
        <v>1</v>
      </c>
      <c r="BL32">
        <v>1</v>
      </c>
      <c r="BM32">
        <v>2</v>
      </c>
      <c r="BN32">
        <v>1</v>
      </c>
      <c r="BO32">
        <v>1</v>
      </c>
      <c r="BP32">
        <v>1</v>
      </c>
      <c r="BR32" s="6"/>
      <c r="BU32" s="7"/>
    </row>
    <row r="33" spans="1:73" ht="25.5" x14ac:dyDescent="0.35">
      <c r="A33" s="352"/>
      <c r="B33" t="s">
        <v>592</v>
      </c>
      <c r="C33" s="357"/>
      <c r="D33" s="372"/>
      <c r="E33" s="73" t="s">
        <v>593</v>
      </c>
      <c r="F33" s="18" t="s">
        <v>594</v>
      </c>
      <c r="G33" s="18"/>
      <c r="H33" s="18"/>
      <c r="I33" s="18"/>
      <c r="J33" s="18"/>
      <c r="K33" s="43">
        <v>0</v>
      </c>
      <c r="L33" s="43">
        <v>2</v>
      </c>
      <c r="M33" s="43"/>
      <c r="N33" s="43"/>
      <c r="O33" s="43"/>
      <c r="P33" s="43"/>
      <c r="Q33" s="18"/>
      <c r="R33" s="18"/>
      <c r="S33" s="18"/>
      <c r="T33" s="18"/>
      <c r="U33" s="18"/>
      <c r="V33" s="18"/>
      <c r="W33" s="18"/>
      <c r="X33" s="18"/>
      <c r="Y33" s="6"/>
      <c r="Z33" s="7"/>
      <c r="AA33" s="6"/>
      <c r="AG33" s="6">
        <v>1</v>
      </c>
      <c r="AH33">
        <v>1</v>
      </c>
      <c r="AL33">
        <v>2</v>
      </c>
      <c r="AN33" s="7"/>
      <c r="AO33" s="6"/>
      <c r="AQ33">
        <v>1</v>
      </c>
      <c r="AR33">
        <v>1</v>
      </c>
      <c r="AS33">
        <v>1</v>
      </c>
      <c r="AT33">
        <v>1</v>
      </c>
      <c r="AU33">
        <v>1</v>
      </c>
      <c r="AV33">
        <v>1</v>
      </c>
      <c r="AW33">
        <v>1</v>
      </c>
      <c r="BB33" s="7"/>
      <c r="BC33" s="6"/>
      <c r="BE33">
        <v>1</v>
      </c>
      <c r="BF33">
        <v>1</v>
      </c>
      <c r="BG33">
        <v>1</v>
      </c>
      <c r="BH33">
        <v>2</v>
      </c>
      <c r="BI33">
        <v>2</v>
      </c>
      <c r="BJ33">
        <v>1</v>
      </c>
      <c r="BK33">
        <v>2</v>
      </c>
      <c r="BM33">
        <v>2</v>
      </c>
      <c r="BN33">
        <v>2</v>
      </c>
      <c r="BO33">
        <v>1</v>
      </c>
      <c r="BP33">
        <v>1</v>
      </c>
      <c r="BR33" s="6"/>
      <c r="BU33" s="7"/>
    </row>
    <row r="34" spans="1:73" ht="38.25" x14ac:dyDescent="0.35">
      <c r="A34" s="352"/>
      <c r="B34" t="s">
        <v>595</v>
      </c>
      <c r="C34" s="357"/>
      <c r="D34" s="372"/>
      <c r="E34" s="73" t="s">
        <v>596</v>
      </c>
      <c r="F34" s="18" t="s">
        <v>597</v>
      </c>
      <c r="G34" s="18"/>
      <c r="H34" s="18"/>
      <c r="I34" s="18"/>
      <c r="J34" s="18"/>
      <c r="K34" s="43">
        <v>2</v>
      </c>
      <c r="L34" s="43">
        <v>1</v>
      </c>
      <c r="M34" s="43"/>
      <c r="N34" s="43"/>
      <c r="O34" s="43"/>
      <c r="P34" s="43"/>
      <c r="Q34" s="18"/>
      <c r="R34" s="18"/>
      <c r="S34" s="18"/>
      <c r="T34" s="18"/>
      <c r="U34" s="18"/>
      <c r="V34" s="18"/>
      <c r="W34" s="18"/>
      <c r="X34" s="18"/>
      <c r="Y34" s="6"/>
      <c r="Z34" s="7"/>
      <c r="AA34" s="6"/>
      <c r="AB34">
        <v>2</v>
      </c>
      <c r="AC34">
        <v>1</v>
      </c>
      <c r="AD34">
        <v>2</v>
      </c>
      <c r="AE34">
        <v>2</v>
      </c>
      <c r="AF34">
        <v>2</v>
      </c>
      <c r="AG34" s="6"/>
      <c r="AL34">
        <v>1</v>
      </c>
      <c r="AN34" s="7"/>
      <c r="AO34" s="6">
        <v>2</v>
      </c>
      <c r="AP34">
        <v>1</v>
      </c>
      <c r="AU34">
        <v>1</v>
      </c>
      <c r="AX34">
        <v>1</v>
      </c>
      <c r="AZ34">
        <v>1</v>
      </c>
      <c r="BA34">
        <v>1</v>
      </c>
      <c r="BB34" s="7">
        <v>1</v>
      </c>
      <c r="BC34" s="6">
        <v>1</v>
      </c>
      <c r="BE34">
        <v>1</v>
      </c>
      <c r="BF34">
        <v>1</v>
      </c>
      <c r="BG34">
        <v>1</v>
      </c>
      <c r="BH34">
        <v>1</v>
      </c>
      <c r="BI34">
        <v>1</v>
      </c>
      <c r="BJ34">
        <v>1</v>
      </c>
      <c r="BL34">
        <v>1</v>
      </c>
      <c r="BM34">
        <v>1</v>
      </c>
      <c r="BN34">
        <v>1</v>
      </c>
      <c r="BO34">
        <v>1</v>
      </c>
      <c r="BP34">
        <v>2</v>
      </c>
      <c r="BR34" s="6"/>
      <c r="BU34" s="7"/>
    </row>
    <row r="35" spans="1:73" ht="25.5" x14ac:dyDescent="0.35">
      <c r="A35" s="352"/>
      <c r="B35" t="s">
        <v>598</v>
      </c>
      <c r="C35" s="357"/>
      <c r="D35" s="372"/>
      <c r="E35" s="73" t="s">
        <v>497</v>
      </c>
      <c r="F35" s="18" t="s">
        <v>599</v>
      </c>
      <c r="G35" s="18"/>
      <c r="H35" s="18"/>
      <c r="I35" s="18"/>
      <c r="J35" s="18"/>
      <c r="K35" s="43">
        <v>0</v>
      </c>
      <c r="L35" s="43">
        <v>0</v>
      </c>
      <c r="M35" s="43"/>
      <c r="N35" s="43"/>
      <c r="O35" s="43"/>
      <c r="P35" s="43"/>
      <c r="Q35" s="18"/>
      <c r="R35" s="18"/>
      <c r="S35" s="18"/>
      <c r="T35" s="18"/>
      <c r="U35" s="18"/>
      <c r="V35" s="18"/>
      <c r="W35" s="18"/>
      <c r="X35" s="18"/>
      <c r="Y35" s="6">
        <v>2</v>
      </c>
      <c r="Z35" s="7">
        <v>2</v>
      </c>
      <c r="AA35" s="6"/>
      <c r="AG35" s="6"/>
      <c r="AI35">
        <v>1</v>
      </c>
      <c r="AJ35">
        <v>1</v>
      </c>
      <c r="AK35">
        <v>1</v>
      </c>
      <c r="AN35" s="7"/>
      <c r="AO35" s="6"/>
      <c r="AQ35">
        <v>2</v>
      </c>
      <c r="AU35">
        <v>2</v>
      </c>
      <c r="AV35">
        <v>1</v>
      </c>
      <c r="BB35" s="7"/>
      <c r="BC35" s="6">
        <v>2</v>
      </c>
      <c r="BE35">
        <v>2</v>
      </c>
      <c r="BF35">
        <v>2</v>
      </c>
      <c r="BG35">
        <v>2</v>
      </c>
      <c r="BH35">
        <v>1</v>
      </c>
      <c r="BI35">
        <v>2</v>
      </c>
      <c r="BJ35">
        <v>1</v>
      </c>
      <c r="BK35">
        <v>2</v>
      </c>
      <c r="BL35">
        <v>2</v>
      </c>
      <c r="BM35">
        <v>2</v>
      </c>
      <c r="BN35">
        <v>1</v>
      </c>
      <c r="BO35">
        <v>2</v>
      </c>
      <c r="BR35" s="6"/>
      <c r="BU35" s="7"/>
    </row>
    <row r="36" spans="1:73" ht="51" x14ac:dyDescent="0.35">
      <c r="A36" s="352"/>
      <c r="B36" t="s">
        <v>600</v>
      </c>
      <c r="C36" s="357"/>
      <c r="D36" s="372"/>
      <c r="E36" s="73" t="s">
        <v>93</v>
      </c>
      <c r="F36" s="18" t="s">
        <v>94</v>
      </c>
      <c r="G36" s="18"/>
      <c r="H36" s="18"/>
      <c r="I36" s="18"/>
      <c r="J36" s="18"/>
      <c r="K36" s="43">
        <v>1</v>
      </c>
      <c r="L36" s="43">
        <v>2</v>
      </c>
      <c r="M36" s="43"/>
      <c r="N36" s="43"/>
      <c r="O36" s="43"/>
      <c r="P36" s="43"/>
      <c r="Q36" s="18"/>
      <c r="R36" s="18"/>
      <c r="S36" s="18"/>
      <c r="T36" s="18"/>
      <c r="U36" s="18"/>
      <c r="V36" s="18"/>
      <c r="W36" s="18"/>
      <c r="X36" s="18"/>
      <c r="Y36" s="6"/>
      <c r="Z36" s="7"/>
      <c r="AA36" s="6"/>
      <c r="AF36">
        <v>1</v>
      </c>
      <c r="AG36" s="6"/>
      <c r="AL36">
        <v>2</v>
      </c>
      <c r="AN36" s="7"/>
      <c r="AO36" s="6">
        <v>1</v>
      </c>
      <c r="AP36">
        <v>1</v>
      </c>
      <c r="AQ36">
        <v>1</v>
      </c>
      <c r="AR36">
        <v>1</v>
      </c>
      <c r="AS36">
        <v>1</v>
      </c>
      <c r="AT36">
        <v>1</v>
      </c>
      <c r="AV36">
        <v>1</v>
      </c>
      <c r="AW36">
        <v>2</v>
      </c>
      <c r="AY36">
        <v>1</v>
      </c>
      <c r="AZ36">
        <v>1</v>
      </c>
      <c r="BA36">
        <v>1</v>
      </c>
      <c r="BB36" s="7">
        <v>1</v>
      </c>
      <c r="BC36" s="6">
        <v>1</v>
      </c>
      <c r="BE36">
        <v>1</v>
      </c>
      <c r="BF36">
        <v>1</v>
      </c>
      <c r="BG36">
        <v>1</v>
      </c>
      <c r="BH36">
        <v>2</v>
      </c>
      <c r="BI36">
        <v>1</v>
      </c>
      <c r="BK36">
        <v>2</v>
      </c>
      <c r="BL36">
        <v>2</v>
      </c>
      <c r="BN36">
        <v>1</v>
      </c>
      <c r="BO36">
        <v>1</v>
      </c>
      <c r="BP36">
        <v>1</v>
      </c>
      <c r="BR36" s="6"/>
      <c r="BU36" s="7"/>
    </row>
    <row r="37" spans="1:73" ht="38.25" x14ac:dyDescent="0.35">
      <c r="A37" s="352"/>
      <c r="B37" t="s">
        <v>601</v>
      </c>
      <c r="C37" s="357"/>
      <c r="D37" s="372"/>
      <c r="E37" s="73" t="s">
        <v>96</v>
      </c>
      <c r="F37" s="18" t="s">
        <v>97</v>
      </c>
      <c r="G37" s="18"/>
      <c r="H37" s="18"/>
      <c r="I37" s="18"/>
      <c r="J37" s="18"/>
      <c r="K37" s="43">
        <v>1</v>
      </c>
      <c r="L37" s="43">
        <v>0</v>
      </c>
      <c r="M37" s="43"/>
      <c r="N37" s="43"/>
      <c r="O37" s="43"/>
      <c r="P37" s="43"/>
      <c r="Q37" s="18"/>
      <c r="R37" s="18"/>
      <c r="S37" s="18"/>
      <c r="T37" s="18"/>
      <c r="U37" s="18"/>
      <c r="V37" s="18"/>
      <c r="W37" s="18"/>
      <c r="X37" s="18"/>
      <c r="Y37" s="6"/>
      <c r="Z37" s="7"/>
      <c r="AA37" s="6"/>
      <c r="AG37" s="6"/>
      <c r="AK37">
        <v>2</v>
      </c>
      <c r="AN37" s="7"/>
      <c r="AO37" s="6"/>
      <c r="AR37">
        <v>1</v>
      </c>
      <c r="AS37">
        <v>1</v>
      </c>
      <c r="AT37">
        <v>1</v>
      </c>
      <c r="AV37">
        <v>1</v>
      </c>
      <c r="AW37">
        <v>2</v>
      </c>
      <c r="AX37">
        <v>1</v>
      </c>
      <c r="AY37">
        <v>1</v>
      </c>
      <c r="AZ37">
        <v>1</v>
      </c>
      <c r="BA37">
        <v>1</v>
      </c>
      <c r="BB37" s="7"/>
      <c r="BC37" s="6">
        <v>1</v>
      </c>
      <c r="BE37">
        <v>1</v>
      </c>
      <c r="BF37">
        <v>1</v>
      </c>
      <c r="BG37">
        <v>1</v>
      </c>
      <c r="BH37">
        <v>2</v>
      </c>
      <c r="BI37">
        <v>1</v>
      </c>
      <c r="BK37">
        <v>2</v>
      </c>
      <c r="BL37">
        <v>2</v>
      </c>
      <c r="BN37">
        <v>1</v>
      </c>
      <c r="BO37">
        <v>1</v>
      </c>
      <c r="BP37">
        <v>1</v>
      </c>
      <c r="BR37" s="6"/>
      <c r="BU37" s="7"/>
    </row>
    <row r="38" spans="1:73" ht="38.25" x14ac:dyDescent="0.35">
      <c r="A38" s="352"/>
      <c r="B38" t="s">
        <v>602</v>
      </c>
      <c r="C38" s="358"/>
      <c r="D38" s="373"/>
      <c r="E38" s="74" t="s">
        <v>92</v>
      </c>
      <c r="F38" s="19" t="s">
        <v>603</v>
      </c>
      <c r="G38" s="19"/>
      <c r="H38" s="19"/>
      <c r="I38" s="19"/>
      <c r="J38" s="19"/>
      <c r="K38" s="44">
        <v>1</v>
      </c>
      <c r="L38" s="44">
        <v>2</v>
      </c>
      <c r="M38" s="44"/>
      <c r="N38" s="44"/>
      <c r="O38" s="44"/>
      <c r="P38" s="44"/>
      <c r="Q38" s="19"/>
      <c r="R38" s="19"/>
      <c r="S38" s="19"/>
      <c r="T38" s="19"/>
      <c r="U38" s="19"/>
      <c r="V38" s="19"/>
      <c r="W38" s="19"/>
      <c r="X38" s="19"/>
      <c r="Y38" s="8"/>
      <c r="Z38" s="10"/>
      <c r="AA38" s="8"/>
      <c r="AB38" s="9"/>
      <c r="AC38" s="9">
        <v>2</v>
      </c>
      <c r="AD38" s="9"/>
      <c r="AE38" s="9"/>
      <c r="AF38" s="9"/>
      <c r="AG38" s="8">
        <v>2</v>
      </c>
      <c r="AH38" s="9">
        <v>2</v>
      </c>
      <c r="AI38" s="9">
        <v>1</v>
      </c>
      <c r="AJ38" s="9">
        <v>2</v>
      </c>
      <c r="AK38" s="9">
        <v>1</v>
      </c>
      <c r="AL38" s="9">
        <v>1</v>
      </c>
      <c r="AM38" s="9"/>
      <c r="AN38" s="10"/>
      <c r="AO38" s="8"/>
      <c r="AP38" s="9">
        <v>1</v>
      </c>
      <c r="AQ38" s="9"/>
      <c r="AR38" s="9"/>
      <c r="AS38" s="9"/>
      <c r="AT38" s="9"/>
      <c r="AU38" s="9"/>
      <c r="AV38" s="9"/>
      <c r="AW38" s="9"/>
      <c r="AX38" s="9"/>
      <c r="AY38" s="9"/>
      <c r="AZ38" s="9"/>
      <c r="BA38" s="9"/>
      <c r="BB38" s="10"/>
      <c r="BC38" s="8">
        <v>2</v>
      </c>
      <c r="BD38" s="9">
        <v>1</v>
      </c>
      <c r="BE38" s="9">
        <v>2</v>
      </c>
      <c r="BF38" s="9">
        <v>2</v>
      </c>
      <c r="BG38" s="9">
        <v>2</v>
      </c>
      <c r="BH38" s="9">
        <v>1</v>
      </c>
      <c r="BI38" s="9">
        <v>2</v>
      </c>
      <c r="BJ38" s="9">
        <v>1</v>
      </c>
      <c r="BK38" s="9">
        <v>2</v>
      </c>
      <c r="BL38" s="9">
        <v>1</v>
      </c>
      <c r="BM38" s="9">
        <v>2</v>
      </c>
      <c r="BN38" s="9">
        <v>1</v>
      </c>
      <c r="BO38" s="9">
        <v>1</v>
      </c>
      <c r="BP38" s="9">
        <v>1</v>
      </c>
      <c r="BQ38" s="9"/>
      <c r="BR38" s="6"/>
      <c r="BU38" s="7"/>
    </row>
    <row r="39" spans="1:73" s="2" customFormat="1" ht="51" x14ac:dyDescent="0.35">
      <c r="A39" s="352" t="s">
        <v>604</v>
      </c>
      <c r="B39" s="2" t="s">
        <v>605</v>
      </c>
      <c r="C39" s="353" t="s">
        <v>606</v>
      </c>
      <c r="D39" s="374" t="s">
        <v>607</v>
      </c>
      <c r="E39" s="59" t="s">
        <v>81</v>
      </c>
      <c r="F39" s="17" t="s">
        <v>608</v>
      </c>
      <c r="G39" s="17">
        <v>4</v>
      </c>
      <c r="H39" s="17">
        <v>5</v>
      </c>
      <c r="I39" s="17">
        <v>4</v>
      </c>
      <c r="J39" s="49" t="s">
        <v>609</v>
      </c>
      <c r="K39" s="42">
        <v>2</v>
      </c>
      <c r="L39" s="42">
        <v>2</v>
      </c>
      <c r="M39" s="42">
        <v>1</v>
      </c>
      <c r="N39" s="42">
        <v>0</v>
      </c>
      <c r="O39" s="42">
        <v>2</v>
      </c>
      <c r="P39" s="42">
        <v>0</v>
      </c>
      <c r="Q39" s="17">
        <v>0</v>
      </c>
      <c r="R39" s="17">
        <v>0</v>
      </c>
      <c r="S39" s="17">
        <v>0</v>
      </c>
      <c r="T39" s="17">
        <v>0</v>
      </c>
      <c r="U39" s="17">
        <v>1</v>
      </c>
      <c r="V39" s="17">
        <v>1</v>
      </c>
      <c r="W39" s="17">
        <v>0</v>
      </c>
      <c r="X39" s="17">
        <v>0</v>
      </c>
      <c r="Y39" s="25">
        <v>1</v>
      </c>
      <c r="Z39" s="26">
        <v>1</v>
      </c>
      <c r="AA39" s="25">
        <v>1</v>
      </c>
      <c r="AB39" s="24">
        <v>1</v>
      </c>
      <c r="AC39" s="24">
        <v>2</v>
      </c>
      <c r="AD39" s="24">
        <v>1</v>
      </c>
      <c r="AE39" s="24"/>
      <c r="AF39" s="24"/>
      <c r="AG39" s="25">
        <v>2</v>
      </c>
      <c r="AH39" s="24">
        <v>2</v>
      </c>
      <c r="AI39" s="24"/>
      <c r="AJ39" s="24">
        <v>1</v>
      </c>
      <c r="AK39" s="24"/>
      <c r="AL39" s="24"/>
      <c r="AM39" s="24"/>
      <c r="AN39" s="26"/>
      <c r="AO39" s="25"/>
      <c r="AP39" s="24">
        <v>1</v>
      </c>
      <c r="AQ39" s="24"/>
      <c r="AR39" s="24"/>
      <c r="AS39" s="24"/>
      <c r="AT39" s="24"/>
      <c r="AU39" s="24"/>
      <c r="AV39" s="24"/>
      <c r="AW39" s="24"/>
      <c r="AX39" s="24"/>
      <c r="AY39" s="24"/>
      <c r="AZ39" s="24"/>
      <c r="BA39" s="24"/>
      <c r="BB39" s="26"/>
      <c r="BC39" s="25">
        <v>1</v>
      </c>
      <c r="BD39" s="24">
        <v>1</v>
      </c>
      <c r="BE39" s="24"/>
      <c r="BF39" s="24"/>
      <c r="BG39" s="24">
        <v>1</v>
      </c>
      <c r="BH39" s="24">
        <v>1</v>
      </c>
      <c r="BI39" s="24">
        <v>2</v>
      </c>
      <c r="BJ39" s="24">
        <v>2</v>
      </c>
      <c r="BK39" s="24">
        <v>1</v>
      </c>
      <c r="BL39" s="24">
        <v>2</v>
      </c>
      <c r="BM39" s="24">
        <v>2</v>
      </c>
      <c r="BN39" s="24">
        <v>2</v>
      </c>
      <c r="BO39" s="24"/>
      <c r="BP39" s="24">
        <v>2</v>
      </c>
      <c r="BQ39" s="24"/>
      <c r="BR39" s="30"/>
      <c r="BU39" s="31"/>
    </row>
    <row r="40" spans="1:73" ht="25.5" x14ac:dyDescent="0.35">
      <c r="A40" s="352"/>
      <c r="B40" t="s">
        <v>610</v>
      </c>
      <c r="C40" s="354"/>
      <c r="D40" s="375"/>
      <c r="E40" s="58" t="s">
        <v>611</v>
      </c>
      <c r="F40" s="18" t="s">
        <v>612</v>
      </c>
      <c r="G40" s="18">
        <v>3</v>
      </c>
      <c r="H40" s="18">
        <v>3</v>
      </c>
      <c r="I40" s="18">
        <v>3</v>
      </c>
      <c r="J40" s="18" t="s">
        <v>613</v>
      </c>
      <c r="K40" s="43">
        <v>0</v>
      </c>
      <c r="L40" s="43">
        <v>2</v>
      </c>
      <c r="M40" s="43">
        <v>1</v>
      </c>
      <c r="N40" s="43">
        <v>0</v>
      </c>
      <c r="O40" s="43">
        <v>1</v>
      </c>
      <c r="P40" s="43">
        <v>0</v>
      </c>
      <c r="Q40" s="18">
        <v>0</v>
      </c>
      <c r="R40" s="18">
        <v>0</v>
      </c>
      <c r="S40" s="18">
        <v>0</v>
      </c>
      <c r="T40" s="18">
        <v>1</v>
      </c>
      <c r="U40" s="18">
        <v>1</v>
      </c>
      <c r="V40" s="18">
        <v>1</v>
      </c>
      <c r="W40" s="18">
        <v>0</v>
      </c>
      <c r="X40" s="18">
        <v>0</v>
      </c>
      <c r="Y40" s="6"/>
      <c r="Z40" s="7"/>
      <c r="AA40" s="6"/>
      <c r="AG40" s="6"/>
      <c r="AN40" s="7"/>
      <c r="AO40" s="6">
        <v>1</v>
      </c>
      <c r="BB40" s="7"/>
      <c r="BC40" s="6"/>
      <c r="BD40">
        <v>1</v>
      </c>
      <c r="BI40">
        <v>2</v>
      </c>
      <c r="BJ40">
        <v>2</v>
      </c>
      <c r="BK40">
        <v>1</v>
      </c>
      <c r="BM40">
        <v>2</v>
      </c>
      <c r="BP40">
        <v>2</v>
      </c>
      <c r="BR40" s="6"/>
      <c r="BU40" s="7"/>
    </row>
    <row r="41" spans="1:73" ht="25.5" x14ac:dyDescent="0.35">
      <c r="A41" s="352"/>
      <c r="B41" t="s">
        <v>614</v>
      </c>
      <c r="C41" s="354"/>
      <c r="D41" s="375"/>
      <c r="E41" t="s">
        <v>580</v>
      </c>
      <c r="F41" s="18" t="s">
        <v>615</v>
      </c>
      <c r="G41" s="18">
        <v>3</v>
      </c>
      <c r="H41" s="18">
        <v>3</v>
      </c>
      <c r="I41" s="18">
        <v>2</v>
      </c>
      <c r="J41" s="53" t="s">
        <v>578</v>
      </c>
      <c r="K41" s="43">
        <v>0</v>
      </c>
      <c r="L41" s="43">
        <v>0</v>
      </c>
      <c r="M41" s="43">
        <v>0</v>
      </c>
      <c r="N41" s="43">
        <v>0</v>
      </c>
      <c r="O41" s="43">
        <v>0</v>
      </c>
      <c r="P41" s="43">
        <v>0</v>
      </c>
      <c r="Q41" s="18">
        <v>0</v>
      </c>
      <c r="R41" s="18">
        <v>0</v>
      </c>
      <c r="S41" s="18">
        <v>0</v>
      </c>
      <c r="T41" s="18">
        <v>2</v>
      </c>
      <c r="U41" s="18">
        <v>0</v>
      </c>
      <c r="V41" s="18">
        <v>0</v>
      </c>
      <c r="W41" s="18">
        <v>0</v>
      </c>
      <c r="X41" s="18">
        <v>2</v>
      </c>
      <c r="Y41" s="6">
        <v>1</v>
      </c>
      <c r="Z41" s="7">
        <v>2</v>
      </c>
      <c r="AA41" s="6"/>
      <c r="AG41" s="6"/>
      <c r="AK41">
        <v>1</v>
      </c>
      <c r="AL41">
        <v>1</v>
      </c>
      <c r="AN41" s="7"/>
      <c r="AO41" s="6"/>
      <c r="BB41" s="7"/>
      <c r="BC41" s="6">
        <v>1</v>
      </c>
      <c r="BD41">
        <v>1</v>
      </c>
      <c r="BG41">
        <v>2</v>
      </c>
      <c r="BH41">
        <v>2</v>
      </c>
      <c r="BI41">
        <v>1</v>
      </c>
      <c r="BJ41">
        <v>1</v>
      </c>
      <c r="BK41">
        <v>1</v>
      </c>
      <c r="BL41">
        <v>1</v>
      </c>
      <c r="BM41">
        <v>1</v>
      </c>
      <c r="BN41">
        <v>1</v>
      </c>
      <c r="BO41">
        <v>2</v>
      </c>
      <c r="BP41">
        <v>2</v>
      </c>
      <c r="BR41" s="6"/>
      <c r="BU41" s="7"/>
    </row>
    <row r="42" spans="1:73" ht="102.75" customHeight="1" x14ac:dyDescent="0.35">
      <c r="A42" s="352"/>
      <c r="B42" t="s">
        <v>616</v>
      </c>
      <c r="C42" s="355"/>
      <c r="D42" s="376"/>
      <c r="E42" s="60" t="s">
        <v>617</v>
      </c>
      <c r="F42" s="19" t="s">
        <v>618</v>
      </c>
      <c r="G42" s="19">
        <v>3</v>
      </c>
      <c r="H42" s="19">
        <v>3</v>
      </c>
      <c r="I42" s="19">
        <v>3</v>
      </c>
      <c r="J42" s="19" t="s">
        <v>619</v>
      </c>
      <c r="K42" s="44">
        <v>1</v>
      </c>
      <c r="L42" s="44">
        <v>1</v>
      </c>
      <c r="M42" s="44">
        <v>1</v>
      </c>
      <c r="N42" s="44">
        <v>1</v>
      </c>
      <c r="O42" s="44">
        <v>1</v>
      </c>
      <c r="P42" s="44">
        <v>0</v>
      </c>
      <c r="Q42" s="19">
        <v>2</v>
      </c>
      <c r="R42" s="19">
        <v>2</v>
      </c>
      <c r="S42" s="19">
        <v>0</v>
      </c>
      <c r="T42" s="19">
        <v>0</v>
      </c>
      <c r="U42" s="19">
        <v>0</v>
      </c>
      <c r="V42" s="19">
        <v>0</v>
      </c>
      <c r="W42" s="19">
        <v>0</v>
      </c>
      <c r="X42" s="19">
        <v>0</v>
      </c>
      <c r="Y42" s="8">
        <v>2</v>
      </c>
      <c r="Z42" s="10">
        <v>2</v>
      </c>
      <c r="AA42" s="8"/>
      <c r="AB42" s="9"/>
      <c r="AC42" s="9"/>
      <c r="AD42" s="9"/>
      <c r="AE42" s="9">
        <v>2</v>
      </c>
      <c r="AF42" s="9"/>
      <c r="AG42" s="8"/>
      <c r="AH42" s="9"/>
      <c r="AI42" s="9"/>
      <c r="AJ42" s="9"/>
      <c r="AK42" s="9"/>
      <c r="AL42" s="9"/>
      <c r="AM42" s="9"/>
      <c r="AN42" s="10">
        <v>2</v>
      </c>
      <c r="AO42" s="8">
        <v>1</v>
      </c>
      <c r="AP42" s="9">
        <v>1</v>
      </c>
      <c r="AQ42" s="9">
        <v>1</v>
      </c>
      <c r="AR42" s="9"/>
      <c r="AS42" s="9"/>
      <c r="AT42" s="9"/>
      <c r="AU42" s="9"/>
      <c r="AV42" s="9"/>
      <c r="AW42" s="9"/>
      <c r="AX42" s="9"/>
      <c r="AY42" s="9"/>
      <c r="AZ42" s="9"/>
      <c r="BA42" s="9"/>
      <c r="BB42" s="10"/>
      <c r="BC42" s="8">
        <v>1</v>
      </c>
      <c r="BD42" s="9">
        <v>1</v>
      </c>
      <c r="BE42" s="9"/>
      <c r="BF42" s="9">
        <v>1</v>
      </c>
      <c r="BG42" s="9">
        <v>2</v>
      </c>
      <c r="BH42" s="9">
        <v>2</v>
      </c>
      <c r="BI42" s="9">
        <v>1</v>
      </c>
      <c r="BJ42" s="9">
        <v>1</v>
      </c>
      <c r="BK42" s="9">
        <v>2</v>
      </c>
      <c r="BL42" s="9">
        <v>1</v>
      </c>
      <c r="BM42" s="9">
        <v>1</v>
      </c>
      <c r="BN42" s="9">
        <v>1</v>
      </c>
      <c r="BO42" s="9">
        <v>2</v>
      </c>
      <c r="BP42" s="9">
        <v>2</v>
      </c>
      <c r="BQ42" s="9"/>
      <c r="BR42" s="6"/>
      <c r="BU42" s="7"/>
    </row>
    <row r="43" spans="1:73" ht="36" customHeight="1" x14ac:dyDescent="0.35">
      <c r="C43" s="368" t="s">
        <v>620</v>
      </c>
      <c r="D43" s="365" t="s">
        <v>621</v>
      </c>
      <c r="E43" s="32" t="s">
        <v>71</v>
      </c>
      <c r="F43" s="33" t="s">
        <v>622</v>
      </c>
      <c r="G43" s="45">
        <v>4</v>
      </c>
      <c r="H43" s="45">
        <v>3</v>
      </c>
      <c r="I43" s="45">
        <v>4</v>
      </c>
      <c r="J43" s="55" t="s">
        <v>623</v>
      </c>
      <c r="K43" s="38">
        <v>2</v>
      </c>
      <c r="L43" s="38">
        <v>2</v>
      </c>
      <c r="M43" s="38">
        <v>2</v>
      </c>
      <c r="N43" s="38">
        <v>2</v>
      </c>
      <c r="O43" s="38">
        <v>2</v>
      </c>
      <c r="P43" s="38">
        <v>1</v>
      </c>
      <c r="Q43" s="38">
        <v>1</v>
      </c>
      <c r="R43" s="38">
        <v>1</v>
      </c>
      <c r="S43" s="38">
        <v>1</v>
      </c>
      <c r="T43" s="38">
        <v>1</v>
      </c>
      <c r="U43" s="38">
        <v>2</v>
      </c>
      <c r="V43" s="38">
        <v>2</v>
      </c>
      <c r="W43" s="38">
        <v>2</v>
      </c>
      <c r="X43" s="38">
        <v>0</v>
      </c>
      <c r="Y43" s="14"/>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5"/>
      <c r="BR43" s="6"/>
      <c r="BU43" s="7"/>
    </row>
    <row r="44" spans="1:73" ht="51" x14ac:dyDescent="0.35">
      <c r="C44" s="369"/>
      <c r="D44" s="366"/>
      <c r="E44" s="34" t="s">
        <v>624</v>
      </c>
      <c r="F44" s="35" t="s">
        <v>625</v>
      </c>
      <c r="G44" s="46">
        <v>3</v>
      </c>
      <c r="H44" s="46">
        <v>4</v>
      </c>
      <c r="I44" s="46">
        <v>3</v>
      </c>
      <c r="J44" s="46"/>
      <c r="K44" s="39">
        <v>1</v>
      </c>
      <c r="L44" s="39">
        <v>2</v>
      </c>
      <c r="M44" s="39">
        <v>2</v>
      </c>
      <c r="N44" s="39">
        <v>1</v>
      </c>
      <c r="O44" s="39">
        <v>1</v>
      </c>
      <c r="P44" s="39">
        <v>1</v>
      </c>
      <c r="Q44" s="39">
        <v>1</v>
      </c>
      <c r="R44" s="39">
        <v>1</v>
      </c>
      <c r="S44" s="39">
        <v>1</v>
      </c>
      <c r="T44" s="39">
        <v>0</v>
      </c>
      <c r="U44" s="39">
        <v>2</v>
      </c>
      <c r="V44" s="39">
        <v>2</v>
      </c>
      <c r="W44" s="39">
        <v>1</v>
      </c>
      <c r="X44" s="39">
        <v>0</v>
      </c>
      <c r="Y44" s="6"/>
      <c r="BB44" s="7"/>
      <c r="BR44" s="6"/>
      <c r="BU44" s="7"/>
    </row>
    <row r="45" spans="1:73" ht="25.5" x14ac:dyDescent="0.35">
      <c r="C45" s="369"/>
      <c r="D45" s="366"/>
      <c r="E45" s="34" t="s">
        <v>67</v>
      </c>
      <c r="F45" s="35" t="s">
        <v>626</v>
      </c>
      <c r="G45" s="46">
        <v>3</v>
      </c>
      <c r="H45" s="46">
        <v>4</v>
      </c>
      <c r="I45" s="46">
        <v>3</v>
      </c>
      <c r="J45" s="46"/>
      <c r="K45" s="39">
        <v>2</v>
      </c>
      <c r="L45" s="39">
        <v>2</v>
      </c>
      <c r="M45" s="39">
        <v>1</v>
      </c>
      <c r="N45" s="39">
        <v>1</v>
      </c>
      <c r="O45" s="39">
        <v>1</v>
      </c>
      <c r="P45" s="39">
        <v>1</v>
      </c>
      <c r="Q45" s="39">
        <v>1</v>
      </c>
      <c r="R45" s="39">
        <v>2</v>
      </c>
      <c r="S45" s="39">
        <v>0</v>
      </c>
      <c r="T45" s="39">
        <v>0</v>
      </c>
      <c r="U45" s="39">
        <v>1</v>
      </c>
      <c r="V45" s="39">
        <v>1</v>
      </c>
      <c r="W45" s="39">
        <v>0</v>
      </c>
      <c r="X45" s="39">
        <v>0</v>
      </c>
      <c r="Y45" s="6"/>
      <c r="BB45" s="7"/>
      <c r="BR45" s="6"/>
      <c r="BU45" s="7"/>
    </row>
    <row r="46" spans="1:73" ht="43.5" customHeight="1" x14ac:dyDescent="0.35">
      <c r="C46" s="370"/>
      <c r="D46" s="367"/>
      <c r="E46" s="36" t="s">
        <v>627</v>
      </c>
      <c r="F46" s="37" t="s">
        <v>628</v>
      </c>
      <c r="G46" s="47">
        <v>2</v>
      </c>
      <c r="H46" s="47">
        <v>1</v>
      </c>
      <c r="I46" s="47">
        <v>2</v>
      </c>
      <c r="J46" s="47"/>
      <c r="K46" s="40">
        <v>2</v>
      </c>
      <c r="L46" s="40">
        <v>2</v>
      </c>
      <c r="M46" s="40">
        <v>2</v>
      </c>
      <c r="N46" s="40">
        <v>2</v>
      </c>
      <c r="O46" s="40">
        <v>2</v>
      </c>
      <c r="P46" s="40">
        <v>1</v>
      </c>
      <c r="Q46" s="40">
        <v>1</v>
      </c>
      <c r="R46" s="40">
        <v>1</v>
      </c>
      <c r="S46" s="40">
        <v>1</v>
      </c>
      <c r="T46" s="40">
        <v>1</v>
      </c>
      <c r="U46" s="40">
        <v>2</v>
      </c>
      <c r="V46" s="40">
        <v>2</v>
      </c>
      <c r="W46" s="40">
        <v>1</v>
      </c>
      <c r="X46" s="40">
        <v>0</v>
      </c>
      <c r="Y46" s="8"/>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10"/>
      <c r="BR46" s="8"/>
      <c r="BS46" s="9"/>
      <c r="BT46" s="9"/>
      <c r="BU46" s="10"/>
    </row>
  </sheetData>
  <mergeCells count="22">
    <mergeCell ref="BR5:BU5"/>
    <mergeCell ref="D43:D46"/>
    <mergeCell ref="C43:C46"/>
    <mergeCell ref="D30:D38"/>
    <mergeCell ref="D39:D42"/>
    <mergeCell ref="D21:D29"/>
    <mergeCell ref="C21:C29"/>
    <mergeCell ref="BC5:BQ5"/>
    <mergeCell ref="AO5:BB5"/>
    <mergeCell ref="AG5:AN5"/>
    <mergeCell ref="Y5:Z5"/>
    <mergeCell ref="AA5:AF5"/>
    <mergeCell ref="A30:A38"/>
    <mergeCell ref="A39:A42"/>
    <mergeCell ref="C39:C42"/>
    <mergeCell ref="C30:C38"/>
    <mergeCell ref="D7:D12"/>
    <mergeCell ref="A7:A12"/>
    <mergeCell ref="A13:A20"/>
    <mergeCell ref="A21:A29"/>
    <mergeCell ref="C13:C20"/>
    <mergeCell ref="C7:C12"/>
  </mergeCells>
  <conditionalFormatting sqref="Y7:BB42">
    <cfRule type="cellIs" dxfId="1" priority="3" operator="equal">
      <formula>2</formula>
    </cfRule>
  </conditionalFormatting>
  <conditionalFormatting sqref="BC7:BQ42">
    <cfRule type="cellIs" dxfId="0" priority="1" operator="equal">
      <formula>2</formula>
    </cfRule>
  </conditionalFormatting>
  <hyperlinks>
    <hyperlink ref="D5" r:id="rId1" xr:uid="{55C01BF0-C137-461D-BCC0-6F5F67D8C9C5}"/>
  </hyperlinks>
  <pageMargins left="0.7" right="0.7" top="0.78740157499999996" bottom="0.78740157499999996" header="0.3" footer="0.3"/>
  <pageSetup paperSize="121" orientation="portrait"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F6D0-79BA-4FCC-A2C1-7978E0F206FB}">
  <dimension ref="A1:EK22"/>
  <sheetViews>
    <sheetView topLeftCell="A3" zoomScale="70" zoomScaleNormal="70" workbookViewId="0">
      <selection activeCell="BF80" sqref="BF80"/>
    </sheetView>
  </sheetViews>
  <sheetFormatPr baseColWidth="10" defaultColWidth="11.3984375" defaultRowHeight="12.75" x14ac:dyDescent="0.35"/>
  <cols>
    <col min="1" max="1" width="24.3984375" customWidth="1"/>
    <col min="2" max="2" width="39" customWidth="1"/>
    <col min="3" max="3" width="31" hidden="1" customWidth="1"/>
    <col min="4" max="135" width="2.3984375" customWidth="1"/>
    <col min="136" max="141" width="2.3984375" hidden="1" customWidth="1"/>
  </cols>
  <sheetData>
    <row r="1" spans="1:141" ht="15.75" hidden="1" customHeight="1" x14ac:dyDescent="0.4">
      <c r="C1" s="107" t="s">
        <v>98</v>
      </c>
      <c r="D1" s="410" t="s">
        <v>120</v>
      </c>
      <c r="E1" s="410"/>
      <c r="F1" s="410"/>
      <c r="G1" s="410"/>
      <c r="H1" s="410"/>
      <c r="I1" s="410"/>
      <c r="J1" s="410"/>
      <c r="K1" s="410"/>
      <c r="L1" s="410"/>
      <c r="M1" s="410"/>
      <c r="N1" s="411" t="s">
        <v>129</v>
      </c>
      <c r="O1" s="411"/>
      <c r="P1" s="411"/>
      <c r="Q1" s="411"/>
      <c r="R1" s="411"/>
      <c r="S1" s="411"/>
      <c r="T1" s="411"/>
      <c r="U1" s="411"/>
      <c r="V1" s="411"/>
      <c r="W1" s="411"/>
      <c r="X1" s="411"/>
      <c r="Y1" s="411"/>
      <c r="Z1" s="411"/>
      <c r="AA1" s="411"/>
      <c r="AB1" s="411"/>
      <c r="AC1" s="411"/>
      <c r="AD1" s="411"/>
      <c r="AE1" s="411"/>
      <c r="AF1" s="410" t="s">
        <v>154</v>
      </c>
      <c r="AG1" s="410"/>
      <c r="AH1" s="410"/>
      <c r="AI1" s="410"/>
      <c r="AJ1" s="410"/>
      <c r="AK1" s="410"/>
      <c r="AL1" s="410"/>
      <c r="AM1" s="410"/>
      <c r="AN1" s="410"/>
      <c r="AO1" s="410"/>
      <c r="AP1" s="410"/>
      <c r="AQ1" s="410"/>
      <c r="AR1" s="410"/>
      <c r="AS1" s="410"/>
      <c r="AT1" s="410"/>
      <c r="AU1" s="410"/>
      <c r="AV1" s="410"/>
      <c r="AW1" s="410"/>
      <c r="AX1" s="410"/>
      <c r="AY1" s="410"/>
      <c r="AZ1" s="410"/>
      <c r="BA1" s="410"/>
      <c r="BB1" s="410"/>
      <c r="BC1" s="410"/>
      <c r="BD1" s="410"/>
      <c r="BE1" s="410"/>
      <c r="BF1" s="410"/>
      <c r="BG1" s="410"/>
      <c r="BH1" s="410" t="s">
        <v>187</v>
      </c>
      <c r="BI1" s="410"/>
      <c r="BJ1" s="410"/>
      <c r="BK1" s="410"/>
      <c r="BL1" s="410"/>
      <c r="BM1" s="410"/>
      <c r="BN1" s="410"/>
      <c r="BO1" s="410"/>
      <c r="BP1" s="410"/>
      <c r="BQ1" s="410"/>
      <c r="BR1" s="410"/>
      <c r="BS1" s="410"/>
      <c r="BT1" s="410"/>
      <c r="BU1" s="410"/>
      <c r="BV1" s="410"/>
      <c r="BW1" s="410"/>
      <c r="BX1" s="410"/>
      <c r="BY1" s="410"/>
      <c r="BZ1" s="410"/>
      <c r="CA1" s="410"/>
      <c r="CB1" s="410"/>
      <c r="CC1" s="410"/>
      <c r="CD1" s="410"/>
      <c r="CE1" s="410"/>
      <c r="CF1" s="410"/>
      <c r="CG1" s="410"/>
      <c r="CH1" s="410"/>
      <c r="CI1" s="410"/>
      <c r="CJ1" s="410"/>
      <c r="CK1" s="410"/>
      <c r="CL1" s="410"/>
      <c r="CM1" s="410"/>
      <c r="CN1" s="410"/>
      <c r="CO1" s="410"/>
      <c r="CP1" s="410"/>
      <c r="CQ1" s="410"/>
      <c r="CR1" s="410"/>
      <c r="CS1" s="410"/>
      <c r="CT1" s="410"/>
      <c r="CU1" s="410"/>
      <c r="CV1" s="410"/>
      <c r="CW1" s="410"/>
      <c r="CX1" s="410"/>
      <c r="CY1" s="410"/>
      <c r="CZ1" s="410"/>
      <c r="DA1" s="410"/>
      <c r="DB1" s="410"/>
      <c r="DC1" s="410"/>
      <c r="DD1" s="410"/>
      <c r="DE1" s="410"/>
      <c r="DF1" s="410"/>
      <c r="DG1" s="410"/>
      <c r="DH1" s="410"/>
      <c r="DI1" s="412"/>
      <c r="DJ1" s="89"/>
      <c r="DK1" s="90"/>
      <c r="DL1" s="90"/>
      <c r="DM1" s="90"/>
      <c r="DN1" s="90"/>
      <c r="DO1" s="90"/>
      <c r="DP1" s="90"/>
      <c r="DQ1" s="90"/>
      <c r="DR1" s="91"/>
      <c r="DS1" s="90"/>
      <c r="DT1" s="90"/>
      <c r="DU1" s="90"/>
      <c r="DV1" s="90"/>
      <c r="DW1" s="90"/>
      <c r="DX1" s="90"/>
      <c r="DY1" s="91"/>
      <c r="DZ1" s="90"/>
      <c r="EA1" s="90"/>
      <c r="EB1" s="90"/>
      <c r="EC1" s="90"/>
      <c r="ED1" s="90"/>
      <c r="EE1" s="91"/>
      <c r="EF1" s="90"/>
      <c r="EG1" s="90"/>
      <c r="EH1" s="90"/>
      <c r="EI1" s="90"/>
      <c r="EJ1" s="90"/>
      <c r="EK1" s="91"/>
    </row>
    <row r="2" spans="1:141" ht="15.75" hidden="1" customHeight="1" x14ac:dyDescent="0.5">
      <c r="C2" s="107"/>
      <c r="D2" s="413" t="s">
        <v>121</v>
      </c>
      <c r="E2" s="414"/>
      <c r="F2" s="414"/>
      <c r="G2" s="414"/>
      <c r="H2" s="414"/>
      <c r="I2" s="414" t="s">
        <v>125</v>
      </c>
      <c r="J2" s="414"/>
      <c r="K2" s="414"/>
      <c r="L2" s="414"/>
      <c r="M2" s="415"/>
      <c r="N2" s="416" t="s">
        <v>130</v>
      </c>
      <c r="O2" s="395"/>
      <c r="P2" s="395"/>
      <c r="Q2" s="395" t="s">
        <v>134</v>
      </c>
      <c r="R2" s="395"/>
      <c r="S2" s="395" t="s">
        <v>138</v>
      </c>
      <c r="T2" s="395"/>
      <c r="U2" s="395"/>
      <c r="V2" s="395" t="s">
        <v>142</v>
      </c>
      <c r="W2" s="395"/>
      <c r="X2" s="395"/>
      <c r="Y2" s="395" t="s">
        <v>146</v>
      </c>
      <c r="Z2" s="395"/>
      <c r="AA2" s="395"/>
      <c r="AB2" s="395" t="s">
        <v>150</v>
      </c>
      <c r="AC2" s="395"/>
      <c r="AD2" s="395"/>
      <c r="AE2" s="395"/>
      <c r="AF2" s="413" t="s">
        <v>155</v>
      </c>
      <c r="AG2" s="414"/>
      <c r="AH2" s="414"/>
      <c r="AI2" s="414" t="s">
        <v>159</v>
      </c>
      <c r="AJ2" s="414"/>
      <c r="AK2" s="414"/>
      <c r="AL2" s="414" t="s">
        <v>163</v>
      </c>
      <c r="AM2" s="414"/>
      <c r="AN2" s="414"/>
      <c r="AO2" s="414" t="s">
        <v>167</v>
      </c>
      <c r="AP2" s="414"/>
      <c r="AQ2" s="414"/>
      <c r="AR2" s="414"/>
      <c r="AS2" s="414"/>
      <c r="AT2" s="414" t="s">
        <v>171</v>
      </c>
      <c r="AU2" s="414"/>
      <c r="AV2" s="414"/>
      <c r="AW2" s="414"/>
      <c r="AX2" s="414"/>
      <c r="AY2" s="414"/>
      <c r="AZ2" s="414" t="s">
        <v>175</v>
      </c>
      <c r="BA2" s="414"/>
      <c r="BB2" s="414" t="s">
        <v>179</v>
      </c>
      <c r="BC2" s="414"/>
      <c r="BD2" s="414" t="s">
        <v>183</v>
      </c>
      <c r="BE2" s="414"/>
      <c r="BF2" s="414"/>
      <c r="BG2" s="415"/>
      <c r="BH2" s="417" t="s">
        <v>188</v>
      </c>
      <c r="BI2" s="417"/>
      <c r="BJ2" s="417"/>
      <c r="BK2" s="417"/>
      <c r="BL2" s="417"/>
      <c r="BM2" s="418" t="s">
        <v>192</v>
      </c>
      <c r="BN2" s="418"/>
      <c r="BO2" s="418"/>
      <c r="BP2" s="418"/>
      <c r="BQ2" s="418"/>
      <c r="BR2" s="418"/>
      <c r="BS2" s="417" t="s">
        <v>199</v>
      </c>
      <c r="BT2" s="417"/>
      <c r="BU2" s="417"/>
      <c r="BV2" s="417"/>
      <c r="BW2" s="417" t="s">
        <v>203</v>
      </c>
      <c r="BX2" s="417"/>
      <c r="BY2" s="417"/>
      <c r="BZ2" s="417"/>
      <c r="CA2" s="417"/>
      <c r="CB2" s="417"/>
      <c r="CC2" s="417" t="s">
        <v>207</v>
      </c>
      <c r="CD2" s="417"/>
      <c r="CE2" s="417"/>
      <c r="CF2" s="417"/>
      <c r="CG2" s="417" t="s">
        <v>211</v>
      </c>
      <c r="CH2" s="417"/>
      <c r="CI2" s="417"/>
      <c r="CJ2" s="418" t="s">
        <v>215</v>
      </c>
      <c r="CK2" s="418"/>
      <c r="CL2" s="418"/>
      <c r="CM2" s="417" t="s">
        <v>221</v>
      </c>
      <c r="CN2" s="417"/>
      <c r="CO2" s="417"/>
      <c r="CP2" s="417" t="s">
        <v>227</v>
      </c>
      <c r="CQ2" s="417"/>
      <c r="CR2" s="417"/>
      <c r="CS2" s="417" t="s">
        <v>233</v>
      </c>
      <c r="CT2" s="417"/>
      <c r="CU2" s="417"/>
      <c r="CV2" s="417" t="s">
        <v>240</v>
      </c>
      <c r="CW2" s="417"/>
      <c r="CX2" s="417"/>
      <c r="CY2" s="417" t="s">
        <v>246</v>
      </c>
      <c r="CZ2" s="417"/>
      <c r="DA2" s="417"/>
      <c r="DB2" s="417"/>
      <c r="DC2" s="417" t="s">
        <v>253</v>
      </c>
      <c r="DD2" s="417"/>
      <c r="DE2" s="417"/>
      <c r="DF2" s="417"/>
      <c r="DG2" s="417" t="s">
        <v>259</v>
      </c>
      <c r="DH2" s="417"/>
      <c r="DI2" s="419"/>
      <c r="DJ2" s="96"/>
      <c r="DK2" s="97"/>
      <c r="DL2" s="97"/>
      <c r="DM2" s="97"/>
      <c r="DN2" s="97"/>
      <c r="DO2" s="97"/>
      <c r="DP2" s="97"/>
      <c r="DQ2" s="97"/>
      <c r="DR2" s="98"/>
      <c r="DS2" s="97"/>
      <c r="DT2" s="97"/>
      <c r="DU2" s="97"/>
      <c r="DV2" s="97"/>
      <c r="DW2" s="97"/>
      <c r="DX2" s="97"/>
      <c r="DY2" s="98"/>
      <c r="DZ2" s="97"/>
      <c r="EA2" s="97"/>
      <c r="EB2" s="97"/>
      <c r="EC2" s="97"/>
      <c r="ED2" s="97"/>
      <c r="EE2" s="98"/>
      <c r="EF2" s="97"/>
      <c r="EG2" s="97"/>
      <c r="EH2" s="97"/>
      <c r="EI2" s="97"/>
      <c r="EJ2" s="97"/>
      <c r="EK2" s="98"/>
    </row>
    <row r="3" spans="1:141" ht="12.6" customHeight="1" thickBot="1" x14ac:dyDescent="0.55000000000000004">
      <c r="C3" s="107"/>
      <c r="D3" s="104"/>
      <c r="E3" s="104"/>
      <c r="F3" s="104"/>
      <c r="G3" s="104"/>
      <c r="H3" s="104"/>
      <c r="I3" s="104"/>
      <c r="J3" s="104"/>
      <c r="K3" s="104"/>
      <c r="L3" s="104"/>
      <c r="M3" s="106"/>
      <c r="N3" s="110"/>
      <c r="O3" s="110"/>
      <c r="P3" s="110"/>
      <c r="Q3" s="110"/>
      <c r="R3" s="110"/>
      <c r="S3" s="110"/>
      <c r="T3" s="110"/>
      <c r="U3" s="110"/>
      <c r="V3" s="110"/>
      <c r="W3" s="110"/>
      <c r="X3" s="110"/>
      <c r="Y3" s="110"/>
      <c r="Z3" s="110"/>
      <c r="AA3" s="110"/>
      <c r="AB3" s="110"/>
      <c r="AC3" s="110"/>
      <c r="AD3" s="110"/>
      <c r="AE3" s="110"/>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5"/>
      <c r="BN3" s="105"/>
      <c r="BO3" s="105"/>
      <c r="BP3" s="105"/>
      <c r="BQ3" s="105"/>
      <c r="BR3" s="105"/>
      <c r="BS3" s="104"/>
      <c r="BT3" s="104"/>
      <c r="BU3" s="104"/>
      <c r="BV3" s="104"/>
      <c r="BW3" s="104"/>
      <c r="BX3" s="104"/>
      <c r="BY3" s="104"/>
      <c r="BZ3" s="104"/>
      <c r="CA3" s="104"/>
      <c r="CB3" s="104"/>
      <c r="CC3" s="104"/>
      <c r="CD3" s="104"/>
      <c r="CE3" s="104"/>
      <c r="CF3" s="104"/>
      <c r="CG3" s="104"/>
      <c r="CH3" s="104"/>
      <c r="CI3" s="104"/>
      <c r="CJ3" s="105"/>
      <c r="CK3" s="105"/>
      <c r="CL3" s="105"/>
      <c r="CM3" s="104"/>
      <c r="CN3" s="104"/>
      <c r="CO3" s="104"/>
      <c r="CP3" s="104"/>
      <c r="CQ3" s="104"/>
      <c r="CR3" s="104"/>
      <c r="CS3" s="104"/>
      <c r="CT3" s="104"/>
      <c r="CU3" s="104"/>
      <c r="CV3" s="104"/>
      <c r="CW3" s="104"/>
      <c r="CX3" s="104"/>
      <c r="CY3" s="104"/>
      <c r="CZ3" s="104"/>
      <c r="DA3" s="104"/>
      <c r="DB3" s="104"/>
      <c r="DC3" s="104"/>
      <c r="DD3" s="104"/>
      <c r="DE3" s="104"/>
      <c r="DF3" s="104"/>
      <c r="DG3" s="104"/>
      <c r="DH3" s="104"/>
      <c r="DI3" s="106"/>
      <c r="DJ3" s="96"/>
      <c r="DK3" s="97"/>
      <c r="DL3" s="97"/>
      <c r="DM3" s="97"/>
      <c r="DN3" s="97"/>
      <c r="DO3" s="97"/>
      <c r="DP3" s="97"/>
      <c r="DQ3" s="97"/>
      <c r="DR3" s="98"/>
      <c r="DS3" s="97"/>
      <c r="DT3" s="97"/>
      <c r="DU3" s="97"/>
      <c r="DV3" s="97"/>
      <c r="DW3" s="97"/>
      <c r="DX3" s="97"/>
      <c r="DY3" s="98"/>
      <c r="DZ3" s="97"/>
      <c r="EA3" s="97"/>
      <c r="EB3" s="97"/>
      <c r="EC3" s="97"/>
      <c r="ED3" s="97"/>
      <c r="EE3" s="98"/>
      <c r="EF3" s="97"/>
      <c r="EG3" s="97"/>
      <c r="EH3" s="97"/>
      <c r="EI3" s="97"/>
      <c r="EJ3" s="97"/>
      <c r="EK3" s="98"/>
    </row>
    <row r="4" spans="1:141" ht="237" hidden="1" customHeight="1" thickBot="1" x14ac:dyDescent="0.55000000000000004">
      <c r="C4" s="107" t="s">
        <v>99</v>
      </c>
      <c r="D4" s="99" t="s">
        <v>122</v>
      </c>
      <c r="E4" s="99" t="s">
        <v>629</v>
      </c>
      <c r="F4" s="99" t="s">
        <v>630</v>
      </c>
      <c r="G4" s="99" t="s">
        <v>631</v>
      </c>
      <c r="H4" s="99" t="s">
        <v>632</v>
      </c>
      <c r="I4" s="99" t="s">
        <v>126</v>
      </c>
      <c r="J4" s="99" t="s">
        <v>633</v>
      </c>
      <c r="K4" s="99" t="s">
        <v>630</v>
      </c>
      <c r="L4" s="99" t="s">
        <v>634</v>
      </c>
      <c r="M4" s="99" t="s">
        <v>635</v>
      </c>
      <c r="N4" s="99" t="s">
        <v>131</v>
      </c>
      <c r="O4" s="99" t="s">
        <v>636</v>
      </c>
      <c r="P4" s="99" t="s">
        <v>637</v>
      </c>
      <c r="Q4" s="99" t="s">
        <v>135</v>
      </c>
      <c r="R4" s="99" t="s">
        <v>638</v>
      </c>
      <c r="S4" s="99" t="s">
        <v>139</v>
      </c>
      <c r="T4" s="99" t="s">
        <v>639</v>
      </c>
      <c r="U4" s="99" t="s">
        <v>640</v>
      </c>
      <c r="V4" s="99" t="s">
        <v>143</v>
      </c>
      <c r="W4" s="99" t="s">
        <v>641</v>
      </c>
      <c r="X4" s="99" t="s">
        <v>642</v>
      </c>
      <c r="Y4" s="99" t="s">
        <v>147</v>
      </c>
      <c r="Z4" s="99" t="s">
        <v>643</v>
      </c>
      <c r="AA4" s="99" t="s">
        <v>644</v>
      </c>
      <c r="AB4" s="99" t="s">
        <v>151</v>
      </c>
      <c r="AC4" s="99" t="s">
        <v>645</v>
      </c>
      <c r="AD4" s="99" t="s">
        <v>646</v>
      </c>
      <c r="AE4" s="99" t="s">
        <v>647</v>
      </c>
      <c r="AF4" s="99" t="s">
        <v>156</v>
      </c>
      <c r="AG4" s="99" t="s">
        <v>648</v>
      </c>
      <c r="AH4" s="99" t="s">
        <v>649</v>
      </c>
      <c r="AI4" s="99" t="s">
        <v>160</v>
      </c>
      <c r="AJ4" s="99" t="s">
        <v>650</v>
      </c>
      <c r="AK4" s="99" t="s">
        <v>651</v>
      </c>
      <c r="AL4" s="99" t="s">
        <v>164</v>
      </c>
      <c r="AM4" s="99" t="s">
        <v>652</v>
      </c>
      <c r="AN4" s="99" t="s">
        <v>653</v>
      </c>
      <c r="AO4" s="99" t="s">
        <v>168</v>
      </c>
      <c r="AP4" s="99" t="s">
        <v>654</v>
      </c>
      <c r="AQ4" s="99" t="s">
        <v>655</v>
      </c>
      <c r="AR4" s="99" t="s">
        <v>656</v>
      </c>
      <c r="AS4" s="99" t="s">
        <v>657</v>
      </c>
      <c r="AT4" s="99" t="s">
        <v>172</v>
      </c>
      <c r="AU4" s="99" t="s">
        <v>658</v>
      </c>
      <c r="AV4" s="99" t="s">
        <v>659</v>
      </c>
      <c r="AW4" s="99" t="s">
        <v>660</v>
      </c>
      <c r="AX4" s="99" t="s">
        <v>661</v>
      </c>
      <c r="AY4" s="99" t="s">
        <v>662</v>
      </c>
      <c r="AZ4" s="99" t="s">
        <v>176</v>
      </c>
      <c r="BA4" s="99" t="s">
        <v>663</v>
      </c>
      <c r="BB4" s="99" t="s">
        <v>180</v>
      </c>
      <c r="BC4" s="99" t="s">
        <v>664</v>
      </c>
      <c r="BD4" s="99" t="s">
        <v>184</v>
      </c>
      <c r="BE4" s="99" t="s">
        <v>665</v>
      </c>
      <c r="BF4" s="99" t="s">
        <v>666</v>
      </c>
      <c r="BG4" s="99" t="s">
        <v>667</v>
      </c>
      <c r="BH4" s="100" t="s">
        <v>189</v>
      </c>
      <c r="BI4" s="100" t="s">
        <v>668</v>
      </c>
      <c r="BJ4" s="100" t="s">
        <v>669</v>
      </c>
      <c r="BK4" s="100" t="s">
        <v>670</v>
      </c>
      <c r="BL4" s="100" t="s">
        <v>671</v>
      </c>
      <c r="BM4" s="101" t="s">
        <v>193</v>
      </c>
      <c r="BN4" s="100" t="s">
        <v>672</v>
      </c>
      <c r="BO4" s="101" t="s">
        <v>673</v>
      </c>
      <c r="BP4" s="101" t="s">
        <v>674</v>
      </c>
      <c r="BQ4" s="100" t="s">
        <v>675</v>
      </c>
      <c r="BR4" s="101" t="s">
        <v>676</v>
      </c>
      <c r="BS4" s="101" t="s">
        <v>200</v>
      </c>
      <c r="BT4" s="100" t="s">
        <v>677</v>
      </c>
      <c r="BU4" s="100" t="s">
        <v>678</v>
      </c>
      <c r="BV4" s="100" t="s">
        <v>679</v>
      </c>
      <c r="BW4" s="100" t="s">
        <v>204</v>
      </c>
      <c r="BX4" s="100" t="s">
        <v>680</v>
      </c>
      <c r="BY4" s="101" t="s">
        <v>681</v>
      </c>
      <c r="BZ4" s="100" t="s">
        <v>682</v>
      </c>
      <c r="CA4" s="100" t="s">
        <v>683</v>
      </c>
      <c r="CB4" s="100" t="s">
        <v>684</v>
      </c>
      <c r="CC4" s="100" t="s">
        <v>208</v>
      </c>
      <c r="CD4" s="101" t="s">
        <v>685</v>
      </c>
      <c r="CE4" s="101" t="s">
        <v>686</v>
      </c>
      <c r="CF4" s="101" t="s">
        <v>687</v>
      </c>
      <c r="CG4" s="100" t="s">
        <v>212</v>
      </c>
      <c r="CH4" s="100" t="s">
        <v>688</v>
      </c>
      <c r="CI4" s="100" t="s">
        <v>689</v>
      </c>
      <c r="CJ4" s="102" t="s">
        <v>216</v>
      </c>
      <c r="CK4" s="100" t="s">
        <v>690</v>
      </c>
      <c r="CL4" s="100" t="s">
        <v>691</v>
      </c>
      <c r="CM4" s="102" t="s">
        <v>222</v>
      </c>
      <c r="CN4" s="101" t="s">
        <v>692</v>
      </c>
      <c r="CO4" s="101" t="s">
        <v>693</v>
      </c>
      <c r="CP4" s="102" t="s">
        <v>228</v>
      </c>
      <c r="CQ4" s="100" t="s">
        <v>694</v>
      </c>
      <c r="CR4" s="100" t="s">
        <v>695</v>
      </c>
      <c r="CS4" s="102" t="s">
        <v>234</v>
      </c>
      <c r="CT4" s="100" t="s">
        <v>696</v>
      </c>
      <c r="CU4" s="100" t="s">
        <v>697</v>
      </c>
      <c r="CV4" s="102" t="s">
        <v>241</v>
      </c>
      <c r="CW4" s="100" t="s">
        <v>698</v>
      </c>
      <c r="CX4" s="100" t="s">
        <v>699</v>
      </c>
      <c r="CY4" s="100" t="s">
        <v>247</v>
      </c>
      <c r="CZ4" s="100" t="s">
        <v>700</v>
      </c>
      <c r="DA4" s="100" t="s">
        <v>701</v>
      </c>
      <c r="DB4" s="100" t="s">
        <v>702</v>
      </c>
      <c r="DC4" s="102" t="s">
        <v>254</v>
      </c>
      <c r="DD4" s="100" t="s">
        <v>703</v>
      </c>
      <c r="DE4" s="100" t="s">
        <v>704</v>
      </c>
      <c r="DF4" s="101" t="s">
        <v>705</v>
      </c>
      <c r="DG4" s="102" t="s">
        <v>260</v>
      </c>
      <c r="DH4" s="100" t="s">
        <v>706</v>
      </c>
      <c r="DI4" s="100" t="s">
        <v>707</v>
      </c>
      <c r="DJ4" s="103"/>
      <c r="DK4" s="100"/>
      <c r="DL4" s="100"/>
      <c r="DM4" s="100"/>
      <c r="DN4" s="100"/>
      <c r="DO4" s="100"/>
      <c r="DP4" s="100"/>
      <c r="DQ4" s="100"/>
      <c r="DR4" s="100"/>
      <c r="DS4" s="100"/>
      <c r="DT4" s="100"/>
      <c r="DU4" s="100"/>
      <c r="DV4" s="100"/>
      <c r="DW4" s="100"/>
      <c r="DX4" s="100"/>
      <c r="DY4" s="100"/>
      <c r="DZ4" s="100"/>
      <c r="EA4" s="100"/>
      <c r="EB4" s="100"/>
      <c r="EC4" s="100"/>
      <c r="ED4" s="100"/>
      <c r="EE4" s="100"/>
      <c r="EF4" s="100"/>
      <c r="EG4" s="100"/>
      <c r="EH4" s="100"/>
      <c r="EI4" s="100"/>
      <c r="EJ4" s="100"/>
      <c r="EK4" s="100"/>
    </row>
    <row r="5" spans="1:141" ht="220.5" customHeight="1" thickBot="1" x14ac:dyDescent="0.45">
      <c r="A5" s="372" t="s">
        <v>708</v>
      </c>
      <c r="B5" s="438"/>
      <c r="C5" s="107" t="s">
        <v>100</v>
      </c>
      <c r="D5" s="396" t="s">
        <v>123</v>
      </c>
      <c r="E5" s="397"/>
      <c r="F5" s="397"/>
      <c r="G5" s="397"/>
      <c r="H5" s="397"/>
      <c r="I5" s="397" t="s">
        <v>127</v>
      </c>
      <c r="J5" s="397"/>
      <c r="K5" s="397"/>
      <c r="L5" s="397"/>
      <c r="M5" s="398"/>
      <c r="N5" s="399" t="s">
        <v>132</v>
      </c>
      <c r="O5" s="397"/>
      <c r="P5" s="397"/>
      <c r="Q5" s="397" t="s">
        <v>136</v>
      </c>
      <c r="R5" s="397"/>
      <c r="S5" s="397" t="s">
        <v>140</v>
      </c>
      <c r="T5" s="397"/>
      <c r="U5" s="397"/>
      <c r="V5" s="397" t="s">
        <v>144</v>
      </c>
      <c r="W5" s="397"/>
      <c r="X5" s="397"/>
      <c r="Y5" s="397" t="s">
        <v>148</v>
      </c>
      <c r="Z5" s="397"/>
      <c r="AA5" s="397"/>
      <c r="AB5" s="397" t="s">
        <v>152</v>
      </c>
      <c r="AC5" s="397"/>
      <c r="AD5" s="397"/>
      <c r="AE5" s="427"/>
      <c r="AF5" s="428" t="s">
        <v>157</v>
      </c>
      <c r="AG5" s="429"/>
      <c r="AH5" s="429"/>
      <c r="AI5" s="397" t="s">
        <v>161</v>
      </c>
      <c r="AJ5" s="397"/>
      <c r="AK5" s="397"/>
      <c r="AL5" s="397" t="s">
        <v>288</v>
      </c>
      <c r="AM5" s="397"/>
      <c r="AN5" s="397"/>
      <c r="AO5" s="397" t="s">
        <v>169</v>
      </c>
      <c r="AP5" s="397"/>
      <c r="AQ5" s="397"/>
      <c r="AR5" s="397"/>
      <c r="AS5" s="397"/>
      <c r="AT5" s="397" t="s">
        <v>173</v>
      </c>
      <c r="AU5" s="397"/>
      <c r="AV5" s="397"/>
      <c r="AW5" s="397"/>
      <c r="AX5" s="397"/>
      <c r="AY5" s="397"/>
      <c r="AZ5" s="397" t="s">
        <v>177</v>
      </c>
      <c r="BA5" s="397"/>
      <c r="BB5" s="397" t="s">
        <v>181</v>
      </c>
      <c r="BC5" s="397"/>
      <c r="BD5" s="397" t="s">
        <v>185</v>
      </c>
      <c r="BE5" s="397"/>
      <c r="BF5" s="397"/>
      <c r="BG5" s="398"/>
      <c r="BH5" s="396" t="s">
        <v>190</v>
      </c>
      <c r="BI5" s="397"/>
      <c r="BJ5" s="397"/>
      <c r="BK5" s="397"/>
      <c r="BL5" s="397"/>
      <c r="BM5" s="397" t="s">
        <v>194</v>
      </c>
      <c r="BN5" s="397"/>
      <c r="BO5" s="397"/>
      <c r="BP5" s="397"/>
      <c r="BQ5" s="397"/>
      <c r="BR5" s="397"/>
      <c r="BS5" s="397" t="s">
        <v>201</v>
      </c>
      <c r="BT5" s="397"/>
      <c r="BU5" s="397"/>
      <c r="BV5" s="397"/>
      <c r="BW5" s="397" t="s">
        <v>205</v>
      </c>
      <c r="BX5" s="397"/>
      <c r="BY5" s="397"/>
      <c r="BZ5" s="397"/>
      <c r="CA5" s="397"/>
      <c r="CB5" s="397"/>
      <c r="CC5" s="397" t="s">
        <v>209</v>
      </c>
      <c r="CD5" s="397"/>
      <c r="CE5" s="397"/>
      <c r="CF5" s="397"/>
      <c r="CG5" s="397" t="s">
        <v>213</v>
      </c>
      <c r="CH5" s="397"/>
      <c r="CI5" s="397"/>
      <c r="CJ5" s="397" t="s">
        <v>217</v>
      </c>
      <c r="CK5" s="397"/>
      <c r="CL5" s="397"/>
      <c r="CM5" s="397" t="s">
        <v>223</v>
      </c>
      <c r="CN5" s="397"/>
      <c r="CO5" s="397"/>
      <c r="CP5" s="397" t="s">
        <v>229</v>
      </c>
      <c r="CQ5" s="397"/>
      <c r="CR5" s="397"/>
      <c r="CS5" s="397" t="s">
        <v>235</v>
      </c>
      <c r="CT5" s="397"/>
      <c r="CU5" s="397"/>
      <c r="CV5" s="397" t="s">
        <v>242</v>
      </c>
      <c r="CW5" s="397"/>
      <c r="CX5" s="397"/>
      <c r="CY5" s="397" t="s">
        <v>248</v>
      </c>
      <c r="CZ5" s="397"/>
      <c r="DA5" s="397"/>
      <c r="DB5" s="397"/>
      <c r="DC5" s="397" t="s">
        <v>255</v>
      </c>
      <c r="DD5" s="397"/>
      <c r="DE5" s="397"/>
      <c r="DF5" s="397"/>
      <c r="DG5" s="397" t="s">
        <v>261</v>
      </c>
      <c r="DH5" s="397"/>
      <c r="DI5" s="398"/>
      <c r="DJ5" s="426" t="s">
        <v>264</v>
      </c>
      <c r="DK5" s="421"/>
      <c r="DL5" s="421"/>
      <c r="DM5" s="421"/>
      <c r="DN5" s="421"/>
      <c r="DO5" s="421"/>
      <c r="DP5" s="421"/>
      <c r="DQ5" s="421"/>
      <c r="DR5" s="421"/>
      <c r="DS5" s="421" t="s">
        <v>266</v>
      </c>
      <c r="DT5" s="421"/>
      <c r="DU5" s="421"/>
      <c r="DV5" s="421"/>
      <c r="DW5" s="421"/>
      <c r="DX5" s="421"/>
      <c r="DY5" s="421"/>
      <c r="DZ5" s="421" t="s">
        <v>289</v>
      </c>
      <c r="EA5" s="421"/>
      <c r="EB5" s="421"/>
      <c r="EC5" s="421"/>
      <c r="ED5" s="421"/>
      <c r="EE5" s="422"/>
      <c r="EF5" s="420" t="s">
        <v>709</v>
      </c>
      <c r="EG5" s="421"/>
      <c r="EH5" s="421"/>
      <c r="EI5" s="421"/>
      <c r="EJ5" s="421"/>
      <c r="EK5" s="422"/>
    </row>
    <row r="6" spans="1:141" ht="219" hidden="1" customHeight="1" thickBot="1" x14ac:dyDescent="0.45">
      <c r="C6" s="107" t="s">
        <v>101</v>
      </c>
      <c r="D6" s="115" t="s">
        <v>124</v>
      </c>
      <c r="E6" s="109" t="s">
        <v>710</v>
      </c>
      <c r="F6" s="109" t="s">
        <v>711</v>
      </c>
      <c r="G6" s="109" t="s">
        <v>712</v>
      </c>
      <c r="H6" s="116" t="s">
        <v>713</v>
      </c>
      <c r="I6" s="115" t="s">
        <v>128</v>
      </c>
      <c r="J6" s="109" t="s">
        <v>714</v>
      </c>
      <c r="K6" s="109" t="s">
        <v>715</v>
      </c>
      <c r="L6" s="109" t="s">
        <v>716</v>
      </c>
      <c r="M6" s="116" t="s">
        <v>717</v>
      </c>
      <c r="N6" s="111" t="s">
        <v>133</v>
      </c>
      <c r="O6" s="109" t="s">
        <v>718</v>
      </c>
      <c r="P6" s="116" t="s">
        <v>719</v>
      </c>
      <c r="Q6" s="111" t="s">
        <v>137</v>
      </c>
      <c r="R6" s="116" t="s">
        <v>720</v>
      </c>
      <c r="S6" s="115" t="s">
        <v>141</v>
      </c>
      <c r="T6" s="109" t="s">
        <v>721</v>
      </c>
      <c r="U6" s="116" t="s">
        <v>722</v>
      </c>
      <c r="V6" s="115" t="s">
        <v>145</v>
      </c>
      <c r="W6" s="109" t="s">
        <v>723</v>
      </c>
      <c r="X6" s="116" t="s">
        <v>724</v>
      </c>
      <c r="Y6" s="115" t="s">
        <v>149</v>
      </c>
      <c r="Z6" s="109" t="s">
        <v>725</v>
      </c>
      <c r="AA6" s="116" t="s">
        <v>726</v>
      </c>
      <c r="AB6" s="115" t="s">
        <v>153</v>
      </c>
      <c r="AC6" s="109" t="s">
        <v>727</v>
      </c>
      <c r="AD6" s="109" t="s">
        <v>728</v>
      </c>
      <c r="AE6" s="109" t="s">
        <v>729</v>
      </c>
      <c r="AF6" s="117" t="s">
        <v>158</v>
      </c>
      <c r="AG6" s="108" t="s">
        <v>730</v>
      </c>
      <c r="AH6" s="118" t="s">
        <v>731</v>
      </c>
      <c r="AI6" s="115" t="s">
        <v>162</v>
      </c>
      <c r="AJ6" s="109" t="s">
        <v>732</v>
      </c>
      <c r="AK6" s="116" t="s">
        <v>733</v>
      </c>
      <c r="AL6" s="115" t="s">
        <v>166</v>
      </c>
      <c r="AM6" s="109" t="s">
        <v>734</v>
      </c>
      <c r="AN6" s="116" t="s">
        <v>735</v>
      </c>
      <c r="AO6" s="115" t="s">
        <v>170</v>
      </c>
      <c r="AP6" s="109" t="s">
        <v>736</v>
      </c>
      <c r="AQ6" s="109" t="s">
        <v>737</v>
      </c>
      <c r="AR6" s="109" t="s">
        <v>738</v>
      </c>
      <c r="AS6" s="116" t="s">
        <v>739</v>
      </c>
      <c r="AT6" s="115" t="s">
        <v>174</v>
      </c>
      <c r="AU6" s="109" t="s">
        <v>740</v>
      </c>
      <c r="AV6" s="109" t="s">
        <v>741</v>
      </c>
      <c r="AW6" s="109" t="s">
        <v>742</v>
      </c>
      <c r="AX6" s="109" t="s">
        <v>743</v>
      </c>
      <c r="AY6" s="116" t="s">
        <v>744</v>
      </c>
      <c r="AZ6" s="115" t="s">
        <v>178</v>
      </c>
      <c r="BA6" s="116" t="s">
        <v>745</v>
      </c>
      <c r="BB6" s="115" t="s">
        <v>182</v>
      </c>
      <c r="BC6" s="116" t="s">
        <v>746</v>
      </c>
      <c r="BD6" s="115" t="s">
        <v>186</v>
      </c>
      <c r="BE6" s="109" t="s">
        <v>747</v>
      </c>
      <c r="BF6" s="109" t="s">
        <v>748</v>
      </c>
      <c r="BG6" s="116" t="s">
        <v>749</v>
      </c>
      <c r="BH6" s="115" t="s">
        <v>191</v>
      </c>
      <c r="BI6" s="108" t="s">
        <v>750</v>
      </c>
      <c r="BJ6" s="109" t="s">
        <v>751</v>
      </c>
      <c r="BK6" s="109" t="s">
        <v>752</v>
      </c>
      <c r="BL6" s="116" t="s">
        <v>753</v>
      </c>
      <c r="BM6" s="115" t="s">
        <v>195</v>
      </c>
      <c r="BN6" s="109" t="s">
        <v>754</v>
      </c>
      <c r="BO6" s="109" t="s">
        <v>755</v>
      </c>
      <c r="BP6" s="109" t="s">
        <v>756</v>
      </c>
      <c r="BQ6" s="109" t="s">
        <v>757</v>
      </c>
      <c r="BR6" s="116" t="s">
        <v>758</v>
      </c>
      <c r="BS6" s="115" t="s">
        <v>202</v>
      </c>
      <c r="BT6" s="109" t="s">
        <v>759</v>
      </c>
      <c r="BU6" s="109" t="s">
        <v>760</v>
      </c>
      <c r="BV6" s="116" t="s">
        <v>761</v>
      </c>
      <c r="BW6" s="115" t="s">
        <v>206</v>
      </c>
      <c r="BX6" s="109" t="s">
        <v>762</v>
      </c>
      <c r="BY6" s="109" t="s">
        <v>763</v>
      </c>
      <c r="BZ6" s="109" t="s">
        <v>764</v>
      </c>
      <c r="CA6" s="109" t="s">
        <v>765</v>
      </c>
      <c r="CB6" s="116" t="s">
        <v>766</v>
      </c>
      <c r="CC6" s="115" t="s">
        <v>210</v>
      </c>
      <c r="CD6" s="109" t="s">
        <v>767</v>
      </c>
      <c r="CE6" s="109" t="s">
        <v>768</v>
      </c>
      <c r="CF6" s="116" t="s">
        <v>769</v>
      </c>
      <c r="CG6" s="115" t="s">
        <v>214</v>
      </c>
      <c r="CH6" s="109" t="s">
        <v>770</v>
      </c>
      <c r="CI6" s="116" t="s">
        <v>771</v>
      </c>
      <c r="CJ6" s="119" t="s">
        <v>218</v>
      </c>
      <c r="CK6" s="109" t="s">
        <v>772</v>
      </c>
      <c r="CL6" s="116" t="s">
        <v>773</v>
      </c>
      <c r="CM6" s="117" t="s">
        <v>224</v>
      </c>
      <c r="CN6" s="109" t="s">
        <v>774</v>
      </c>
      <c r="CO6" s="116" t="s">
        <v>775</v>
      </c>
      <c r="CP6" s="117" t="s">
        <v>230</v>
      </c>
      <c r="CQ6" s="109" t="s">
        <v>776</v>
      </c>
      <c r="CR6" s="116" t="s">
        <v>777</v>
      </c>
      <c r="CS6" s="117" t="s">
        <v>236</v>
      </c>
      <c r="CT6" s="109" t="s">
        <v>778</v>
      </c>
      <c r="CU6" s="116" t="s">
        <v>779</v>
      </c>
      <c r="CV6" s="117" t="s">
        <v>243</v>
      </c>
      <c r="CW6" s="109" t="s">
        <v>780</v>
      </c>
      <c r="CX6" s="116" t="s">
        <v>781</v>
      </c>
      <c r="CY6" s="115" t="s">
        <v>249</v>
      </c>
      <c r="CZ6" s="109" t="s">
        <v>782</v>
      </c>
      <c r="DA6" s="109" t="s">
        <v>783</v>
      </c>
      <c r="DB6" s="116" t="s">
        <v>784</v>
      </c>
      <c r="DC6" s="117" t="s">
        <v>256</v>
      </c>
      <c r="DD6" s="109" t="s">
        <v>785</v>
      </c>
      <c r="DE6" s="109" t="s">
        <v>786</v>
      </c>
      <c r="DF6" s="116" t="s">
        <v>787</v>
      </c>
      <c r="DG6" s="115" t="s">
        <v>262</v>
      </c>
      <c r="DH6" s="109" t="s">
        <v>788</v>
      </c>
      <c r="DI6" s="116" t="s">
        <v>789</v>
      </c>
      <c r="DJ6" s="115" t="s">
        <v>265</v>
      </c>
      <c r="DK6" s="111" t="s">
        <v>790</v>
      </c>
      <c r="DL6" s="111" t="s">
        <v>791</v>
      </c>
      <c r="DM6" s="111" t="s">
        <v>792</v>
      </c>
      <c r="DN6" s="111" t="s">
        <v>793</v>
      </c>
      <c r="DO6" s="111" t="s">
        <v>794</v>
      </c>
      <c r="DP6" s="111" t="s">
        <v>795</v>
      </c>
      <c r="DQ6" s="111" t="s">
        <v>796</v>
      </c>
      <c r="DR6" s="120" t="s">
        <v>797</v>
      </c>
      <c r="DS6" s="115" t="s">
        <v>267</v>
      </c>
      <c r="DT6" s="111" t="s">
        <v>798</v>
      </c>
      <c r="DU6" s="111" t="s">
        <v>799</v>
      </c>
      <c r="DV6" s="111" t="s">
        <v>800</v>
      </c>
      <c r="DW6" s="111" t="s">
        <v>801</v>
      </c>
      <c r="DX6" s="121" t="s">
        <v>802</v>
      </c>
      <c r="DY6" s="120" t="s">
        <v>803</v>
      </c>
      <c r="DZ6" s="115" t="s">
        <v>270</v>
      </c>
      <c r="EA6" s="111" t="s">
        <v>804</v>
      </c>
      <c r="EB6" s="111" t="s">
        <v>805</v>
      </c>
      <c r="EC6" s="111" t="s">
        <v>806</v>
      </c>
      <c r="ED6" s="111" t="s">
        <v>807</v>
      </c>
      <c r="EE6" s="120" t="s">
        <v>808</v>
      </c>
      <c r="EF6" s="111" t="s">
        <v>282</v>
      </c>
      <c r="EG6" s="111" t="s">
        <v>283</v>
      </c>
      <c r="EH6" s="111" t="s">
        <v>284</v>
      </c>
      <c r="EI6" s="111" t="s">
        <v>285</v>
      </c>
      <c r="EJ6" s="111" t="s">
        <v>286</v>
      </c>
      <c r="EK6" s="122" t="s">
        <v>809</v>
      </c>
    </row>
    <row r="7" spans="1:141" ht="15.6" customHeight="1" x14ac:dyDescent="0.35">
      <c r="A7" s="392" t="s">
        <v>13</v>
      </c>
      <c r="B7" s="86" t="s">
        <v>14</v>
      </c>
      <c r="C7" s="129"/>
      <c r="D7" s="315">
        <v>1</v>
      </c>
      <c r="E7" s="347"/>
      <c r="F7" s="347"/>
      <c r="G7" s="347"/>
      <c r="H7" s="347"/>
      <c r="I7" s="347">
        <v>1</v>
      </c>
      <c r="J7" s="347"/>
      <c r="K7" s="347"/>
      <c r="L7" s="347"/>
      <c r="M7" s="408"/>
      <c r="N7" s="430">
        <v>3</v>
      </c>
      <c r="O7" s="347"/>
      <c r="P7" s="347"/>
      <c r="Q7" s="347">
        <v>1</v>
      </c>
      <c r="R7" s="347"/>
      <c r="S7" s="347">
        <v>1</v>
      </c>
      <c r="T7" s="347"/>
      <c r="U7" s="347"/>
      <c r="V7" s="347">
        <v>1</v>
      </c>
      <c r="W7" s="347"/>
      <c r="X7" s="347"/>
      <c r="Y7" s="347">
        <v>1</v>
      </c>
      <c r="Z7" s="347"/>
      <c r="AA7" s="347"/>
      <c r="AB7" s="347">
        <v>1</v>
      </c>
      <c r="AC7" s="347"/>
      <c r="AD7" s="347"/>
      <c r="AE7" s="436"/>
      <c r="AF7" s="315">
        <v>3</v>
      </c>
      <c r="AG7" s="347"/>
      <c r="AH7" s="347"/>
      <c r="AI7" s="347">
        <v>1</v>
      </c>
      <c r="AJ7" s="347"/>
      <c r="AK7" s="347"/>
      <c r="AL7" s="347">
        <v>1</v>
      </c>
      <c r="AM7" s="347"/>
      <c r="AN7" s="347"/>
      <c r="AO7" s="347">
        <v>1</v>
      </c>
      <c r="AP7" s="347"/>
      <c r="AQ7" s="347"/>
      <c r="AR7" s="347"/>
      <c r="AS7" s="347"/>
      <c r="AT7" s="347">
        <v>0</v>
      </c>
      <c r="AU7" s="347"/>
      <c r="AV7" s="347"/>
      <c r="AW7" s="347"/>
      <c r="AX7" s="347"/>
      <c r="AY7" s="347"/>
      <c r="AZ7" s="347">
        <v>1</v>
      </c>
      <c r="BA7" s="347"/>
      <c r="BB7" s="347">
        <v>1</v>
      </c>
      <c r="BC7" s="347"/>
      <c r="BD7" s="347">
        <v>1</v>
      </c>
      <c r="BE7" s="347"/>
      <c r="BF7" s="347"/>
      <c r="BG7" s="408"/>
      <c r="BH7" s="315">
        <v>3</v>
      </c>
      <c r="BI7" s="347"/>
      <c r="BJ7" s="347"/>
      <c r="BK7" s="347"/>
      <c r="BL7" s="347"/>
      <c r="BM7" s="347">
        <v>3</v>
      </c>
      <c r="BN7" s="347"/>
      <c r="BO7" s="347"/>
      <c r="BP7" s="347"/>
      <c r="BQ7" s="347"/>
      <c r="BR7" s="347"/>
      <c r="BS7" s="347">
        <v>3</v>
      </c>
      <c r="BT7" s="347"/>
      <c r="BU7" s="347"/>
      <c r="BV7" s="347"/>
      <c r="BW7" s="347">
        <v>3</v>
      </c>
      <c r="BX7" s="347"/>
      <c r="BY7" s="347"/>
      <c r="BZ7" s="347"/>
      <c r="CA7" s="347"/>
      <c r="CB7" s="347"/>
      <c r="CC7" s="347">
        <v>1</v>
      </c>
      <c r="CD7" s="347"/>
      <c r="CE7" s="347"/>
      <c r="CF7" s="347"/>
      <c r="CG7" s="347">
        <v>1</v>
      </c>
      <c r="CH7" s="347"/>
      <c r="CI7" s="347"/>
      <c r="CJ7" s="347">
        <v>3</v>
      </c>
      <c r="CK7" s="347"/>
      <c r="CL7" s="347"/>
      <c r="CM7" s="347">
        <v>3</v>
      </c>
      <c r="CN7" s="347"/>
      <c r="CO7" s="347"/>
      <c r="CP7" s="347">
        <v>1</v>
      </c>
      <c r="CQ7" s="347"/>
      <c r="CR7" s="347"/>
      <c r="CS7" s="347">
        <v>3</v>
      </c>
      <c r="CT7" s="347"/>
      <c r="CU7" s="347"/>
      <c r="CV7" s="347">
        <v>3</v>
      </c>
      <c r="CW7" s="347"/>
      <c r="CX7" s="347"/>
      <c r="CY7" s="347">
        <v>3</v>
      </c>
      <c r="CZ7" s="347"/>
      <c r="DA7" s="347"/>
      <c r="DB7" s="347"/>
      <c r="DC7" s="347">
        <v>3</v>
      </c>
      <c r="DD7" s="347"/>
      <c r="DE7" s="347"/>
      <c r="DF7" s="347"/>
      <c r="DG7" s="347">
        <v>3</v>
      </c>
      <c r="DH7" s="347"/>
      <c r="DI7" s="408"/>
      <c r="DJ7" s="315">
        <v>3</v>
      </c>
      <c r="DK7" s="347"/>
      <c r="DL7" s="347"/>
      <c r="DM7" s="347"/>
      <c r="DN7" s="347"/>
      <c r="DO7" s="347"/>
      <c r="DP7" s="347"/>
      <c r="DQ7" s="347"/>
      <c r="DR7" s="347"/>
      <c r="DS7" s="347">
        <v>0</v>
      </c>
      <c r="DT7" s="347"/>
      <c r="DU7" s="347"/>
      <c r="DV7" s="347"/>
      <c r="DW7" s="347"/>
      <c r="DX7" s="347"/>
      <c r="DY7" s="347"/>
      <c r="DZ7" s="347">
        <v>3</v>
      </c>
      <c r="EA7" s="347"/>
      <c r="EB7" s="347"/>
      <c r="EC7" s="347"/>
      <c r="ED7" s="347"/>
      <c r="EE7" s="408"/>
      <c r="EF7" s="430"/>
      <c r="EG7" s="347"/>
      <c r="EH7" s="347"/>
      <c r="EI7" s="347"/>
      <c r="EJ7" s="347"/>
      <c r="EK7" s="408"/>
    </row>
    <row r="8" spans="1:141" ht="12.6" customHeight="1" x14ac:dyDescent="0.35">
      <c r="A8" s="393"/>
      <c r="B8" s="76" t="s">
        <v>23</v>
      </c>
      <c r="D8" s="409">
        <v>0</v>
      </c>
      <c r="E8" s="402"/>
      <c r="F8" s="402"/>
      <c r="G8" s="402"/>
      <c r="H8" s="402"/>
      <c r="I8" s="402">
        <v>0</v>
      </c>
      <c r="J8" s="402"/>
      <c r="K8" s="402"/>
      <c r="L8" s="402"/>
      <c r="M8" s="403"/>
      <c r="N8" s="385">
        <v>3</v>
      </c>
      <c r="O8" s="402"/>
      <c r="P8" s="402"/>
      <c r="Q8" s="402">
        <v>1</v>
      </c>
      <c r="R8" s="402"/>
      <c r="S8" s="402">
        <v>0</v>
      </c>
      <c r="T8" s="402"/>
      <c r="U8" s="402"/>
      <c r="V8" s="402">
        <v>1</v>
      </c>
      <c r="W8" s="402"/>
      <c r="X8" s="402"/>
      <c r="Y8" s="402">
        <v>1</v>
      </c>
      <c r="Z8" s="402"/>
      <c r="AA8" s="402"/>
      <c r="AB8" s="402">
        <v>1</v>
      </c>
      <c r="AC8" s="402"/>
      <c r="AD8" s="402"/>
      <c r="AE8" s="383"/>
      <c r="AF8" s="409">
        <v>0</v>
      </c>
      <c r="AG8" s="402"/>
      <c r="AH8" s="402"/>
      <c r="AI8" s="402">
        <v>0</v>
      </c>
      <c r="AJ8" s="402"/>
      <c r="AK8" s="402"/>
      <c r="AL8" s="402">
        <v>1</v>
      </c>
      <c r="AM8" s="402"/>
      <c r="AN8" s="402"/>
      <c r="AO8" s="402">
        <v>3</v>
      </c>
      <c r="AP8" s="402"/>
      <c r="AQ8" s="402"/>
      <c r="AR8" s="402"/>
      <c r="AS8" s="402"/>
      <c r="AT8" s="402">
        <v>1</v>
      </c>
      <c r="AU8" s="402"/>
      <c r="AV8" s="402"/>
      <c r="AW8" s="402"/>
      <c r="AX8" s="402"/>
      <c r="AY8" s="402"/>
      <c r="AZ8" s="402">
        <v>1</v>
      </c>
      <c r="BA8" s="402"/>
      <c r="BB8" s="402">
        <v>0</v>
      </c>
      <c r="BC8" s="402"/>
      <c r="BD8" s="402">
        <v>0</v>
      </c>
      <c r="BE8" s="402"/>
      <c r="BF8" s="402"/>
      <c r="BG8" s="403"/>
      <c r="BH8" s="409">
        <v>3</v>
      </c>
      <c r="BI8" s="402"/>
      <c r="BJ8" s="402"/>
      <c r="BK8" s="402"/>
      <c r="BL8" s="402"/>
      <c r="BM8" s="402">
        <v>3</v>
      </c>
      <c r="BN8" s="402"/>
      <c r="BO8" s="402"/>
      <c r="BP8" s="402"/>
      <c r="BQ8" s="402"/>
      <c r="BR8" s="402"/>
      <c r="BS8" s="402">
        <v>3</v>
      </c>
      <c r="BT8" s="402"/>
      <c r="BU8" s="402"/>
      <c r="BV8" s="402"/>
      <c r="BW8" s="402">
        <v>3</v>
      </c>
      <c r="BX8" s="402"/>
      <c r="BY8" s="402"/>
      <c r="BZ8" s="402"/>
      <c r="CA8" s="402"/>
      <c r="CB8" s="402"/>
      <c r="CC8" s="402">
        <v>3</v>
      </c>
      <c r="CD8" s="402"/>
      <c r="CE8" s="402"/>
      <c r="CF8" s="402"/>
      <c r="CG8" s="402">
        <v>3</v>
      </c>
      <c r="CH8" s="402"/>
      <c r="CI8" s="402"/>
      <c r="CJ8" s="402">
        <v>1</v>
      </c>
      <c r="CK8" s="402"/>
      <c r="CL8" s="402"/>
      <c r="CM8" s="402">
        <v>1</v>
      </c>
      <c r="CN8" s="402"/>
      <c r="CO8" s="402"/>
      <c r="CP8" s="402">
        <v>1</v>
      </c>
      <c r="CQ8" s="402"/>
      <c r="CR8" s="402"/>
      <c r="CS8" s="402">
        <v>1</v>
      </c>
      <c r="CT8" s="402"/>
      <c r="CU8" s="402"/>
      <c r="CV8" s="402">
        <v>1</v>
      </c>
      <c r="CW8" s="402"/>
      <c r="CX8" s="402"/>
      <c r="CY8" s="402">
        <v>1</v>
      </c>
      <c r="CZ8" s="402"/>
      <c r="DA8" s="402"/>
      <c r="DB8" s="402"/>
      <c r="DC8" s="402">
        <v>1</v>
      </c>
      <c r="DD8" s="402"/>
      <c r="DE8" s="402"/>
      <c r="DF8" s="402"/>
      <c r="DG8" s="402">
        <v>1</v>
      </c>
      <c r="DH8" s="402"/>
      <c r="DI8" s="403"/>
      <c r="DJ8" s="409">
        <v>3</v>
      </c>
      <c r="DK8" s="402"/>
      <c r="DL8" s="402"/>
      <c r="DM8" s="402"/>
      <c r="DN8" s="402"/>
      <c r="DO8" s="402"/>
      <c r="DP8" s="402"/>
      <c r="DQ8" s="402"/>
      <c r="DR8" s="402"/>
      <c r="DS8" s="402">
        <v>0</v>
      </c>
      <c r="DT8" s="402"/>
      <c r="DU8" s="402"/>
      <c r="DV8" s="402"/>
      <c r="DW8" s="402"/>
      <c r="DX8" s="402"/>
      <c r="DY8" s="402"/>
      <c r="DZ8" s="402">
        <v>3</v>
      </c>
      <c r="EA8" s="402"/>
      <c r="EB8" s="402"/>
      <c r="EC8" s="402"/>
      <c r="ED8" s="402"/>
      <c r="EE8" s="403"/>
      <c r="EF8" s="385"/>
      <c r="EG8" s="402"/>
      <c r="EH8" s="402"/>
      <c r="EI8" s="402"/>
      <c r="EJ8" s="402"/>
      <c r="EK8" s="403"/>
    </row>
    <row r="9" spans="1:141" ht="46.5" customHeight="1" x14ac:dyDescent="0.35">
      <c r="A9" s="393"/>
      <c r="B9" s="77" t="s">
        <v>31</v>
      </c>
      <c r="D9" s="423">
        <v>0</v>
      </c>
      <c r="E9" s="404"/>
      <c r="F9" s="404"/>
      <c r="G9" s="404"/>
      <c r="H9" s="404"/>
      <c r="I9" s="404">
        <v>0</v>
      </c>
      <c r="J9" s="404"/>
      <c r="K9" s="404"/>
      <c r="L9" s="404"/>
      <c r="M9" s="405"/>
      <c r="N9" s="432">
        <v>3</v>
      </c>
      <c r="O9" s="404"/>
      <c r="P9" s="404"/>
      <c r="Q9" s="404">
        <v>0</v>
      </c>
      <c r="R9" s="404"/>
      <c r="S9" s="404">
        <v>0</v>
      </c>
      <c r="T9" s="404"/>
      <c r="U9" s="404"/>
      <c r="V9" s="404">
        <v>1</v>
      </c>
      <c r="W9" s="404"/>
      <c r="X9" s="404"/>
      <c r="Y9" s="404">
        <v>1</v>
      </c>
      <c r="Z9" s="404"/>
      <c r="AA9" s="404"/>
      <c r="AB9" s="404">
        <v>0</v>
      </c>
      <c r="AC9" s="404"/>
      <c r="AD9" s="404"/>
      <c r="AE9" s="425"/>
      <c r="AF9" s="423">
        <v>1</v>
      </c>
      <c r="AG9" s="404"/>
      <c r="AH9" s="404"/>
      <c r="AI9" s="404">
        <v>1</v>
      </c>
      <c r="AJ9" s="404"/>
      <c r="AK9" s="404"/>
      <c r="AL9" s="404">
        <v>3</v>
      </c>
      <c r="AM9" s="404"/>
      <c r="AN9" s="404"/>
      <c r="AO9" s="404">
        <v>3</v>
      </c>
      <c r="AP9" s="404"/>
      <c r="AQ9" s="404"/>
      <c r="AR9" s="404"/>
      <c r="AS9" s="404"/>
      <c r="AT9" s="404">
        <v>0</v>
      </c>
      <c r="AU9" s="404"/>
      <c r="AV9" s="404"/>
      <c r="AW9" s="404"/>
      <c r="AX9" s="404"/>
      <c r="AY9" s="404"/>
      <c r="AZ9" s="404">
        <v>0</v>
      </c>
      <c r="BA9" s="404"/>
      <c r="BB9" s="404">
        <v>0</v>
      </c>
      <c r="BC9" s="404"/>
      <c r="BD9" s="404">
        <v>0</v>
      </c>
      <c r="BE9" s="404"/>
      <c r="BF9" s="404"/>
      <c r="BG9" s="405"/>
      <c r="BH9" s="423">
        <v>3</v>
      </c>
      <c r="BI9" s="404"/>
      <c r="BJ9" s="404"/>
      <c r="BK9" s="404"/>
      <c r="BL9" s="404"/>
      <c r="BM9" s="404">
        <v>3</v>
      </c>
      <c r="BN9" s="404"/>
      <c r="BO9" s="404"/>
      <c r="BP9" s="404"/>
      <c r="BQ9" s="404"/>
      <c r="BR9" s="404"/>
      <c r="BS9" s="404">
        <v>3</v>
      </c>
      <c r="BT9" s="404"/>
      <c r="BU9" s="404"/>
      <c r="BV9" s="404"/>
      <c r="BW9" s="404">
        <v>3</v>
      </c>
      <c r="BX9" s="404"/>
      <c r="BY9" s="404"/>
      <c r="BZ9" s="404"/>
      <c r="CA9" s="404"/>
      <c r="CB9" s="404"/>
      <c r="CC9" s="404">
        <v>3</v>
      </c>
      <c r="CD9" s="404"/>
      <c r="CE9" s="404"/>
      <c r="CF9" s="404"/>
      <c r="CG9" s="404">
        <v>3</v>
      </c>
      <c r="CH9" s="404"/>
      <c r="CI9" s="404"/>
      <c r="CJ9" s="404">
        <v>1</v>
      </c>
      <c r="CK9" s="404"/>
      <c r="CL9" s="404"/>
      <c r="CM9" s="404">
        <v>1</v>
      </c>
      <c r="CN9" s="404"/>
      <c r="CO9" s="404"/>
      <c r="CP9" s="404">
        <v>1</v>
      </c>
      <c r="CQ9" s="404"/>
      <c r="CR9" s="404"/>
      <c r="CS9" s="404">
        <v>1</v>
      </c>
      <c r="CT9" s="404"/>
      <c r="CU9" s="404"/>
      <c r="CV9" s="404">
        <v>1</v>
      </c>
      <c r="CW9" s="404"/>
      <c r="CX9" s="404"/>
      <c r="CY9" s="404">
        <v>1</v>
      </c>
      <c r="CZ9" s="404"/>
      <c r="DA9" s="404"/>
      <c r="DB9" s="404"/>
      <c r="DC9" s="404">
        <v>1</v>
      </c>
      <c r="DD9" s="404"/>
      <c r="DE9" s="404"/>
      <c r="DF9" s="404"/>
      <c r="DG9" s="404">
        <v>1</v>
      </c>
      <c r="DH9" s="404"/>
      <c r="DI9" s="405"/>
      <c r="DJ9" s="423">
        <v>3</v>
      </c>
      <c r="DK9" s="404"/>
      <c r="DL9" s="404"/>
      <c r="DM9" s="404"/>
      <c r="DN9" s="404"/>
      <c r="DO9" s="404"/>
      <c r="DP9" s="404"/>
      <c r="DQ9" s="404"/>
      <c r="DR9" s="404"/>
      <c r="DS9" s="404">
        <v>0</v>
      </c>
      <c r="DT9" s="404"/>
      <c r="DU9" s="404"/>
      <c r="DV9" s="404"/>
      <c r="DW9" s="404"/>
      <c r="DX9" s="404"/>
      <c r="DY9" s="404"/>
      <c r="DZ9" s="404">
        <v>1</v>
      </c>
      <c r="EA9" s="404"/>
      <c r="EB9" s="404"/>
      <c r="EC9" s="404"/>
      <c r="ED9" s="404"/>
      <c r="EE9" s="405"/>
      <c r="EF9" s="385"/>
      <c r="EG9" s="402"/>
      <c r="EH9" s="402"/>
      <c r="EI9" s="402"/>
      <c r="EJ9" s="402"/>
      <c r="EK9" s="403"/>
    </row>
    <row r="10" spans="1:141" ht="16.350000000000001" customHeight="1" thickBot="1" x14ac:dyDescent="0.4">
      <c r="A10" s="394"/>
      <c r="B10" s="88" t="s">
        <v>34</v>
      </c>
      <c r="C10" s="114"/>
      <c r="D10" s="424">
        <v>0</v>
      </c>
      <c r="E10" s="406"/>
      <c r="F10" s="406"/>
      <c r="G10" s="406"/>
      <c r="H10" s="406"/>
      <c r="I10" s="406">
        <v>0</v>
      </c>
      <c r="J10" s="406"/>
      <c r="K10" s="406"/>
      <c r="L10" s="406"/>
      <c r="M10" s="407"/>
      <c r="N10" s="433">
        <v>1</v>
      </c>
      <c r="O10" s="406"/>
      <c r="P10" s="406"/>
      <c r="Q10" s="406">
        <v>0</v>
      </c>
      <c r="R10" s="406"/>
      <c r="S10" s="406">
        <v>0</v>
      </c>
      <c r="T10" s="406"/>
      <c r="U10" s="406"/>
      <c r="V10" s="406">
        <v>0</v>
      </c>
      <c r="W10" s="406"/>
      <c r="X10" s="406"/>
      <c r="Y10" s="406">
        <v>0</v>
      </c>
      <c r="Z10" s="406"/>
      <c r="AA10" s="406"/>
      <c r="AB10" s="406">
        <v>0</v>
      </c>
      <c r="AC10" s="406"/>
      <c r="AD10" s="406"/>
      <c r="AE10" s="435"/>
      <c r="AF10" s="424">
        <v>3</v>
      </c>
      <c r="AG10" s="406"/>
      <c r="AH10" s="406"/>
      <c r="AI10" s="406">
        <v>3</v>
      </c>
      <c r="AJ10" s="406"/>
      <c r="AK10" s="406"/>
      <c r="AL10" s="406">
        <v>1</v>
      </c>
      <c r="AM10" s="406"/>
      <c r="AN10" s="406"/>
      <c r="AO10" s="406">
        <v>1</v>
      </c>
      <c r="AP10" s="406"/>
      <c r="AQ10" s="406"/>
      <c r="AR10" s="406"/>
      <c r="AS10" s="406"/>
      <c r="AT10" s="406">
        <v>0</v>
      </c>
      <c r="AU10" s="406"/>
      <c r="AV10" s="406"/>
      <c r="AW10" s="406"/>
      <c r="AX10" s="406"/>
      <c r="AY10" s="406"/>
      <c r="AZ10" s="406">
        <v>0</v>
      </c>
      <c r="BA10" s="406"/>
      <c r="BB10" s="406">
        <v>0</v>
      </c>
      <c r="BC10" s="406"/>
      <c r="BD10" s="406">
        <v>0</v>
      </c>
      <c r="BE10" s="406"/>
      <c r="BF10" s="406"/>
      <c r="BG10" s="407"/>
      <c r="BH10" s="424">
        <v>3</v>
      </c>
      <c r="BI10" s="406"/>
      <c r="BJ10" s="406"/>
      <c r="BK10" s="406"/>
      <c r="BL10" s="406"/>
      <c r="BM10" s="406">
        <v>3</v>
      </c>
      <c r="BN10" s="406"/>
      <c r="BO10" s="406"/>
      <c r="BP10" s="406"/>
      <c r="BQ10" s="406"/>
      <c r="BR10" s="406"/>
      <c r="BS10" s="406">
        <v>3</v>
      </c>
      <c r="BT10" s="406"/>
      <c r="BU10" s="406"/>
      <c r="BV10" s="406"/>
      <c r="BW10" s="406">
        <v>3</v>
      </c>
      <c r="BX10" s="406"/>
      <c r="BY10" s="406"/>
      <c r="BZ10" s="406"/>
      <c r="CA10" s="406"/>
      <c r="CB10" s="406"/>
      <c r="CC10" s="406">
        <v>3</v>
      </c>
      <c r="CD10" s="406"/>
      <c r="CE10" s="406"/>
      <c r="CF10" s="406"/>
      <c r="CG10" s="406">
        <v>3</v>
      </c>
      <c r="CH10" s="406"/>
      <c r="CI10" s="406"/>
      <c r="CJ10" s="406">
        <v>1</v>
      </c>
      <c r="CK10" s="406"/>
      <c r="CL10" s="406"/>
      <c r="CM10" s="406">
        <v>1</v>
      </c>
      <c r="CN10" s="406"/>
      <c r="CO10" s="406"/>
      <c r="CP10" s="406">
        <v>1</v>
      </c>
      <c r="CQ10" s="406"/>
      <c r="CR10" s="406"/>
      <c r="CS10" s="406">
        <v>1</v>
      </c>
      <c r="CT10" s="406"/>
      <c r="CU10" s="406"/>
      <c r="CV10" s="406">
        <v>1</v>
      </c>
      <c r="CW10" s="406"/>
      <c r="CX10" s="406"/>
      <c r="CY10" s="406">
        <v>1</v>
      </c>
      <c r="CZ10" s="406"/>
      <c r="DA10" s="406"/>
      <c r="DB10" s="406"/>
      <c r="DC10" s="406">
        <v>1</v>
      </c>
      <c r="DD10" s="406"/>
      <c r="DE10" s="406"/>
      <c r="DF10" s="406"/>
      <c r="DG10" s="406">
        <v>1</v>
      </c>
      <c r="DH10" s="406"/>
      <c r="DI10" s="407"/>
      <c r="DJ10" s="424">
        <v>1</v>
      </c>
      <c r="DK10" s="406"/>
      <c r="DL10" s="406"/>
      <c r="DM10" s="406"/>
      <c r="DN10" s="406"/>
      <c r="DO10" s="406"/>
      <c r="DP10" s="406"/>
      <c r="DQ10" s="406"/>
      <c r="DR10" s="406"/>
      <c r="DS10" s="406">
        <v>3</v>
      </c>
      <c r="DT10" s="406"/>
      <c r="DU10" s="406"/>
      <c r="DV10" s="406"/>
      <c r="DW10" s="406"/>
      <c r="DX10" s="406"/>
      <c r="DY10" s="406"/>
      <c r="DZ10" s="406">
        <v>3</v>
      </c>
      <c r="EA10" s="406"/>
      <c r="EB10" s="406"/>
      <c r="EC10" s="406"/>
      <c r="ED10" s="406"/>
      <c r="EE10" s="407"/>
      <c r="EF10" s="434"/>
      <c r="EG10" s="401"/>
      <c r="EH10" s="401"/>
      <c r="EI10" s="401"/>
      <c r="EJ10" s="401"/>
      <c r="EK10" s="431"/>
    </row>
    <row r="11" spans="1:141" ht="12.6" customHeight="1" x14ac:dyDescent="0.35">
      <c r="A11" s="392" t="s">
        <v>36</v>
      </c>
      <c r="B11" s="86" t="s">
        <v>37</v>
      </c>
      <c r="C11" s="129"/>
      <c r="D11" s="315">
        <v>1</v>
      </c>
      <c r="E11" s="347"/>
      <c r="F11" s="347"/>
      <c r="G11" s="347"/>
      <c r="H11" s="347"/>
      <c r="I11" s="347">
        <v>1</v>
      </c>
      <c r="J11" s="347"/>
      <c r="K11" s="347"/>
      <c r="L11" s="347"/>
      <c r="M11" s="408"/>
      <c r="N11" s="430">
        <v>3</v>
      </c>
      <c r="O11" s="347"/>
      <c r="P11" s="347"/>
      <c r="Q11" s="347">
        <v>1</v>
      </c>
      <c r="R11" s="347"/>
      <c r="S11" s="347">
        <v>0</v>
      </c>
      <c r="T11" s="347"/>
      <c r="U11" s="347"/>
      <c r="V11" s="347">
        <v>0</v>
      </c>
      <c r="W11" s="347"/>
      <c r="X11" s="347"/>
      <c r="Y11" s="347">
        <v>3</v>
      </c>
      <c r="Z11" s="347"/>
      <c r="AA11" s="347"/>
      <c r="AB11" s="347">
        <v>0</v>
      </c>
      <c r="AC11" s="347"/>
      <c r="AD11" s="347"/>
      <c r="AE11" s="436"/>
      <c r="AF11" s="315">
        <v>1</v>
      </c>
      <c r="AG11" s="347"/>
      <c r="AH11" s="347"/>
      <c r="AI11" s="347">
        <v>1</v>
      </c>
      <c r="AJ11" s="347"/>
      <c r="AK11" s="347"/>
      <c r="AL11" s="347">
        <v>0</v>
      </c>
      <c r="AM11" s="347"/>
      <c r="AN11" s="347"/>
      <c r="AO11" s="347">
        <v>1</v>
      </c>
      <c r="AP11" s="347"/>
      <c r="AQ11" s="347"/>
      <c r="AR11" s="347"/>
      <c r="AS11" s="347"/>
      <c r="AT11" s="347">
        <v>0</v>
      </c>
      <c r="AU11" s="347"/>
      <c r="AV11" s="347"/>
      <c r="AW11" s="347"/>
      <c r="AX11" s="347"/>
      <c r="AY11" s="347"/>
      <c r="AZ11" s="347">
        <v>1</v>
      </c>
      <c r="BA11" s="347"/>
      <c r="BB11" s="347">
        <v>0</v>
      </c>
      <c r="BC11" s="347"/>
      <c r="BD11" s="347">
        <v>3</v>
      </c>
      <c r="BE11" s="347"/>
      <c r="BF11" s="347"/>
      <c r="BG11" s="408"/>
      <c r="BH11" s="315">
        <v>3</v>
      </c>
      <c r="BI11" s="347"/>
      <c r="BJ11" s="347"/>
      <c r="BK11" s="347"/>
      <c r="BL11" s="347"/>
      <c r="BM11" s="347">
        <v>3</v>
      </c>
      <c r="BN11" s="347"/>
      <c r="BO11" s="347"/>
      <c r="BP11" s="347"/>
      <c r="BQ11" s="347"/>
      <c r="BR11" s="347"/>
      <c r="BS11" s="347">
        <v>3</v>
      </c>
      <c r="BT11" s="347"/>
      <c r="BU11" s="347"/>
      <c r="BV11" s="347"/>
      <c r="BW11" s="347">
        <v>1</v>
      </c>
      <c r="BX11" s="347"/>
      <c r="BY11" s="347"/>
      <c r="BZ11" s="347"/>
      <c r="CA11" s="347"/>
      <c r="CB11" s="347"/>
      <c r="CC11" s="347">
        <v>0</v>
      </c>
      <c r="CD11" s="347"/>
      <c r="CE11" s="347"/>
      <c r="CF11" s="347"/>
      <c r="CG11" s="347">
        <v>0</v>
      </c>
      <c r="CH11" s="347"/>
      <c r="CI11" s="347"/>
      <c r="CJ11" s="347">
        <v>0</v>
      </c>
      <c r="CK11" s="347"/>
      <c r="CL11" s="347"/>
      <c r="CM11" s="347">
        <v>0</v>
      </c>
      <c r="CN11" s="347"/>
      <c r="CO11" s="347"/>
      <c r="CP11" s="347">
        <v>1</v>
      </c>
      <c r="CQ11" s="347"/>
      <c r="CR11" s="347"/>
      <c r="CS11" s="347">
        <v>0</v>
      </c>
      <c r="CT11" s="347"/>
      <c r="CU11" s="347"/>
      <c r="CV11" s="347">
        <v>1</v>
      </c>
      <c r="CW11" s="347"/>
      <c r="CX11" s="347"/>
      <c r="CY11" s="347">
        <v>1</v>
      </c>
      <c r="CZ11" s="347"/>
      <c r="DA11" s="347"/>
      <c r="DB11" s="347"/>
      <c r="DC11" s="347">
        <v>1</v>
      </c>
      <c r="DD11" s="347"/>
      <c r="DE11" s="347"/>
      <c r="DF11" s="347"/>
      <c r="DG11" s="347">
        <v>1</v>
      </c>
      <c r="DH11" s="347"/>
      <c r="DI11" s="408"/>
      <c r="DJ11" s="315">
        <v>3</v>
      </c>
      <c r="DK11" s="347"/>
      <c r="DL11" s="347"/>
      <c r="DM11" s="347"/>
      <c r="DN11" s="347"/>
      <c r="DO11" s="347"/>
      <c r="DP11" s="347"/>
      <c r="DQ11" s="347"/>
      <c r="DR11" s="347"/>
      <c r="DS11" s="347">
        <v>0</v>
      </c>
      <c r="DT11" s="347"/>
      <c r="DU11" s="347"/>
      <c r="DV11" s="347"/>
      <c r="DW11" s="347"/>
      <c r="DX11" s="347"/>
      <c r="DY11" s="347"/>
      <c r="DZ11" s="347">
        <v>3</v>
      </c>
      <c r="EA11" s="347"/>
      <c r="EB11" s="347"/>
      <c r="EC11" s="347"/>
      <c r="ED11" s="347"/>
      <c r="EE11" s="408"/>
      <c r="EF11" s="430"/>
      <c r="EG11" s="347"/>
      <c r="EH11" s="347"/>
      <c r="EI11" s="347"/>
      <c r="EJ11" s="347"/>
      <c r="EK11" s="408"/>
    </row>
    <row r="12" spans="1:141" ht="12.6" customHeight="1" x14ac:dyDescent="0.35">
      <c r="A12" s="393"/>
      <c r="B12" s="76" t="s">
        <v>46</v>
      </c>
      <c r="D12" s="409">
        <v>0</v>
      </c>
      <c r="E12" s="402"/>
      <c r="F12" s="402"/>
      <c r="G12" s="402"/>
      <c r="H12" s="402"/>
      <c r="I12" s="402">
        <v>0</v>
      </c>
      <c r="J12" s="402"/>
      <c r="K12" s="402"/>
      <c r="L12" s="402"/>
      <c r="M12" s="403"/>
      <c r="N12" s="385">
        <v>3</v>
      </c>
      <c r="O12" s="402"/>
      <c r="P12" s="402"/>
      <c r="Q12" s="402">
        <v>1</v>
      </c>
      <c r="R12" s="402"/>
      <c r="S12" s="402">
        <v>0</v>
      </c>
      <c r="T12" s="402"/>
      <c r="U12" s="402"/>
      <c r="V12" s="402">
        <v>0</v>
      </c>
      <c r="W12" s="402"/>
      <c r="X12" s="402"/>
      <c r="Y12" s="402">
        <v>3</v>
      </c>
      <c r="Z12" s="402"/>
      <c r="AA12" s="402"/>
      <c r="AB12" s="402">
        <v>1</v>
      </c>
      <c r="AC12" s="402"/>
      <c r="AD12" s="402"/>
      <c r="AE12" s="383"/>
      <c r="AF12" s="409">
        <v>1</v>
      </c>
      <c r="AG12" s="402"/>
      <c r="AH12" s="402"/>
      <c r="AI12" s="402">
        <v>1</v>
      </c>
      <c r="AJ12" s="402"/>
      <c r="AK12" s="402"/>
      <c r="AL12" s="402">
        <v>0</v>
      </c>
      <c r="AM12" s="402"/>
      <c r="AN12" s="402"/>
      <c r="AO12" s="402">
        <v>0</v>
      </c>
      <c r="AP12" s="402"/>
      <c r="AQ12" s="402"/>
      <c r="AR12" s="402"/>
      <c r="AS12" s="402"/>
      <c r="AT12" s="402">
        <v>0</v>
      </c>
      <c r="AU12" s="402"/>
      <c r="AV12" s="402"/>
      <c r="AW12" s="402"/>
      <c r="AX12" s="402"/>
      <c r="AY12" s="402"/>
      <c r="AZ12" s="402">
        <v>0</v>
      </c>
      <c r="BA12" s="402"/>
      <c r="BB12" s="402">
        <v>0</v>
      </c>
      <c r="BC12" s="402"/>
      <c r="BD12" s="402">
        <v>0</v>
      </c>
      <c r="BE12" s="402"/>
      <c r="BF12" s="402"/>
      <c r="BG12" s="403"/>
      <c r="BH12" s="409">
        <v>0</v>
      </c>
      <c r="BI12" s="402"/>
      <c r="BJ12" s="402"/>
      <c r="BK12" s="402"/>
      <c r="BL12" s="402"/>
      <c r="BM12" s="402">
        <v>1</v>
      </c>
      <c r="BN12" s="402"/>
      <c r="BO12" s="402"/>
      <c r="BP12" s="402"/>
      <c r="BQ12" s="402"/>
      <c r="BR12" s="402"/>
      <c r="BS12" s="402">
        <v>1</v>
      </c>
      <c r="BT12" s="402"/>
      <c r="BU12" s="402"/>
      <c r="BV12" s="402"/>
      <c r="BW12" s="402">
        <v>3</v>
      </c>
      <c r="BX12" s="402"/>
      <c r="BY12" s="402"/>
      <c r="BZ12" s="402"/>
      <c r="CA12" s="402"/>
      <c r="CB12" s="402"/>
      <c r="CC12" s="402">
        <v>3</v>
      </c>
      <c r="CD12" s="402"/>
      <c r="CE12" s="402"/>
      <c r="CF12" s="402"/>
      <c r="CG12" s="402">
        <v>1</v>
      </c>
      <c r="CH12" s="402"/>
      <c r="CI12" s="402"/>
      <c r="CJ12" s="402">
        <v>1</v>
      </c>
      <c r="CK12" s="402"/>
      <c r="CL12" s="402"/>
      <c r="CM12" s="402">
        <v>1</v>
      </c>
      <c r="CN12" s="402"/>
      <c r="CO12" s="402"/>
      <c r="CP12" s="402">
        <v>0</v>
      </c>
      <c r="CQ12" s="402"/>
      <c r="CR12" s="402"/>
      <c r="CS12" s="402">
        <v>0</v>
      </c>
      <c r="CT12" s="402"/>
      <c r="CU12" s="402"/>
      <c r="CV12" s="402">
        <v>0</v>
      </c>
      <c r="CW12" s="402"/>
      <c r="CX12" s="402"/>
      <c r="CY12" s="402">
        <v>0</v>
      </c>
      <c r="CZ12" s="402"/>
      <c r="DA12" s="402"/>
      <c r="DB12" s="402"/>
      <c r="DC12" s="402">
        <v>0</v>
      </c>
      <c r="DD12" s="402"/>
      <c r="DE12" s="402"/>
      <c r="DF12" s="402"/>
      <c r="DG12" s="402">
        <v>0</v>
      </c>
      <c r="DH12" s="402"/>
      <c r="DI12" s="403"/>
      <c r="DJ12" s="409">
        <v>3</v>
      </c>
      <c r="DK12" s="402"/>
      <c r="DL12" s="402"/>
      <c r="DM12" s="402"/>
      <c r="DN12" s="402"/>
      <c r="DO12" s="402"/>
      <c r="DP12" s="402"/>
      <c r="DQ12" s="402"/>
      <c r="DR12" s="402"/>
      <c r="DS12" s="402">
        <v>0</v>
      </c>
      <c r="DT12" s="402"/>
      <c r="DU12" s="402"/>
      <c r="DV12" s="402"/>
      <c r="DW12" s="402"/>
      <c r="DX12" s="402"/>
      <c r="DY12" s="402"/>
      <c r="DZ12" s="402">
        <v>3</v>
      </c>
      <c r="EA12" s="402"/>
      <c r="EB12" s="402"/>
      <c r="EC12" s="402"/>
      <c r="ED12" s="402"/>
      <c r="EE12" s="403"/>
      <c r="EF12" s="385"/>
      <c r="EG12" s="402"/>
      <c r="EH12" s="402"/>
      <c r="EI12" s="402"/>
      <c r="EJ12" s="402"/>
      <c r="EK12" s="403"/>
    </row>
    <row r="13" spans="1:141" ht="12.6" customHeight="1" x14ac:dyDescent="0.35">
      <c r="A13" s="393"/>
      <c r="B13" s="76" t="s">
        <v>55</v>
      </c>
      <c r="D13" s="409">
        <v>0</v>
      </c>
      <c r="E13" s="402"/>
      <c r="F13" s="402"/>
      <c r="G13" s="402"/>
      <c r="H13" s="402"/>
      <c r="I13" s="402">
        <v>0</v>
      </c>
      <c r="J13" s="402"/>
      <c r="K13" s="402"/>
      <c r="L13" s="402"/>
      <c r="M13" s="403"/>
      <c r="N13" s="385">
        <v>3</v>
      </c>
      <c r="O13" s="402"/>
      <c r="P13" s="402"/>
      <c r="Q13" s="402">
        <v>0</v>
      </c>
      <c r="R13" s="402"/>
      <c r="S13" s="402">
        <v>0</v>
      </c>
      <c r="T13" s="402"/>
      <c r="U13" s="402"/>
      <c r="V13" s="402">
        <v>0</v>
      </c>
      <c r="W13" s="402"/>
      <c r="X13" s="402"/>
      <c r="Y13" s="402">
        <v>0</v>
      </c>
      <c r="Z13" s="402"/>
      <c r="AA13" s="402"/>
      <c r="AB13" s="402">
        <v>0</v>
      </c>
      <c r="AC13" s="402"/>
      <c r="AD13" s="402"/>
      <c r="AE13" s="383"/>
      <c r="AF13" s="409">
        <v>1</v>
      </c>
      <c r="AG13" s="402"/>
      <c r="AH13" s="402"/>
      <c r="AI13" s="402">
        <v>1</v>
      </c>
      <c r="AJ13" s="402"/>
      <c r="AK13" s="402"/>
      <c r="AL13" s="402">
        <v>0</v>
      </c>
      <c r="AM13" s="402"/>
      <c r="AN13" s="402"/>
      <c r="AO13" s="402">
        <v>0</v>
      </c>
      <c r="AP13" s="402"/>
      <c r="AQ13" s="402"/>
      <c r="AR13" s="402"/>
      <c r="AS13" s="402"/>
      <c r="AT13" s="402">
        <v>0</v>
      </c>
      <c r="AU13" s="402"/>
      <c r="AV13" s="402"/>
      <c r="AW13" s="402"/>
      <c r="AX13" s="402"/>
      <c r="AY13" s="402"/>
      <c r="AZ13" s="402">
        <v>0</v>
      </c>
      <c r="BA13" s="402"/>
      <c r="BB13" s="402">
        <v>0</v>
      </c>
      <c r="BC13" s="402"/>
      <c r="BD13" s="402">
        <v>0</v>
      </c>
      <c r="BE13" s="402"/>
      <c r="BF13" s="402"/>
      <c r="BG13" s="403"/>
      <c r="BH13" s="409">
        <v>1</v>
      </c>
      <c r="BI13" s="402"/>
      <c r="BJ13" s="402"/>
      <c r="BK13" s="402"/>
      <c r="BL13" s="402"/>
      <c r="BM13" s="402">
        <v>1</v>
      </c>
      <c r="BN13" s="402"/>
      <c r="BO13" s="402"/>
      <c r="BP13" s="402"/>
      <c r="BQ13" s="402"/>
      <c r="BR13" s="402"/>
      <c r="BS13" s="402">
        <v>1</v>
      </c>
      <c r="BT13" s="402"/>
      <c r="BU13" s="402"/>
      <c r="BV13" s="402"/>
      <c r="BW13" s="402">
        <v>1</v>
      </c>
      <c r="BX13" s="402"/>
      <c r="BY13" s="402"/>
      <c r="BZ13" s="402"/>
      <c r="CA13" s="402"/>
      <c r="CB13" s="402"/>
      <c r="CC13" s="402">
        <v>0</v>
      </c>
      <c r="CD13" s="402"/>
      <c r="CE13" s="402"/>
      <c r="CF13" s="402"/>
      <c r="CG13" s="402">
        <v>0</v>
      </c>
      <c r="CH13" s="402"/>
      <c r="CI13" s="402"/>
      <c r="CJ13" s="402">
        <v>0</v>
      </c>
      <c r="CK13" s="402"/>
      <c r="CL13" s="402"/>
      <c r="CM13" s="402">
        <v>3</v>
      </c>
      <c r="CN13" s="402"/>
      <c r="CO13" s="402"/>
      <c r="CP13" s="402">
        <v>3</v>
      </c>
      <c r="CQ13" s="402"/>
      <c r="CR13" s="402"/>
      <c r="CS13" s="402">
        <v>0</v>
      </c>
      <c r="CT13" s="402"/>
      <c r="CU13" s="402"/>
      <c r="CV13" s="402">
        <v>3</v>
      </c>
      <c r="CW13" s="402"/>
      <c r="CX13" s="402"/>
      <c r="CY13" s="402">
        <v>0</v>
      </c>
      <c r="CZ13" s="402"/>
      <c r="DA13" s="402"/>
      <c r="DB13" s="402"/>
      <c r="DC13" s="402">
        <v>0</v>
      </c>
      <c r="DD13" s="402"/>
      <c r="DE13" s="402"/>
      <c r="DF13" s="402"/>
      <c r="DG13" s="402">
        <v>0</v>
      </c>
      <c r="DH13" s="402"/>
      <c r="DI13" s="403"/>
      <c r="DJ13" s="409">
        <v>3</v>
      </c>
      <c r="DK13" s="402"/>
      <c r="DL13" s="402"/>
      <c r="DM13" s="402"/>
      <c r="DN13" s="402"/>
      <c r="DO13" s="402"/>
      <c r="DP13" s="402"/>
      <c r="DQ13" s="402"/>
      <c r="DR13" s="402"/>
      <c r="DS13" s="402">
        <v>0</v>
      </c>
      <c r="DT13" s="402"/>
      <c r="DU13" s="402"/>
      <c r="DV13" s="402"/>
      <c r="DW13" s="402"/>
      <c r="DX13" s="402"/>
      <c r="DY13" s="402"/>
      <c r="DZ13" s="402">
        <v>3</v>
      </c>
      <c r="EA13" s="402"/>
      <c r="EB13" s="402"/>
      <c r="EC13" s="402"/>
      <c r="ED13" s="402"/>
      <c r="EE13" s="403"/>
      <c r="EF13" s="385"/>
      <c r="EG13" s="402"/>
      <c r="EH13" s="402"/>
      <c r="EI13" s="402"/>
      <c r="EJ13" s="402"/>
      <c r="EK13" s="403"/>
    </row>
    <row r="14" spans="1:141" ht="12.6" customHeight="1" x14ac:dyDescent="0.35">
      <c r="A14" s="393"/>
      <c r="B14" s="76" t="s">
        <v>64</v>
      </c>
      <c r="D14" s="409">
        <v>0</v>
      </c>
      <c r="E14" s="402"/>
      <c r="F14" s="402"/>
      <c r="G14" s="402"/>
      <c r="H14" s="402"/>
      <c r="I14" s="402">
        <v>0</v>
      </c>
      <c r="J14" s="402"/>
      <c r="K14" s="402"/>
      <c r="L14" s="402"/>
      <c r="M14" s="403"/>
      <c r="N14" s="385">
        <v>3</v>
      </c>
      <c r="O14" s="402"/>
      <c r="P14" s="402"/>
      <c r="Q14" s="402">
        <v>0</v>
      </c>
      <c r="R14" s="402"/>
      <c r="S14" s="402">
        <v>0</v>
      </c>
      <c r="T14" s="402"/>
      <c r="U14" s="402"/>
      <c r="V14" s="402">
        <v>0</v>
      </c>
      <c r="W14" s="402"/>
      <c r="X14" s="402"/>
      <c r="Y14" s="402">
        <v>0</v>
      </c>
      <c r="Z14" s="402"/>
      <c r="AA14" s="402"/>
      <c r="AB14" s="402">
        <v>0</v>
      </c>
      <c r="AC14" s="402"/>
      <c r="AD14" s="402"/>
      <c r="AE14" s="383"/>
      <c r="AF14" s="409">
        <v>1</v>
      </c>
      <c r="AG14" s="402"/>
      <c r="AH14" s="402"/>
      <c r="AI14" s="402">
        <v>1</v>
      </c>
      <c r="AJ14" s="402"/>
      <c r="AK14" s="402"/>
      <c r="AL14" s="402">
        <v>0</v>
      </c>
      <c r="AM14" s="402"/>
      <c r="AN14" s="402"/>
      <c r="AO14" s="402">
        <v>0</v>
      </c>
      <c r="AP14" s="402"/>
      <c r="AQ14" s="402"/>
      <c r="AR14" s="402"/>
      <c r="AS14" s="402"/>
      <c r="AT14" s="402">
        <v>0</v>
      </c>
      <c r="AU14" s="402"/>
      <c r="AV14" s="402"/>
      <c r="AW14" s="402"/>
      <c r="AX14" s="402"/>
      <c r="AY14" s="402"/>
      <c r="AZ14" s="402">
        <v>0</v>
      </c>
      <c r="BA14" s="402"/>
      <c r="BB14" s="402">
        <v>0</v>
      </c>
      <c r="BC14" s="402"/>
      <c r="BD14" s="402">
        <v>0</v>
      </c>
      <c r="BE14" s="402"/>
      <c r="BF14" s="402"/>
      <c r="BG14" s="403"/>
      <c r="BH14" s="409">
        <v>0</v>
      </c>
      <c r="BI14" s="402"/>
      <c r="BJ14" s="402"/>
      <c r="BK14" s="402"/>
      <c r="BL14" s="402"/>
      <c r="BM14" s="402">
        <v>0</v>
      </c>
      <c r="BN14" s="402"/>
      <c r="BO14" s="402"/>
      <c r="BP14" s="402"/>
      <c r="BQ14" s="402"/>
      <c r="BR14" s="402"/>
      <c r="BS14" s="402">
        <v>0</v>
      </c>
      <c r="BT14" s="402"/>
      <c r="BU14" s="402"/>
      <c r="BV14" s="402"/>
      <c r="BW14" s="402">
        <v>0</v>
      </c>
      <c r="BX14" s="402"/>
      <c r="BY14" s="402"/>
      <c r="BZ14" s="402"/>
      <c r="CA14" s="402"/>
      <c r="CB14" s="402"/>
      <c r="CC14" s="402">
        <v>0</v>
      </c>
      <c r="CD14" s="402"/>
      <c r="CE14" s="402"/>
      <c r="CF14" s="402"/>
      <c r="CG14" s="402">
        <v>0</v>
      </c>
      <c r="CH14" s="402"/>
      <c r="CI14" s="402"/>
      <c r="CJ14" s="402">
        <v>0</v>
      </c>
      <c r="CK14" s="402"/>
      <c r="CL14" s="402"/>
      <c r="CM14" s="402">
        <v>1</v>
      </c>
      <c r="CN14" s="402"/>
      <c r="CO14" s="402"/>
      <c r="CP14" s="402">
        <v>1</v>
      </c>
      <c r="CQ14" s="402"/>
      <c r="CR14" s="402"/>
      <c r="CS14" s="402">
        <v>0</v>
      </c>
      <c r="CT14" s="402"/>
      <c r="CU14" s="402"/>
      <c r="CV14" s="402">
        <v>1</v>
      </c>
      <c r="CW14" s="402"/>
      <c r="CX14" s="402"/>
      <c r="CY14" s="402">
        <v>3</v>
      </c>
      <c r="CZ14" s="402"/>
      <c r="DA14" s="402"/>
      <c r="DB14" s="402"/>
      <c r="DC14" s="402">
        <v>3</v>
      </c>
      <c r="DD14" s="402"/>
      <c r="DE14" s="402"/>
      <c r="DF14" s="402"/>
      <c r="DG14" s="402">
        <v>3</v>
      </c>
      <c r="DH14" s="402"/>
      <c r="DI14" s="403"/>
      <c r="DJ14" s="409">
        <v>3</v>
      </c>
      <c r="DK14" s="402"/>
      <c r="DL14" s="402"/>
      <c r="DM14" s="402"/>
      <c r="DN14" s="402"/>
      <c r="DO14" s="402"/>
      <c r="DP14" s="402"/>
      <c r="DQ14" s="402"/>
      <c r="DR14" s="402"/>
      <c r="DS14" s="402">
        <v>0</v>
      </c>
      <c r="DT14" s="402"/>
      <c r="DU14" s="402"/>
      <c r="DV14" s="402"/>
      <c r="DW14" s="402"/>
      <c r="DX14" s="402"/>
      <c r="DY14" s="402"/>
      <c r="DZ14" s="402">
        <v>3</v>
      </c>
      <c r="EA14" s="402"/>
      <c r="EB14" s="402"/>
      <c r="EC14" s="402"/>
      <c r="ED14" s="402"/>
      <c r="EE14" s="403"/>
      <c r="EF14" s="385"/>
      <c r="EG14" s="402"/>
      <c r="EH14" s="402"/>
      <c r="EI14" s="402"/>
      <c r="EJ14" s="402"/>
      <c r="EK14" s="403"/>
    </row>
    <row r="15" spans="1:141" ht="13.35" customHeight="1" thickBot="1" x14ac:dyDescent="0.4">
      <c r="A15" s="394"/>
      <c r="B15" s="88" t="s">
        <v>67</v>
      </c>
      <c r="C15" s="114"/>
      <c r="D15" s="400">
        <v>0</v>
      </c>
      <c r="E15" s="401"/>
      <c r="F15" s="401"/>
      <c r="G15" s="401"/>
      <c r="H15" s="401"/>
      <c r="I15" s="401">
        <v>0</v>
      </c>
      <c r="J15" s="401"/>
      <c r="K15" s="401"/>
      <c r="L15" s="401"/>
      <c r="M15" s="431"/>
      <c r="N15" s="434">
        <v>3</v>
      </c>
      <c r="O15" s="401"/>
      <c r="P15" s="401"/>
      <c r="Q15" s="401">
        <v>0</v>
      </c>
      <c r="R15" s="401"/>
      <c r="S15" s="401">
        <v>0</v>
      </c>
      <c r="T15" s="401"/>
      <c r="U15" s="401"/>
      <c r="V15" s="401">
        <v>0</v>
      </c>
      <c r="W15" s="401"/>
      <c r="X15" s="401"/>
      <c r="Y15" s="401">
        <v>0</v>
      </c>
      <c r="Z15" s="401"/>
      <c r="AA15" s="401"/>
      <c r="AB15" s="401">
        <v>0</v>
      </c>
      <c r="AC15" s="401"/>
      <c r="AD15" s="401"/>
      <c r="AE15" s="437"/>
      <c r="AF15" s="400">
        <v>3</v>
      </c>
      <c r="AG15" s="401"/>
      <c r="AH15" s="401"/>
      <c r="AI15" s="401">
        <v>3</v>
      </c>
      <c r="AJ15" s="401"/>
      <c r="AK15" s="401"/>
      <c r="AL15" s="401">
        <v>0</v>
      </c>
      <c r="AM15" s="401"/>
      <c r="AN15" s="401"/>
      <c r="AO15" s="401">
        <v>0</v>
      </c>
      <c r="AP15" s="401"/>
      <c r="AQ15" s="401"/>
      <c r="AR15" s="401"/>
      <c r="AS15" s="401"/>
      <c r="AT15" s="401">
        <v>0</v>
      </c>
      <c r="AU15" s="401"/>
      <c r="AV15" s="401"/>
      <c r="AW15" s="401"/>
      <c r="AX15" s="401"/>
      <c r="AY15" s="401"/>
      <c r="AZ15" s="401">
        <v>0</v>
      </c>
      <c r="BA15" s="401"/>
      <c r="BB15" s="401">
        <v>0</v>
      </c>
      <c r="BC15" s="401"/>
      <c r="BD15" s="401">
        <v>0</v>
      </c>
      <c r="BE15" s="401"/>
      <c r="BF15" s="401"/>
      <c r="BG15" s="431"/>
      <c r="BH15" s="400">
        <v>3</v>
      </c>
      <c r="BI15" s="401"/>
      <c r="BJ15" s="401"/>
      <c r="BK15" s="401"/>
      <c r="BL15" s="401"/>
      <c r="BM15" s="401">
        <v>3</v>
      </c>
      <c r="BN15" s="401"/>
      <c r="BO15" s="401"/>
      <c r="BP15" s="401"/>
      <c r="BQ15" s="401"/>
      <c r="BR15" s="401"/>
      <c r="BS15" s="401">
        <v>3</v>
      </c>
      <c r="BT15" s="401"/>
      <c r="BU15" s="401"/>
      <c r="BV15" s="401"/>
      <c r="BW15" s="401">
        <v>3</v>
      </c>
      <c r="BX15" s="401"/>
      <c r="BY15" s="401"/>
      <c r="BZ15" s="401"/>
      <c r="CA15" s="401"/>
      <c r="CB15" s="401"/>
      <c r="CC15" s="401">
        <v>3</v>
      </c>
      <c r="CD15" s="401"/>
      <c r="CE15" s="401"/>
      <c r="CF15" s="401"/>
      <c r="CG15" s="401">
        <v>3</v>
      </c>
      <c r="CH15" s="401"/>
      <c r="CI15" s="401"/>
      <c r="CJ15" s="401">
        <v>1</v>
      </c>
      <c r="CK15" s="401"/>
      <c r="CL15" s="401"/>
      <c r="CM15" s="401">
        <v>3</v>
      </c>
      <c r="CN15" s="401"/>
      <c r="CO15" s="401"/>
      <c r="CP15" s="401">
        <v>3</v>
      </c>
      <c r="CQ15" s="401"/>
      <c r="CR15" s="401"/>
      <c r="CS15" s="401">
        <v>1</v>
      </c>
      <c r="CT15" s="401"/>
      <c r="CU15" s="401"/>
      <c r="CV15" s="401">
        <v>3</v>
      </c>
      <c r="CW15" s="401"/>
      <c r="CX15" s="401"/>
      <c r="CY15" s="401">
        <v>1</v>
      </c>
      <c r="CZ15" s="401"/>
      <c r="DA15" s="401"/>
      <c r="DB15" s="401"/>
      <c r="DC15" s="401">
        <v>1</v>
      </c>
      <c r="DD15" s="401"/>
      <c r="DE15" s="401"/>
      <c r="DF15" s="401"/>
      <c r="DG15" s="401">
        <v>1</v>
      </c>
      <c r="DH15" s="401"/>
      <c r="DI15" s="431"/>
      <c r="DJ15" s="400">
        <v>3</v>
      </c>
      <c r="DK15" s="401"/>
      <c r="DL15" s="401"/>
      <c r="DM15" s="401"/>
      <c r="DN15" s="401"/>
      <c r="DO15" s="401"/>
      <c r="DP15" s="401"/>
      <c r="DQ15" s="401"/>
      <c r="DR15" s="401"/>
      <c r="DS15" s="401">
        <v>0</v>
      </c>
      <c r="DT15" s="401"/>
      <c r="DU15" s="401"/>
      <c r="DV15" s="401"/>
      <c r="DW15" s="401"/>
      <c r="DX15" s="401"/>
      <c r="DY15" s="401"/>
      <c r="DZ15" s="401">
        <v>3</v>
      </c>
      <c r="EA15" s="401"/>
      <c r="EB15" s="401"/>
      <c r="EC15" s="401"/>
      <c r="ED15" s="401"/>
      <c r="EE15" s="431"/>
      <c r="EF15" s="434"/>
      <c r="EG15" s="401"/>
      <c r="EH15" s="401"/>
      <c r="EI15" s="401"/>
      <c r="EJ15" s="401"/>
      <c r="EK15" s="431"/>
    </row>
    <row r="16" spans="1:141" ht="12.6" customHeight="1" x14ac:dyDescent="0.35">
      <c r="A16" s="389" t="s">
        <v>70</v>
      </c>
      <c r="B16" s="86" t="s">
        <v>71</v>
      </c>
      <c r="C16" s="129"/>
      <c r="D16" s="315">
        <v>1</v>
      </c>
      <c r="E16" s="347"/>
      <c r="F16" s="347"/>
      <c r="G16" s="347"/>
      <c r="H16" s="347"/>
      <c r="I16" s="347">
        <v>1</v>
      </c>
      <c r="J16" s="347"/>
      <c r="K16" s="347"/>
      <c r="L16" s="347"/>
      <c r="M16" s="408"/>
      <c r="N16" s="430">
        <v>1</v>
      </c>
      <c r="O16" s="347"/>
      <c r="P16" s="347"/>
      <c r="Q16" s="347">
        <v>1</v>
      </c>
      <c r="R16" s="347"/>
      <c r="S16" s="347">
        <v>1</v>
      </c>
      <c r="T16" s="347"/>
      <c r="U16" s="347"/>
      <c r="V16" s="347">
        <v>1</v>
      </c>
      <c r="W16" s="347"/>
      <c r="X16" s="347"/>
      <c r="Y16" s="347">
        <v>1</v>
      </c>
      <c r="Z16" s="347"/>
      <c r="AA16" s="347"/>
      <c r="AB16" s="347">
        <v>1</v>
      </c>
      <c r="AC16" s="347"/>
      <c r="AD16" s="347"/>
      <c r="AE16" s="436"/>
      <c r="AF16" s="315">
        <v>3</v>
      </c>
      <c r="AG16" s="347"/>
      <c r="AH16" s="347"/>
      <c r="AI16" s="347">
        <v>3</v>
      </c>
      <c r="AJ16" s="347"/>
      <c r="AK16" s="347"/>
      <c r="AL16" s="347">
        <v>1</v>
      </c>
      <c r="AM16" s="347"/>
      <c r="AN16" s="347"/>
      <c r="AO16" s="347">
        <v>1</v>
      </c>
      <c r="AP16" s="347"/>
      <c r="AQ16" s="347"/>
      <c r="AR16" s="347"/>
      <c r="AS16" s="347"/>
      <c r="AT16" s="347">
        <v>1</v>
      </c>
      <c r="AU16" s="347"/>
      <c r="AV16" s="347"/>
      <c r="AW16" s="347"/>
      <c r="AX16" s="347"/>
      <c r="AY16" s="347"/>
      <c r="AZ16" s="347">
        <v>1</v>
      </c>
      <c r="BA16" s="347"/>
      <c r="BB16" s="347">
        <v>0</v>
      </c>
      <c r="BC16" s="347"/>
      <c r="BD16" s="347">
        <v>1</v>
      </c>
      <c r="BE16" s="347"/>
      <c r="BF16" s="347"/>
      <c r="BG16" s="408"/>
      <c r="BH16" s="315">
        <v>3</v>
      </c>
      <c r="BI16" s="347"/>
      <c r="BJ16" s="347"/>
      <c r="BK16" s="347"/>
      <c r="BL16" s="347"/>
      <c r="BM16" s="347">
        <v>3</v>
      </c>
      <c r="BN16" s="347"/>
      <c r="BO16" s="347"/>
      <c r="BP16" s="347"/>
      <c r="BQ16" s="347"/>
      <c r="BR16" s="347"/>
      <c r="BS16" s="347">
        <v>3</v>
      </c>
      <c r="BT16" s="347"/>
      <c r="BU16" s="347"/>
      <c r="BV16" s="347"/>
      <c r="BW16" s="347">
        <v>3</v>
      </c>
      <c r="BX16" s="347"/>
      <c r="BY16" s="347"/>
      <c r="BZ16" s="347"/>
      <c r="CA16" s="347"/>
      <c r="CB16" s="347"/>
      <c r="CC16" s="347">
        <v>3</v>
      </c>
      <c r="CD16" s="347"/>
      <c r="CE16" s="347"/>
      <c r="CF16" s="347"/>
      <c r="CG16" s="347">
        <v>3</v>
      </c>
      <c r="CH16" s="347"/>
      <c r="CI16" s="347"/>
      <c r="CJ16" s="347">
        <v>1</v>
      </c>
      <c r="CK16" s="347"/>
      <c r="CL16" s="347"/>
      <c r="CM16" s="347">
        <v>3</v>
      </c>
      <c r="CN16" s="347"/>
      <c r="CO16" s="347"/>
      <c r="CP16" s="347">
        <v>3</v>
      </c>
      <c r="CQ16" s="347"/>
      <c r="CR16" s="347"/>
      <c r="CS16" s="347">
        <v>1</v>
      </c>
      <c r="CT16" s="347"/>
      <c r="CU16" s="347"/>
      <c r="CV16" s="347">
        <v>3</v>
      </c>
      <c r="CW16" s="347"/>
      <c r="CX16" s="347"/>
      <c r="CY16" s="347">
        <v>1</v>
      </c>
      <c r="CZ16" s="347"/>
      <c r="DA16" s="347"/>
      <c r="DB16" s="347"/>
      <c r="DC16" s="347">
        <v>1</v>
      </c>
      <c r="DD16" s="347"/>
      <c r="DE16" s="347"/>
      <c r="DF16" s="347"/>
      <c r="DG16" s="347">
        <v>1</v>
      </c>
      <c r="DH16" s="347"/>
      <c r="DI16" s="408"/>
      <c r="DJ16" s="315">
        <v>1</v>
      </c>
      <c r="DK16" s="347"/>
      <c r="DL16" s="347"/>
      <c r="DM16" s="347"/>
      <c r="DN16" s="347"/>
      <c r="DO16" s="347"/>
      <c r="DP16" s="347"/>
      <c r="DQ16" s="347"/>
      <c r="DR16" s="347"/>
      <c r="DS16" s="347">
        <v>3</v>
      </c>
      <c r="DT16" s="347"/>
      <c r="DU16" s="347"/>
      <c r="DV16" s="347"/>
      <c r="DW16" s="347"/>
      <c r="DX16" s="347"/>
      <c r="DY16" s="347"/>
      <c r="DZ16" s="347">
        <v>3</v>
      </c>
      <c r="EA16" s="347"/>
      <c r="EB16" s="347"/>
      <c r="EC16" s="347"/>
      <c r="ED16" s="347"/>
      <c r="EE16" s="408"/>
      <c r="EF16" s="430"/>
      <c r="EG16" s="347"/>
      <c r="EH16" s="347"/>
      <c r="EI16" s="347"/>
      <c r="EJ16" s="347"/>
      <c r="EK16" s="408"/>
    </row>
    <row r="17" spans="1:141" ht="12.6" customHeight="1" x14ac:dyDescent="0.35">
      <c r="A17" s="390"/>
      <c r="B17" s="76" t="s">
        <v>74</v>
      </c>
      <c r="D17" s="409">
        <v>3</v>
      </c>
      <c r="E17" s="402"/>
      <c r="F17" s="402"/>
      <c r="G17" s="402"/>
      <c r="H17" s="402"/>
      <c r="I17" s="402">
        <v>3</v>
      </c>
      <c r="J17" s="402"/>
      <c r="K17" s="402"/>
      <c r="L17" s="402"/>
      <c r="M17" s="403"/>
      <c r="N17" s="385">
        <v>0</v>
      </c>
      <c r="O17" s="402"/>
      <c r="P17" s="402"/>
      <c r="Q17" s="402">
        <v>1</v>
      </c>
      <c r="R17" s="402"/>
      <c r="S17" s="402">
        <v>1</v>
      </c>
      <c r="T17" s="402"/>
      <c r="U17" s="402"/>
      <c r="V17" s="402">
        <v>1</v>
      </c>
      <c r="W17" s="402"/>
      <c r="X17" s="402"/>
      <c r="Y17" s="402">
        <v>1</v>
      </c>
      <c r="Z17" s="402"/>
      <c r="AA17" s="402"/>
      <c r="AB17" s="402">
        <v>1</v>
      </c>
      <c r="AC17" s="402"/>
      <c r="AD17" s="402"/>
      <c r="AE17" s="383"/>
      <c r="AF17" s="409">
        <v>3</v>
      </c>
      <c r="AG17" s="402"/>
      <c r="AH17" s="402"/>
      <c r="AI17" s="402">
        <v>3</v>
      </c>
      <c r="AJ17" s="402"/>
      <c r="AK17" s="402"/>
      <c r="AL17" s="402">
        <v>1</v>
      </c>
      <c r="AM17" s="402"/>
      <c r="AN17" s="402"/>
      <c r="AO17" s="402">
        <v>1</v>
      </c>
      <c r="AP17" s="402"/>
      <c r="AQ17" s="402"/>
      <c r="AR17" s="402"/>
      <c r="AS17" s="402"/>
      <c r="AT17" s="402">
        <v>1</v>
      </c>
      <c r="AU17" s="402"/>
      <c r="AV17" s="402"/>
      <c r="AW17" s="402"/>
      <c r="AX17" s="402"/>
      <c r="AY17" s="402"/>
      <c r="AZ17" s="402">
        <v>1</v>
      </c>
      <c r="BA17" s="402"/>
      <c r="BB17" s="402">
        <v>0</v>
      </c>
      <c r="BC17" s="402"/>
      <c r="BD17" s="402">
        <v>1</v>
      </c>
      <c r="BE17" s="402"/>
      <c r="BF17" s="402"/>
      <c r="BG17" s="403"/>
      <c r="BH17" s="409">
        <v>3</v>
      </c>
      <c r="BI17" s="402"/>
      <c r="BJ17" s="402"/>
      <c r="BK17" s="402"/>
      <c r="BL17" s="402"/>
      <c r="BM17" s="402">
        <v>3</v>
      </c>
      <c r="BN17" s="402"/>
      <c r="BO17" s="402"/>
      <c r="BP17" s="402"/>
      <c r="BQ17" s="402"/>
      <c r="BR17" s="402"/>
      <c r="BS17" s="402">
        <v>3</v>
      </c>
      <c r="BT17" s="402"/>
      <c r="BU17" s="402"/>
      <c r="BV17" s="402"/>
      <c r="BW17" s="402">
        <v>3</v>
      </c>
      <c r="BX17" s="402"/>
      <c r="BY17" s="402"/>
      <c r="BZ17" s="402"/>
      <c r="CA17" s="402"/>
      <c r="CB17" s="402"/>
      <c r="CC17" s="402">
        <v>1</v>
      </c>
      <c r="CD17" s="402"/>
      <c r="CE17" s="402"/>
      <c r="CF17" s="402"/>
      <c r="CG17" s="402">
        <v>1</v>
      </c>
      <c r="CH17" s="402"/>
      <c r="CI17" s="402"/>
      <c r="CJ17" s="402">
        <v>1</v>
      </c>
      <c r="CK17" s="402"/>
      <c r="CL17" s="402"/>
      <c r="CM17" s="402">
        <v>3</v>
      </c>
      <c r="CN17" s="402"/>
      <c r="CO17" s="402"/>
      <c r="CP17" s="402">
        <v>1</v>
      </c>
      <c r="CQ17" s="402"/>
      <c r="CR17" s="402"/>
      <c r="CS17" s="402">
        <v>3</v>
      </c>
      <c r="CT17" s="402"/>
      <c r="CU17" s="402"/>
      <c r="CV17" s="402">
        <v>1</v>
      </c>
      <c r="CW17" s="402"/>
      <c r="CX17" s="402"/>
      <c r="CY17" s="402">
        <v>1</v>
      </c>
      <c r="CZ17" s="402"/>
      <c r="DA17" s="402"/>
      <c r="DB17" s="402"/>
      <c r="DC17" s="402">
        <v>1</v>
      </c>
      <c r="DD17" s="402"/>
      <c r="DE17" s="402"/>
      <c r="DF17" s="402"/>
      <c r="DG17" s="402">
        <v>1</v>
      </c>
      <c r="DH17" s="402"/>
      <c r="DI17" s="403"/>
      <c r="DJ17" s="409">
        <v>3</v>
      </c>
      <c r="DK17" s="402"/>
      <c r="DL17" s="402"/>
      <c r="DM17" s="402"/>
      <c r="DN17" s="402"/>
      <c r="DO17" s="402"/>
      <c r="DP17" s="402"/>
      <c r="DQ17" s="402"/>
      <c r="DR17" s="402"/>
      <c r="DS17" s="402">
        <v>3</v>
      </c>
      <c r="DT17" s="402"/>
      <c r="DU17" s="402"/>
      <c r="DV17" s="402"/>
      <c r="DW17" s="402"/>
      <c r="DX17" s="402"/>
      <c r="DY17" s="402"/>
      <c r="DZ17" s="402">
        <v>3</v>
      </c>
      <c r="EA17" s="402"/>
      <c r="EB17" s="402"/>
      <c r="EC17" s="402"/>
      <c r="ED17" s="402"/>
      <c r="EE17" s="403"/>
      <c r="EF17" s="385"/>
      <c r="EG17" s="402"/>
      <c r="EH17" s="402"/>
      <c r="EI17" s="402"/>
      <c r="EJ17" s="402"/>
      <c r="EK17" s="403"/>
    </row>
    <row r="18" spans="1:141" ht="13.35" customHeight="1" thickBot="1" x14ac:dyDescent="0.4">
      <c r="A18" s="391"/>
      <c r="B18" s="88" t="s">
        <v>77</v>
      </c>
      <c r="C18" s="114"/>
      <c r="D18" s="400">
        <v>0</v>
      </c>
      <c r="E18" s="401"/>
      <c r="F18" s="401"/>
      <c r="G18" s="401"/>
      <c r="H18" s="401"/>
      <c r="I18" s="401">
        <v>0</v>
      </c>
      <c r="J18" s="401"/>
      <c r="K18" s="401"/>
      <c r="L18" s="401"/>
      <c r="M18" s="431"/>
      <c r="N18" s="434">
        <v>0</v>
      </c>
      <c r="O18" s="401"/>
      <c r="P18" s="401"/>
      <c r="Q18" s="401">
        <v>1</v>
      </c>
      <c r="R18" s="401"/>
      <c r="S18" s="401">
        <v>3</v>
      </c>
      <c r="T18" s="401"/>
      <c r="U18" s="401"/>
      <c r="V18" s="401">
        <v>1</v>
      </c>
      <c r="W18" s="401"/>
      <c r="X18" s="401"/>
      <c r="Y18" s="401">
        <v>1</v>
      </c>
      <c r="Z18" s="401"/>
      <c r="AA18" s="401"/>
      <c r="AB18" s="401">
        <v>1</v>
      </c>
      <c r="AC18" s="401"/>
      <c r="AD18" s="401"/>
      <c r="AE18" s="437"/>
      <c r="AF18" s="400">
        <v>3</v>
      </c>
      <c r="AG18" s="401"/>
      <c r="AH18" s="401"/>
      <c r="AI18" s="401">
        <v>3</v>
      </c>
      <c r="AJ18" s="401"/>
      <c r="AK18" s="401"/>
      <c r="AL18" s="401">
        <v>1</v>
      </c>
      <c r="AM18" s="401"/>
      <c r="AN18" s="401"/>
      <c r="AO18" s="401">
        <v>1</v>
      </c>
      <c r="AP18" s="401"/>
      <c r="AQ18" s="401"/>
      <c r="AR18" s="401"/>
      <c r="AS18" s="401"/>
      <c r="AT18" s="401">
        <v>1</v>
      </c>
      <c r="AU18" s="401"/>
      <c r="AV18" s="401"/>
      <c r="AW18" s="401"/>
      <c r="AX18" s="401"/>
      <c r="AY18" s="401"/>
      <c r="AZ18" s="401">
        <v>1</v>
      </c>
      <c r="BA18" s="401"/>
      <c r="BB18" s="401">
        <v>0</v>
      </c>
      <c r="BC18" s="401"/>
      <c r="BD18" s="401">
        <v>1</v>
      </c>
      <c r="BE18" s="401"/>
      <c r="BF18" s="401"/>
      <c r="BG18" s="431"/>
      <c r="BH18" s="400">
        <v>1</v>
      </c>
      <c r="BI18" s="401"/>
      <c r="BJ18" s="401"/>
      <c r="BK18" s="401"/>
      <c r="BL18" s="401"/>
      <c r="BM18" s="401">
        <v>1</v>
      </c>
      <c r="BN18" s="401"/>
      <c r="BO18" s="401"/>
      <c r="BP18" s="401"/>
      <c r="BQ18" s="401"/>
      <c r="BR18" s="401"/>
      <c r="BS18" s="401">
        <v>1</v>
      </c>
      <c r="BT18" s="401"/>
      <c r="BU18" s="401"/>
      <c r="BV18" s="401"/>
      <c r="BW18" s="401">
        <v>1</v>
      </c>
      <c r="BX18" s="401"/>
      <c r="BY18" s="401"/>
      <c r="BZ18" s="401"/>
      <c r="CA18" s="401"/>
      <c r="CB18" s="401"/>
      <c r="CC18" s="401">
        <v>1</v>
      </c>
      <c r="CD18" s="401"/>
      <c r="CE18" s="401"/>
      <c r="CF18" s="401"/>
      <c r="CG18" s="401">
        <v>1</v>
      </c>
      <c r="CH18" s="401"/>
      <c r="CI18" s="401"/>
      <c r="CJ18" s="401">
        <v>1</v>
      </c>
      <c r="CK18" s="401"/>
      <c r="CL18" s="401"/>
      <c r="CM18" s="401">
        <v>1</v>
      </c>
      <c r="CN18" s="401"/>
      <c r="CO18" s="401"/>
      <c r="CP18" s="401">
        <v>1</v>
      </c>
      <c r="CQ18" s="401"/>
      <c r="CR18" s="401"/>
      <c r="CS18" s="401">
        <v>0</v>
      </c>
      <c r="CT18" s="401"/>
      <c r="CU18" s="401"/>
      <c r="CV18" s="401">
        <v>1</v>
      </c>
      <c r="CW18" s="401"/>
      <c r="CX18" s="401"/>
      <c r="CY18" s="401">
        <v>0</v>
      </c>
      <c r="CZ18" s="401"/>
      <c r="DA18" s="401"/>
      <c r="DB18" s="401"/>
      <c r="DC18" s="401">
        <v>0</v>
      </c>
      <c r="DD18" s="401"/>
      <c r="DE18" s="401"/>
      <c r="DF18" s="401"/>
      <c r="DG18" s="401">
        <v>0</v>
      </c>
      <c r="DH18" s="401"/>
      <c r="DI18" s="431"/>
      <c r="DJ18" s="400">
        <v>3</v>
      </c>
      <c r="DK18" s="401"/>
      <c r="DL18" s="401"/>
      <c r="DM18" s="401"/>
      <c r="DN18" s="401"/>
      <c r="DO18" s="401"/>
      <c r="DP18" s="401"/>
      <c r="DQ18" s="401"/>
      <c r="DR18" s="401"/>
      <c r="DS18" s="401">
        <v>3</v>
      </c>
      <c r="DT18" s="401"/>
      <c r="DU18" s="401"/>
      <c r="DV18" s="401"/>
      <c r="DW18" s="401"/>
      <c r="DX18" s="401"/>
      <c r="DY18" s="401"/>
      <c r="DZ18" s="401">
        <v>3</v>
      </c>
      <c r="EA18" s="401"/>
      <c r="EB18" s="401"/>
      <c r="EC18" s="401"/>
      <c r="ED18" s="401"/>
      <c r="EE18" s="431"/>
      <c r="EF18" s="434"/>
      <c r="EG18" s="401"/>
      <c r="EH18" s="401"/>
      <c r="EI18" s="401"/>
      <c r="EJ18" s="401"/>
      <c r="EK18" s="431"/>
    </row>
    <row r="19" spans="1:141" ht="12.6" customHeight="1" x14ac:dyDescent="0.35">
      <c r="A19" s="392" t="s">
        <v>80</v>
      </c>
      <c r="B19" s="86" t="s">
        <v>81</v>
      </c>
      <c r="C19" s="129"/>
      <c r="D19" s="315">
        <v>0</v>
      </c>
      <c r="E19" s="347"/>
      <c r="F19" s="347"/>
      <c r="G19" s="347"/>
      <c r="H19" s="347"/>
      <c r="I19" s="347">
        <v>0</v>
      </c>
      <c r="J19" s="347"/>
      <c r="K19" s="347"/>
      <c r="L19" s="347"/>
      <c r="M19" s="408"/>
      <c r="N19" s="430">
        <v>3</v>
      </c>
      <c r="O19" s="347"/>
      <c r="P19" s="347"/>
      <c r="Q19" s="347">
        <v>0</v>
      </c>
      <c r="R19" s="347"/>
      <c r="S19" s="347">
        <v>1</v>
      </c>
      <c r="T19" s="347"/>
      <c r="U19" s="347"/>
      <c r="V19" s="347">
        <v>0</v>
      </c>
      <c r="W19" s="347"/>
      <c r="X19" s="347"/>
      <c r="Y19" s="347">
        <v>3</v>
      </c>
      <c r="Z19" s="347"/>
      <c r="AA19" s="347"/>
      <c r="AB19" s="347">
        <v>0</v>
      </c>
      <c r="AC19" s="347"/>
      <c r="AD19" s="347"/>
      <c r="AE19" s="436"/>
      <c r="AF19" s="315">
        <v>3</v>
      </c>
      <c r="AG19" s="347"/>
      <c r="AH19" s="347"/>
      <c r="AI19" s="347">
        <v>3</v>
      </c>
      <c r="AJ19" s="347"/>
      <c r="AK19" s="347"/>
      <c r="AL19" s="347">
        <v>1</v>
      </c>
      <c r="AM19" s="347"/>
      <c r="AN19" s="347"/>
      <c r="AO19" s="347">
        <v>1</v>
      </c>
      <c r="AP19" s="347"/>
      <c r="AQ19" s="347"/>
      <c r="AR19" s="347"/>
      <c r="AS19" s="347"/>
      <c r="AT19" s="347">
        <v>0</v>
      </c>
      <c r="AU19" s="347"/>
      <c r="AV19" s="347"/>
      <c r="AW19" s="347"/>
      <c r="AX19" s="347"/>
      <c r="AY19" s="347"/>
      <c r="AZ19" s="347">
        <v>0</v>
      </c>
      <c r="BA19" s="347"/>
      <c r="BB19" s="347">
        <v>3</v>
      </c>
      <c r="BC19" s="347"/>
      <c r="BD19" s="347">
        <v>3</v>
      </c>
      <c r="BE19" s="347"/>
      <c r="BF19" s="347"/>
      <c r="BG19" s="408"/>
      <c r="BH19" s="315">
        <v>1</v>
      </c>
      <c r="BI19" s="347"/>
      <c r="BJ19" s="347"/>
      <c r="BK19" s="347"/>
      <c r="BL19" s="347"/>
      <c r="BM19" s="347">
        <v>1</v>
      </c>
      <c r="BN19" s="347"/>
      <c r="BO19" s="347"/>
      <c r="BP19" s="347"/>
      <c r="BQ19" s="347"/>
      <c r="BR19" s="347"/>
      <c r="BS19" s="347">
        <v>1</v>
      </c>
      <c r="BT19" s="347"/>
      <c r="BU19" s="347"/>
      <c r="BV19" s="347"/>
      <c r="BW19" s="347">
        <v>1</v>
      </c>
      <c r="BX19" s="347"/>
      <c r="BY19" s="347"/>
      <c r="BZ19" s="347"/>
      <c r="CA19" s="347"/>
      <c r="CB19" s="347"/>
      <c r="CC19" s="347">
        <v>0</v>
      </c>
      <c r="CD19" s="347"/>
      <c r="CE19" s="347"/>
      <c r="CF19" s="347"/>
      <c r="CG19" s="347">
        <v>0</v>
      </c>
      <c r="CH19" s="347"/>
      <c r="CI19" s="347"/>
      <c r="CJ19" s="347">
        <v>0</v>
      </c>
      <c r="CK19" s="347"/>
      <c r="CL19" s="347"/>
      <c r="CM19" s="347">
        <v>0</v>
      </c>
      <c r="CN19" s="347"/>
      <c r="CO19" s="347"/>
      <c r="CP19" s="347">
        <v>0</v>
      </c>
      <c r="CQ19" s="347"/>
      <c r="CR19" s="347"/>
      <c r="CS19" s="347">
        <v>0</v>
      </c>
      <c r="CT19" s="347"/>
      <c r="CU19" s="347"/>
      <c r="CV19" s="347">
        <v>0</v>
      </c>
      <c r="CW19" s="347"/>
      <c r="CX19" s="347"/>
      <c r="CY19" s="347">
        <v>0</v>
      </c>
      <c r="CZ19" s="347"/>
      <c r="DA19" s="347"/>
      <c r="DB19" s="347"/>
      <c r="DC19" s="347">
        <v>0</v>
      </c>
      <c r="DD19" s="347"/>
      <c r="DE19" s="347"/>
      <c r="DF19" s="347"/>
      <c r="DG19" s="347">
        <v>0</v>
      </c>
      <c r="DH19" s="347"/>
      <c r="DI19" s="408"/>
      <c r="DJ19" s="315">
        <v>3</v>
      </c>
      <c r="DK19" s="347"/>
      <c r="DL19" s="347"/>
      <c r="DM19" s="347"/>
      <c r="DN19" s="347"/>
      <c r="DO19" s="347"/>
      <c r="DP19" s="347"/>
      <c r="DQ19" s="347"/>
      <c r="DR19" s="347"/>
      <c r="DS19" s="347">
        <v>0</v>
      </c>
      <c r="DT19" s="347"/>
      <c r="DU19" s="347"/>
      <c r="DV19" s="347"/>
      <c r="DW19" s="347"/>
      <c r="DX19" s="347"/>
      <c r="DY19" s="347"/>
      <c r="DZ19" s="347">
        <v>3</v>
      </c>
      <c r="EA19" s="347"/>
      <c r="EB19" s="347"/>
      <c r="EC19" s="347"/>
      <c r="ED19" s="347"/>
      <c r="EE19" s="408"/>
      <c r="EF19" s="430"/>
      <c r="EG19" s="347"/>
      <c r="EH19" s="347"/>
      <c r="EI19" s="347"/>
      <c r="EJ19" s="347"/>
      <c r="EK19" s="408"/>
    </row>
    <row r="20" spans="1:141" ht="12.6" customHeight="1" x14ac:dyDescent="0.35">
      <c r="A20" s="393"/>
      <c r="B20" s="78" t="s">
        <v>90</v>
      </c>
      <c r="D20" s="409">
        <v>0</v>
      </c>
      <c r="E20" s="402"/>
      <c r="F20" s="402"/>
      <c r="G20" s="402"/>
      <c r="H20" s="402"/>
      <c r="I20" s="402">
        <v>0</v>
      </c>
      <c r="J20" s="402"/>
      <c r="K20" s="402"/>
      <c r="L20" s="402"/>
      <c r="M20" s="403"/>
      <c r="N20" s="385">
        <v>3</v>
      </c>
      <c r="O20" s="402"/>
      <c r="P20" s="402"/>
      <c r="Q20" s="402">
        <v>1</v>
      </c>
      <c r="R20" s="402"/>
      <c r="S20" s="402">
        <v>3</v>
      </c>
      <c r="T20" s="402"/>
      <c r="U20" s="402"/>
      <c r="V20" s="402">
        <v>0</v>
      </c>
      <c r="W20" s="402"/>
      <c r="X20" s="402"/>
      <c r="Y20" s="402">
        <v>0</v>
      </c>
      <c r="Z20" s="402"/>
      <c r="AA20" s="402"/>
      <c r="AB20" s="402">
        <v>0</v>
      </c>
      <c r="AC20" s="402"/>
      <c r="AD20" s="402"/>
      <c r="AE20" s="383"/>
      <c r="AF20" s="409">
        <v>1</v>
      </c>
      <c r="AG20" s="402"/>
      <c r="AH20" s="402"/>
      <c r="AI20" s="402">
        <v>1</v>
      </c>
      <c r="AJ20" s="402"/>
      <c r="AK20" s="402"/>
      <c r="AL20" s="402">
        <v>3</v>
      </c>
      <c r="AM20" s="402"/>
      <c r="AN20" s="402"/>
      <c r="AO20" s="402">
        <v>3</v>
      </c>
      <c r="AP20" s="402"/>
      <c r="AQ20" s="402"/>
      <c r="AR20" s="402"/>
      <c r="AS20" s="402"/>
      <c r="AT20" s="402">
        <v>0</v>
      </c>
      <c r="AU20" s="402"/>
      <c r="AV20" s="402"/>
      <c r="AW20" s="402"/>
      <c r="AX20" s="402"/>
      <c r="AY20" s="402"/>
      <c r="AZ20" s="402">
        <v>0</v>
      </c>
      <c r="BA20" s="402"/>
      <c r="BB20" s="402">
        <v>0</v>
      </c>
      <c r="BC20" s="402"/>
      <c r="BD20" s="402">
        <v>0</v>
      </c>
      <c r="BE20" s="402"/>
      <c r="BF20" s="402"/>
      <c r="BG20" s="403"/>
      <c r="BH20" s="409">
        <v>1</v>
      </c>
      <c r="BI20" s="402"/>
      <c r="BJ20" s="402"/>
      <c r="BK20" s="402"/>
      <c r="BL20" s="402"/>
      <c r="BM20" s="402">
        <v>1</v>
      </c>
      <c r="BN20" s="402"/>
      <c r="BO20" s="402"/>
      <c r="BP20" s="402"/>
      <c r="BQ20" s="402"/>
      <c r="BR20" s="402"/>
      <c r="BS20" s="402">
        <v>1</v>
      </c>
      <c r="BT20" s="402"/>
      <c r="BU20" s="402"/>
      <c r="BV20" s="402"/>
      <c r="BW20" s="402">
        <v>3</v>
      </c>
      <c r="BX20" s="402"/>
      <c r="BY20" s="402"/>
      <c r="BZ20" s="402"/>
      <c r="CA20" s="402"/>
      <c r="CB20" s="402"/>
      <c r="CC20" s="402">
        <v>1</v>
      </c>
      <c r="CD20" s="402"/>
      <c r="CE20" s="402"/>
      <c r="CF20" s="402"/>
      <c r="CG20" s="402">
        <v>0</v>
      </c>
      <c r="CH20" s="402"/>
      <c r="CI20" s="402"/>
      <c r="CJ20" s="402">
        <v>0</v>
      </c>
      <c r="CK20" s="402"/>
      <c r="CL20" s="402"/>
      <c r="CM20" s="402">
        <v>1</v>
      </c>
      <c r="CN20" s="402"/>
      <c r="CO20" s="402"/>
      <c r="CP20" s="402">
        <v>1</v>
      </c>
      <c r="CQ20" s="402"/>
      <c r="CR20" s="402"/>
      <c r="CS20" s="402">
        <v>0</v>
      </c>
      <c r="CT20" s="402"/>
      <c r="CU20" s="402"/>
      <c r="CV20" s="402">
        <v>1</v>
      </c>
      <c r="CW20" s="402"/>
      <c r="CX20" s="402"/>
      <c r="CY20" s="402">
        <v>0</v>
      </c>
      <c r="CZ20" s="402"/>
      <c r="DA20" s="402"/>
      <c r="DB20" s="402"/>
      <c r="DC20" s="402">
        <v>0</v>
      </c>
      <c r="DD20" s="402"/>
      <c r="DE20" s="402"/>
      <c r="DF20" s="402"/>
      <c r="DG20" s="402">
        <v>0</v>
      </c>
      <c r="DH20" s="402"/>
      <c r="DI20" s="403"/>
      <c r="DJ20" s="409">
        <v>1</v>
      </c>
      <c r="DK20" s="402"/>
      <c r="DL20" s="402"/>
      <c r="DM20" s="402"/>
      <c r="DN20" s="402"/>
      <c r="DO20" s="402"/>
      <c r="DP20" s="402"/>
      <c r="DQ20" s="402"/>
      <c r="DR20" s="402"/>
      <c r="DS20" s="402">
        <v>0</v>
      </c>
      <c r="DT20" s="402"/>
      <c r="DU20" s="402"/>
      <c r="DV20" s="402"/>
      <c r="DW20" s="402"/>
      <c r="DX20" s="402"/>
      <c r="DY20" s="402"/>
      <c r="DZ20" s="402">
        <v>3</v>
      </c>
      <c r="EA20" s="402"/>
      <c r="EB20" s="402"/>
      <c r="EC20" s="402"/>
      <c r="ED20" s="402"/>
      <c r="EE20" s="403"/>
      <c r="EF20" s="385"/>
      <c r="EG20" s="402"/>
      <c r="EH20" s="402"/>
      <c r="EI20" s="402"/>
      <c r="EJ20" s="402"/>
      <c r="EK20" s="403"/>
    </row>
    <row r="21" spans="1:141" ht="12.6" customHeight="1" x14ac:dyDescent="0.35">
      <c r="A21" s="393"/>
      <c r="B21" s="78" t="s">
        <v>93</v>
      </c>
      <c r="D21" s="409">
        <v>0</v>
      </c>
      <c r="E21" s="402"/>
      <c r="F21" s="402"/>
      <c r="G21" s="402"/>
      <c r="H21" s="402"/>
      <c r="I21" s="402">
        <v>0</v>
      </c>
      <c r="J21" s="402"/>
      <c r="K21" s="402"/>
      <c r="L21" s="402"/>
      <c r="M21" s="403"/>
      <c r="N21" s="385">
        <v>3</v>
      </c>
      <c r="O21" s="402"/>
      <c r="P21" s="402"/>
      <c r="Q21" s="402">
        <v>1</v>
      </c>
      <c r="R21" s="402"/>
      <c r="S21" s="402">
        <v>0</v>
      </c>
      <c r="T21" s="402"/>
      <c r="U21" s="402"/>
      <c r="V21" s="402">
        <v>0</v>
      </c>
      <c r="W21" s="402"/>
      <c r="X21" s="402"/>
      <c r="Y21" s="402">
        <v>0</v>
      </c>
      <c r="Z21" s="402"/>
      <c r="AA21" s="402"/>
      <c r="AB21" s="402">
        <v>3</v>
      </c>
      <c r="AC21" s="402"/>
      <c r="AD21" s="402"/>
      <c r="AE21" s="383"/>
      <c r="AF21" s="409">
        <v>1</v>
      </c>
      <c r="AG21" s="402"/>
      <c r="AH21" s="402"/>
      <c r="AI21" s="402">
        <v>1</v>
      </c>
      <c r="AJ21" s="402"/>
      <c r="AK21" s="402"/>
      <c r="AL21" s="402">
        <v>0</v>
      </c>
      <c r="AM21" s="402"/>
      <c r="AN21" s="402"/>
      <c r="AO21" s="402">
        <v>1</v>
      </c>
      <c r="AP21" s="402"/>
      <c r="AQ21" s="402"/>
      <c r="AR21" s="402"/>
      <c r="AS21" s="402"/>
      <c r="AT21" s="402">
        <v>1</v>
      </c>
      <c r="AU21" s="402"/>
      <c r="AV21" s="402"/>
      <c r="AW21" s="402"/>
      <c r="AX21" s="402"/>
      <c r="AY21" s="402"/>
      <c r="AZ21" s="402">
        <v>3</v>
      </c>
      <c r="BA21" s="402"/>
      <c r="BB21" s="402">
        <v>1</v>
      </c>
      <c r="BC21" s="402"/>
      <c r="BD21" s="402">
        <v>1</v>
      </c>
      <c r="BE21" s="402"/>
      <c r="BF21" s="402"/>
      <c r="BG21" s="403"/>
      <c r="BH21" s="409">
        <v>1</v>
      </c>
      <c r="BI21" s="402"/>
      <c r="BJ21" s="402"/>
      <c r="BK21" s="402"/>
      <c r="BL21" s="402"/>
      <c r="BM21" s="402">
        <v>1</v>
      </c>
      <c r="BN21" s="402"/>
      <c r="BO21" s="402"/>
      <c r="BP21" s="402"/>
      <c r="BQ21" s="402"/>
      <c r="BR21" s="402"/>
      <c r="BS21" s="402">
        <v>1</v>
      </c>
      <c r="BT21" s="402"/>
      <c r="BU21" s="402"/>
      <c r="BV21" s="402"/>
      <c r="BW21" s="402">
        <v>1</v>
      </c>
      <c r="BX21" s="402"/>
      <c r="BY21" s="402"/>
      <c r="BZ21" s="402"/>
      <c r="CA21" s="402"/>
      <c r="CB21" s="402"/>
      <c r="CC21" s="402">
        <v>1</v>
      </c>
      <c r="CD21" s="402"/>
      <c r="CE21" s="402"/>
      <c r="CF21" s="402"/>
      <c r="CG21" s="402">
        <v>1</v>
      </c>
      <c r="CH21" s="402"/>
      <c r="CI21" s="402"/>
      <c r="CJ21" s="402">
        <v>1</v>
      </c>
      <c r="CK21" s="402"/>
      <c r="CL21" s="402"/>
      <c r="CM21" s="402">
        <v>1</v>
      </c>
      <c r="CN21" s="402"/>
      <c r="CO21" s="402"/>
      <c r="CP21" s="402">
        <v>1</v>
      </c>
      <c r="CQ21" s="402"/>
      <c r="CR21" s="402"/>
      <c r="CS21" s="402">
        <v>1</v>
      </c>
      <c r="CT21" s="402"/>
      <c r="CU21" s="402"/>
      <c r="CV21" s="402">
        <v>1</v>
      </c>
      <c r="CW21" s="402"/>
      <c r="CX21" s="402"/>
      <c r="CY21" s="402">
        <v>1</v>
      </c>
      <c r="CZ21" s="402"/>
      <c r="DA21" s="402"/>
      <c r="DB21" s="402"/>
      <c r="DC21" s="402">
        <v>1</v>
      </c>
      <c r="DD21" s="402"/>
      <c r="DE21" s="402"/>
      <c r="DF21" s="402"/>
      <c r="DG21" s="402">
        <v>1</v>
      </c>
      <c r="DH21" s="402"/>
      <c r="DI21" s="403"/>
      <c r="DJ21" s="409">
        <v>1</v>
      </c>
      <c r="DK21" s="402"/>
      <c r="DL21" s="402"/>
      <c r="DM21" s="402"/>
      <c r="DN21" s="402"/>
      <c r="DO21" s="402"/>
      <c r="DP21" s="402"/>
      <c r="DQ21" s="402"/>
      <c r="DR21" s="402"/>
      <c r="DS21" s="402">
        <v>3</v>
      </c>
      <c r="DT21" s="402"/>
      <c r="DU21" s="402"/>
      <c r="DV21" s="402"/>
      <c r="DW21" s="402"/>
      <c r="DX21" s="402"/>
      <c r="DY21" s="402"/>
      <c r="DZ21" s="402">
        <v>3</v>
      </c>
      <c r="EA21" s="402"/>
      <c r="EB21" s="402"/>
      <c r="EC21" s="402"/>
      <c r="ED21" s="402"/>
      <c r="EE21" s="403"/>
      <c r="EF21" s="385"/>
      <c r="EG21" s="402"/>
      <c r="EH21" s="402"/>
      <c r="EI21" s="402"/>
      <c r="EJ21" s="402"/>
      <c r="EK21" s="403"/>
    </row>
    <row r="22" spans="1:141" ht="13.35" customHeight="1" thickBot="1" x14ac:dyDescent="0.4">
      <c r="A22" s="394"/>
      <c r="B22" s="83" t="s">
        <v>96</v>
      </c>
      <c r="C22" s="114"/>
      <c r="D22" s="400">
        <v>0</v>
      </c>
      <c r="E22" s="401"/>
      <c r="F22" s="401"/>
      <c r="G22" s="401"/>
      <c r="H22" s="401"/>
      <c r="I22" s="401">
        <v>0</v>
      </c>
      <c r="J22" s="401"/>
      <c r="K22" s="401"/>
      <c r="L22" s="401"/>
      <c r="M22" s="431"/>
      <c r="N22" s="434">
        <v>3</v>
      </c>
      <c r="O22" s="401"/>
      <c r="P22" s="401"/>
      <c r="Q22" s="401">
        <v>1</v>
      </c>
      <c r="R22" s="401"/>
      <c r="S22" s="401">
        <v>0</v>
      </c>
      <c r="T22" s="401"/>
      <c r="U22" s="401"/>
      <c r="V22" s="401">
        <v>0</v>
      </c>
      <c r="W22" s="401"/>
      <c r="X22" s="401"/>
      <c r="Y22" s="401">
        <v>0</v>
      </c>
      <c r="Z22" s="401"/>
      <c r="AA22" s="401"/>
      <c r="AB22" s="401">
        <v>0</v>
      </c>
      <c r="AC22" s="401"/>
      <c r="AD22" s="401"/>
      <c r="AE22" s="437"/>
      <c r="AF22" s="400">
        <v>0</v>
      </c>
      <c r="AG22" s="401"/>
      <c r="AH22" s="401"/>
      <c r="AI22" s="401">
        <v>0</v>
      </c>
      <c r="AJ22" s="401"/>
      <c r="AK22" s="401"/>
      <c r="AL22" s="401">
        <v>0</v>
      </c>
      <c r="AM22" s="401"/>
      <c r="AN22" s="401"/>
      <c r="AO22" s="401">
        <v>0</v>
      </c>
      <c r="AP22" s="401"/>
      <c r="AQ22" s="401"/>
      <c r="AR22" s="401"/>
      <c r="AS22" s="401"/>
      <c r="AT22" s="401">
        <v>3</v>
      </c>
      <c r="AU22" s="401"/>
      <c r="AV22" s="401"/>
      <c r="AW22" s="401"/>
      <c r="AX22" s="401"/>
      <c r="AY22" s="401"/>
      <c r="AZ22" s="401">
        <v>0</v>
      </c>
      <c r="BA22" s="401"/>
      <c r="BB22" s="401">
        <v>0</v>
      </c>
      <c r="BC22" s="401"/>
      <c r="BD22" s="401">
        <v>0</v>
      </c>
      <c r="BE22" s="401"/>
      <c r="BF22" s="401"/>
      <c r="BG22" s="431"/>
      <c r="BH22" s="400">
        <v>1</v>
      </c>
      <c r="BI22" s="401"/>
      <c r="BJ22" s="401"/>
      <c r="BK22" s="401"/>
      <c r="BL22" s="401"/>
      <c r="BM22" s="401">
        <v>1</v>
      </c>
      <c r="BN22" s="401"/>
      <c r="BO22" s="401"/>
      <c r="BP22" s="401"/>
      <c r="BQ22" s="401"/>
      <c r="BR22" s="401"/>
      <c r="BS22" s="401">
        <v>1</v>
      </c>
      <c r="BT22" s="401"/>
      <c r="BU22" s="401"/>
      <c r="BV22" s="401"/>
      <c r="BW22" s="401">
        <v>3</v>
      </c>
      <c r="BX22" s="401"/>
      <c r="BY22" s="401"/>
      <c r="BZ22" s="401"/>
      <c r="CA22" s="401"/>
      <c r="CB22" s="401"/>
      <c r="CC22" s="401">
        <v>1</v>
      </c>
      <c r="CD22" s="401"/>
      <c r="CE22" s="401"/>
      <c r="CF22" s="401"/>
      <c r="CG22" s="401">
        <v>1</v>
      </c>
      <c r="CH22" s="401"/>
      <c r="CI22" s="401"/>
      <c r="CJ22" s="401">
        <v>1</v>
      </c>
      <c r="CK22" s="401"/>
      <c r="CL22" s="401"/>
      <c r="CM22" s="401">
        <v>3</v>
      </c>
      <c r="CN22" s="401"/>
      <c r="CO22" s="401"/>
      <c r="CP22" s="401">
        <v>1</v>
      </c>
      <c r="CQ22" s="401"/>
      <c r="CR22" s="401"/>
      <c r="CS22" s="401">
        <v>1</v>
      </c>
      <c r="CT22" s="401"/>
      <c r="CU22" s="401"/>
      <c r="CV22" s="401">
        <v>1</v>
      </c>
      <c r="CW22" s="401"/>
      <c r="CX22" s="401"/>
      <c r="CY22" s="401">
        <v>1</v>
      </c>
      <c r="CZ22" s="401"/>
      <c r="DA22" s="401"/>
      <c r="DB22" s="401"/>
      <c r="DC22" s="401">
        <v>1</v>
      </c>
      <c r="DD22" s="401"/>
      <c r="DE22" s="401"/>
      <c r="DF22" s="401"/>
      <c r="DG22" s="401">
        <v>1</v>
      </c>
      <c r="DH22" s="401"/>
      <c r="DI22" s="431"/>
      <c r="DJ22" s="400">
        <v>3</v>
      </c>
      <c r="DK22" s="401"/>
      <c r="DL22" s="401"/>
      <c r="DM22" s="401"/>
      <c r="DN22" s="401"/>
      <c r="DO22" s="401"/>
      <c r="DP22" s="401"/>
      <c r="DQ22" s="401"/>
      <c r="DR22" s="401"/>
      <c r="DS22" s="401">
        <v>0</v>
      </c>
      <c r="DT22" s="401"/>
      <c r="DU22" s="401"/>
      <c r="DV22" s="401"/>
      <c r="DW22" s="401"/>
      <c r="DX22" s="401"/>
      <c r="DY22" s="401"/>
      <c r="DZ22" s="401">
        <v>3</v>
      </c>
      <c r="EA22" s="401"/>
      <c r="EB22" s="401"/>
      <c r="EC22" s="401"/>
      <c r="ED22" s="401"/>
      <c r="EE22" s="431"/>
      <c r="EF22" s="434"/>
      <c r="EG22" s="401"/>
      <c r="EH22" s="401"/>
      <c r="EI22" s="401"/>
      <c r="EJ22" s="401"/>
      <c r="EK22" s="431"/>
    </row>
  </sheetData>
  <mergeCells count="617">
    <mergeCell ref="DS22:DY22"/>
    <mergeCell ref="DZ22:EE22"/>
    <mergeCell ref="EF22:EK22"/>
    <mergeCell ref="DS20:DY20"/>
    <mergeCell ref="DZ20:EE20"/>
    <mergeCell ref="EF20:EK20"/>
    <mergeCell ref="DS21:DY21"/>
    <mergeCell ref="DZ21:EE21"/>
    <mergeCell ref="EF21:EK21"/>
    <mergeCell ref="DS18:DY18"/>
    <mergeCell ref="DZ18:EE18"/>
    <mergeCell ref="EF18:EK18"/>
    <mergeCell ref="DS19:DY19"/>
    <mergeCell ref="DZ19:EE19"/>
    <mergeCell ref="EF19:EK19"/>
    <mergeCell ref="DS16:DY16"/>
    <mergeCell ref="DZ16:EE16"/>
    <mergeCell ref="EF16:EK16"/>
    <mergeCell ref="DS17:DY17"/>
    <mergeCell ref="DZ17:EE17"/>
    <mergeCell ref="EF17:EK17"/>
    <mergeCell ref="DS14:DY14"/>
    <mergeCell ref="DZ14:EE14"/>
    <mergeCell ref="EF14:EK14"/>
    <mergeCell ref="DS15:DY15"/>
    <mergeCell ref="DZ15:EE15"/>
    <mergeCell ref="EF15:EK15"/>
    <mergeCell ref="DS12:DY12"/>
    <mergeCell ref="DZ12:EE12"/>
    <mergeCell ref="EF12:EK12"/>
    <mergeCell ref="DS13:DY13"/>
    <mergeCell ref="DZ13:EE13"/>
    <mergeCell ref="EF13:EK13"/>
    <mergeCell ref="DS10:DY10"/>
    <mergeCell ref="DZ10:EE10"/>
    <mergeCell ref="EF10:EK10"/>
    <mergeCell ref="DS11:DY11"/>
    <mergeCell ref="DZ11:EE11"/>
    <mergeCell ref="EF11:EK11"/>
    <mergeCell ref="DS8:DY8"/>
    <mergeCell ref="DZ8:EE8"/>
    <mergeCell ref="EF8:EK8"/>
    <mergeCell ref="DS9:DY9"/>
    <mergeCell ref="DZ9:EE9"/>
    <mergeCell ref="EF9:EK9"/>
    <mergeCell ref="CJ22:CL22"/>
    <mergeCell ref="CM22:CO22"/>
    <mergeCell ref="CP22:CR22"/>
    <mergeCell ref="CS22:CU22"/>
    <mergeCell ref="CV22:CX22"/>
    <mergeCell ref="CY22:DB22"/>
    <mergeCell ref="DC22:DF22"/>
    <mergeCell ref="DG22:DI22"/>
    <mergeCell ref="DJ22:DR22"/>
    <mergeCell ref="DG20:DI20"/>
    <mergeCell ref="DJ20:DR20"/>
    <mergeCell ref="CJ21:CL21"/>
    <mergeCell ref="CM21:CO21"/>
    <mergeCell ref="CP21:CR21"/>
    <mergeCell ref="CS21:CU21"/>
    <mergeCell ref="CV21:CX21"/>
    <mergeCell ref="CY21:DB21"/>
    <mergeCell ref="DC21:DF21"/>
    <mergeCell ref="DG21:DI21"/>
    <mergeCell ref="CM20:CO20"/>
    <mergeCell ref="CP20:CR20"/>
    <mergeCell ref="CS20:CU20"/>
    <mergeCell ref="CV20:CX20"/>
    <mergeCell ref="CY20:DB20"/>
    <mergeCell ref="DC20:DF20"/>
    <mergeCell ref="DJ21:DR21"/>
    <mergeCell ref="CJ19:CL19"/>
    <mergeCell ref="CM19:CO19"/>
    <mergeCell ref="CP19:CR19"/>
    <mergeCell ref="CS19:CU19"/>
    <mergeCell ref="CV19:CX19"/>
    <mergeCell ref="CY19:DB19"/>
    <mergeCell ref="DC19:DF19"/>
    <mergeCell ref="DG19:DI19"/>
    <mergeCell ref="DJ19:DR19"/>
    <mergeCell ref="DG17:DI17"/>
    <mergeCell ref="DJ17:DR17"/>
    <mergeCell ref="CJ18:CL18"/>
    <mergeCell ref="CM18:CO18"/>
    <mergeCell ref="CP18:CR18"/>
    <mergeCell ref="CS18:CU18"/>
    <mergeCell ref="CV18:CX18"/>
    <mergeCell ref="CY18:DB18"/>
    <mergeCell ref="DC18:DF18"/>
    <mergeCell ref="DG18:DI18"/>
    <mergeCell ref="CM17:CO17"/>
    <mergeCell ref="CP17:CR17"/>
    <mergeCell ref="CS17:CU17"/>
    <mergeCell ref="CV17:CX17"/>
    <mergeCell ref="CY17:DB17"/>
    <mergeCell ref="DC17:DF17"/>
    <mergeCell ref="DJ18:DR18"/>
    <mergeCell ref="CJ16:CL16"/>
    <mergeCell ref="CM16:CO16"/>
    <mergeCell ref="CP16:CR16"/>
    <mergeCell ref="CS16:CU16"/>
    <mergeCell ref="CV16:CX16"/>
    <mergeCell ref="CY16:DB16"/>
    <mergeCell ref="DC16:DF16"/>
    <mergeCell ref="DG16:DI16"/>
    <mergeCell ref="DJ16:DR16"/>
    <mergeCell ref="DG14:DI14"/>
    <mergeCell ref="DJ14:DR14"/>
    <mergeCell ref="CJ15:CL15"/>
    <mergeCell ref="CM15:CO15"/>
    <mergeCell ref="CP15:CR15"/>
    <mergeCell ref="CS15:CU15"/>
    <mergeCell ref="CV15:CX15"/>
    <mergeCell ref="CY15:DB15"/>
    <mergeCell ref="DC15:DF15"/>
    <mergeCell ref="DG15:DI15"/>
    <mergeCell ref="CM14:CO14"/>
    <mergeCell ref="CP14:CR14"/>
    <mergeCell ref="CS14:CU14"/>
    <mergeCell ref="CV14:CX14"/>
    <mergeCell ref="CY14:DB14"/>
    <mergeCell ref="DC14:DF14"/>
    <mergeCell ref="DJ15:DR15"/>
    <mergeCell ref="CJ13:CL13"/>
    <mergeCell ref="CM13:CO13"/>
    <mergeCell ref="CP13:CR13"/>
    <mergeCell ref="CS13:CU13"/>
    <mergeCell ref="CV13:CX13"/>
    <mergeCell ref="CY13:DB13"/>
    <mergeCell ref="DC13:DF13"/>
    <mergeCell ref="DG13:DI13"/>
    <mergeCell ref="DJ13:DR13"/>
    <mergeCell ref="DG11:DI11"/>
    <mergeCell ref="DJ11:DR11"/>
    <mergeCell ref="CJ12:CL12"/>
    <mergeCell ref="CM12:CO12"/>
    <mergeCell ref="CP12:CR12"/>
    <mergeCell ref="CS12:CU12"/>
    <mergeCell ref="CV12:CX12"/>
    <mergeCell ref="CY12:DB12"/>
    <mergeCell ref="DC12:DF12"/>
    <mergeCell ref="DG12:DI12"/>
    <mergeCell ref="CM11:CO11"/>
    <mergeCell ref="CP11:CR11"/>
    <mergeCell ref="CS11:CU11"/>
    <mergeCell ref="CV11:CX11"/>
    <mergeCell ref="CY11:DB11"/>
    <mergeCell ref="DC11:DF11"/>
    <mergeCell ref="DJ12:DR12"/>
    <mergeCell ref="CJ10:CL10"/>
    <mergeCell ref="CM10:CO10"/>
    <mergeCell ref="CP10:CR10"/>
    <mergeCell ref="CS10:CU10"/>
    <mergeCell ref="CV10:CX10"/>
    <mergeCell ref="CY10:DB10"/>
    <mergeCell ref="DC10:DF10"/>
    <mergeCell ref="DG10:DI10"/>
    <mergeCell ref="DJ10:DR10"/>
    <mergeCell ref="DG8:DI8"/>
    <mergeCell ref="DJ8:DR8"/>
    <mergeCell ref="CJ9:CL9"/>
    <mergeCell ref="CM9:CO9"/>
    <mergeCell ref="CP9:CR9"/>
    <mergeCell ref="CS9:CU9"/>
    <mergeCell ref="CV9:CX9"/>
    <mergeCell ref="CY9:DB9"/>
    <mergeCell ref="DC9:DF9"/>
    <mergeCell ref="DG9:DI9"/>
    <mergeCell ref="CM8:CO8"/>
    <mergeCell ref="CP8:CR8"/>
    <mergeCell ref="CS8:CU8"/>
    <mergeCell ref="CV8:CX8"/>
    <mergeCell ref="CY8:DB8"/>
    <mergeCell ref="DC8:DF8"/>
    <mergeCell ref="DJ9:DR9"/>
    <mergeCell ref="BM22:BR22"/>
    <mergeCell ref="BS22:BV22"/>
    <mergeCell ref="BW22:CB22"/>
    <mergeCell ref="CC22:CF22"/>
    <mergeCell ref="CG22:CI22"/>
    <mergeCell ref="CJ8:CL8"/>
    <mergeCell ref="CJ11:CL11"/>
    <mergeCell ref="CJ14:CL14"/>
    <mergeCell ref="CJ17:CL17"/>
    <mergeCell ref="CJ20:CL20"/>
    <mergeCell ref="CG21:CI21"/>
    <mergeCell ref="BM19:BR19"/>
    <mergeCell ref="BS19:BV19"/>
    <mergeCell ref="BW19:CB19"/>
    <mergeCell ref="CC19:CF19"/>
    <mergeCell ref="CG19:CI19"/>
    <mergeCell ref="CG18:CI18"/>
    <mergeCell ref="BM16:BR16"/>
    <mergeCell ref="BS16:BV16"/>
    <mergeCell ref="BW16:CB16"/>
    <mergeCell ref="CC16:CF16"/>
    <mergeCell ref="CG16:CI16"/>
    <mergeCell ref="CG15:CI15"/>
    <mergeCell ref="BM13:BR13"/>
    <mergeCell ref="AF22:AH22"/>
    <mergeCell ref="AI22:AK22"/>
    <mergeCell ref="AL22:AN22"/>
    <mergeCell ref="AO22:AS22"/>
    <mergeCell ref="AT22:AY22"/>
    <mergeCell ref="AZ22:BA22"/>
    <mergeCell ref="BB22:BC22"/>
    <mergeCell ref="BD22:BG22"/>
    <mergeCell ref="BH22:BL22"/>
    <mergeCell ref="BD21:BG21"/>
    <mergeCell ref="BH21:BL21"/>
    <mergeCell ref="BM21:BR21"/>
    <mergeCell ref="BS21:BV21"/>
    <mergeCell ref="BW21:CB21"/>
    <mergeCell ref="CC21:CF21"/>
    <mergeCell ref="BW20:CB20"/>
    <mergeCell ref="CC20:CF20"/>
    <mergeCell ref="CG20:CI20"/>
    <mergeCell ref="BD20:BG20"/>
    <mergeCell ref="BH20:BL20"/>
    <mergeCell ref="BM20:BR20"/>
    <mergeCell ref="BS20:BV20"/>
    <mergeCell ref="AF21:AH21"/>
    <mergeCell ref="AI21:AK21"/>
    <mergeCell ref="AL21:AN21"/>
    <mergeCell ref="AO21:AS21"/>
    <mergeCell ref="AT21:AY21"/>
    <mergeCell ref="AZ21:BA21"/>
    <mergeCell ref="BB21:BC21"/>
    <mergeCell ref="AZ20:BA20"/>
    <mergeCell ref="BB20:BC20"/>
    <mergeCell ref="AF20:AH20"/>
    <mergeCell ref="AI20:AK20"/>
    <mergeCell ref="AL20:AN20"/>
    <mergeCell ref="AO20:AS20"/>
    <mergeCell ref="AT20:AY20"/>
    <mergeCell ref="AF19:AH19"/>
    <mergeCell ref="AI19:AK19"/>
    <mergeCell ref="AL19:AN19"/>
    <mergeCell ref="AO19:AS19"/>
    <mergeCell ref="AT19:AY19"/>
    <mergeCell ref="AZ19:BA19"/>
    <mergeCell ref="BB19:BC19"/>
    <mergeCell ref="BD19:BG19"/>
    <mergeCell ref="BH19:BL19"/>
    <mergeCell ref="BM18:BR18"/>
    <mergeCell ref="BS18:BV18"/>
    <mergeCell ref="BW18:CB18"/>
    <mergeCell ref="CC18:CF18"/>
    <mergeCell ref="BW17:CB17"/>
    <mergeCell ref="CC17:CF17"/>
    <mergeCell ref="CG17:CI17"/>
    <mergeCell ref="BD17:BG17"/>
    <mergeCell ref="BH17:BL17"/>
    <mergeCell ref="BM17:BR17"/>
    <mergeCell ref="BS17:BV17"/>
    <mergeCell ref="AT16:AY16"/>
    <mergeCell ref="AZ16:BA16"/>
    <mergeCell ref="BB16:BC16"/>
    <mergeCell ref="BD16:BG16"/>
    <mergeCell ref="BH16:BL16"/>
    <mergeCell ref="AF18:AH18"/>
    <mergeCell ref="AI18:AK18"/>
    <mergeCell ref="AL18:AN18"/>
    <mergeCell ref="AO18:AS18"/>
    <mergeCell ref="AT18:AY18"/>
    <mergeCell ref="AZ18:BA18"/>
    <mergeCell ref="BB18:BC18"/>
    <mergeCell ref="AZ17:BA17"/>
    <mergeCell ref="BB17:BC17"/>
    <mergeCell ref="AF17:AH17"/>
    <mergeCell ref="AI17:AK17"/>
    <mergeCell ref="AL17:AN17"/>
    <mergeCell ref="AO17:AS17"/>
    <mergeCell ref="AT17:AY17"/>
    <mergeCell ref="BD18:BG18"/>
    <mergeCell ref="BH18:BL18"/>
    <mergeCell ref="BD15:BG15"/>
    <mergeCell ref="BH15:BL15"/>
    <mergeCell ref="BM15:BR15"/>
    <mergeCell ref="BS15:BV15"/>
    <mergeCell ref="BW15:CB15"/>
    <mergeCell ref="CC15:CF15"/>
    <mergeCell ref="BW14:CB14"/>
    <mergeCell ref="CC14:CF14"/>
    <mergeCell ref="CG14:CI14"/>
    <mergeCell ref="BD14:BG14"/>
    <mergeCell ref="BH14:BL14"/>
    <mergeCell ref="BM14:BR14"/>
    <mergeCell ref="BS14:BV14"/>
    <mergeCell ref="AT14:AY14"/>
    <mergeCell ref="AF15:AH15"/>
    <mergeCell ref="AI15:AK15"/>
    <mergeCell ref="AL15:AN15"/>
    <mergeCell ref="AO15:AS15"/>
    <mergeCell ref="AT15:AY15"/>
    <mergeCell ref="AZ15:BA15"/>
    <mergeCell ref="BB15:BC15"/>
    <mergeCell ref="AZ14:BA14"/>
    <mergeCell ref="BB14:BC14"/>
    <mergeCell ref="CG12:CI12"/>
    <mergeCell ref="AF13:AH13"/>
    <mergeCell ref="AI13:AK13"/>
    <mergeCell ref="AL13:AN13"/>
    <mergeCell ref="AO13:AS13"/>
    <mergeCell ref="AT13:AY13"/>
    <mergeCell ref="AZ13:BA13"/>
    <mergeCell ref="BB13:BC13"/>
    <mergeCell ref="BD13:BG13"/>
    <mergeCell ref="BH13:BL13"/>
    <mergeCell ref="BD12:BG12"/>
    <mergeCell ref="BH12:BL12"/>
    <mergeCell ref="BM12:BR12"/>
    <mergeCell ref="BS12:BV12"/>
    <mergeCell ref="BW12:CB12"/>
    <mergeCell ref="CC12:CF12"/>
    <mergeCell ref="BS13:BV13"/>
    <mergeCell ref="BW13:CB13"/>
    <mergeCell ref="CC13:CF13"/>
    <mergeCell ref="CG13:CI13"/>
    <mergeCell ref="AT12:AY12"/>
    <mergeCell ref="AZ12:BA12"/>
    <mergeCell ref="BB12:BC12"/>
    <mergeCell ref="AF11:AH11"/>
    <mergeCell ref="AI11:AK11"/>
    <mergeCell ref="AL11:AN11"/>
    <mergeCell ref="AO11:AS11"/>
    <mergeCell ref="AT11:AY11"/>
    <mergeCell ref="BW11:CB11"/>
    <mergeCell ref="CC11:CF11"/>
    <mergeCell ref="CG11:CI11"/>
    <mergeCell ref="AT10:AY10"/>
    <mergeCell ref="AZ10:BA10"/>
    <mergeCell ref="BB10:BC10"/>
    <mergeCell ref="BD10:BG10"/>
    <mergeCell ref="BH10:BL10"/>
    <mergeCell ref="AZ11:BA11"/>
    <mergeCell ref="BB11:BC11"/>
    <mergeCell ref="BD11:BG11"/>
    <mergeCell ref="BH11:BL11"/>
    <mergeCell ref="BM11:BR11"/>
    <mergeCell ref="BS11:BV11"/>
    <mergeCell ref="BW10:CB10"/>
    <mergeCell ref="CC10:CF10"/>
    <mergeCell ref="CG10:CI10"/>
    <mergeCell ref="BH9:BL9"/>
    <mergeCell ref="BM9:BR9"/>
    <mergeCell ref="BS9:BV9"/>
    <mergeCell ref="BM10:BR10"/>
    <mergeCell ref="BS10:BV10"/>
    <mergeCell ref="BW8:CB8"/>
    <mergeCell ref="CC8:CF8"/>
    <mergeCell ref="CG8:CI8"/>
    <mergeCell ref="BD8:BG8"/>
    <mergeCell ref="BH8:BL8"/>
    <mergeCell ref="BM8:BR8"/>
    <mergeCell ref="BS8:BV8"/>
    <mergeCell ref="CG9:CI9"/>
    <mergeCell ref="BW9:CB9"/>
    <mergeCell ref="CC9:CF9"/>
    <mergeCell ref="AI9:AK9"/>
    <mergeCell ref="AL9:AN9"/>
    <mergeCell ref="AO9:AS9"/>
    <mergeCell ref="AT9:AY9"/>
    <mergeCell ref="AZ9:BA9"/>
    <mergeCell ref="BB9:BC9"/>
    <mergeCell ref="AZ8:BA8"/>
    <mergeCell ref="BB8:BC8"/>
    <mergeCell ref="BD9:BG9"/>
    <mergeCell ref="DJ7:DR7"/>
    <mergeCell ref="DS7:DY7"/>
    <mergeCell ref="DZ7:EE7"/>
    <mergeCell ref="EF7:EK7"/>
    <mergeCell ref="A5:B5"/>
    <mergeCell ref="AF8:AH8"/>
    <mergeCell ref="AI8:AK8"/>
    <mergeCell ref="AL8:AN8"/>
    <mergeCell ref="AO8:AS8"/>
    <mergeCell ref="AT8:AY8"/>
    <mergeCell ref="CJ7:CL7"/>
    <mergeCell ref="CM7:CO7"/>
    <mergeCell ref="CP7:CR7"/>
    <mergeCell ref="CS7:CU7"/>
    <mergeCell ref="CV7:CX7"/>
    <mergeCell ref="DG7:DI7"/>
    <mergeCell ref="DC7:DF7"/>
    <mergeCell ref="CY7:DB7"/>
    <mergeCell ref="BH7:BL7"/>
    <mergeCell ref="BM7:BR7"/>
    <mergeCell ref="BS7:BV7"/>
    <mergeCell ref="BW7:CB7"/>
    <mergeCell ref="CC7:CF7"/>
    <mergeCell ref="CG7:CI7"/>
    <mergeCell ref="AT7:AY7"/>
    <mergeCell ref="AZ7:BA7"/>
    <mergeCell ref="BB7:BC7"/>
    <mergeCell ref="BD7:BG7"/>
    <mergeCell ref="S22:U22"/>
    <mergeCell ref="V22:X22"/>
    <mergeCell ref="Y22:AA22"/>
    <mergeCell ref="AB22:AE22"/>
    <mergeCell ref="AF7:AH7"/>
    <mergeCell ref="AI7:AK7"/>
    <mergeCell ref="S20:U20"/>
    <mergeCell ref="V20:X20"/>
    <mergeCell ref="Y20:AA20"/>
    <mergeCell ref="AB20:AE20"/>
    <mergeCell ref="S21:U21"/>
    <mergeCell ref="V21:X21"/>
    <mergeCell ref="Y21:AA21"/>
    <mergeCell ref="AB21:AE21"/>
    <mergeCell ref="S18:U18"/>
    <mergeCell ref="V18:X18"/>
    <mergeCell ref="Y18:AA18"/>
    <mergeCell ref="AB18:AE18"/>
    <mergeCell ref="AF10:AH10"/>
    <mergeCell ref="AI10:AK10"/>
    <mergeCell ref="V16:X16"/>
    <mergeCell ref="Y16:AA16"/>
    <mergeCell ref="AB16:AE16"/>
    <mergeCell ref="S17:U17"/>
    <mergeCell ref="V17:X17"/>
    <mergeCell ref="Y17:AA17"/>
    <mergeCell ref="AB17:AE17"/>
    <mergeCell ref="AL7:AN7"/>
    <mergeCell ref="AO7:AS7"/>
    <mergeCell ref="AL10:AN10"/>
    <mergeCell ref="AO10:AS10"/>
    <mergeCell ref="AF12:AH12"/>
    <mergeCell ref="AI12:AK12"/>
    <mergeCell ref="AL12:AN12"/>
    <mergeCell ref="AO12:AS12"/>
    <mergeCell ref="AF14:AH14"/>
    <mergeCell ref="AI14:AK14"/>
    <mergeCell ref="AL14:AN14"/>
    <mergeCell ref="AO14:AS14"/>
    <mergeCell ref="AF16:AH16"/>
    <mergeCell ref="AI16:AK16"/>
    <mergeCell ref="AL16:AN16"/>
    <mergeCell ref="AO16:AS16"/>
    <mergeCell ref="AF9:AH9"/>
    <mergeCell ref="Q22:R22"/>
    <mergeCell ref="S7:U7"/>
    <mergeCell ref="V7:X7"/>
    <mergeCell ref="Y7:AA7"/>
    <mergeCell ref="AB7:AE7"/>
    <mergeCell ref="S8:U8"/>
    <mergeCell ref="V8:X8"/>
    <mergeCell ref="Y8:AA8"/>
    <mergeCell ref="AB8:AE8"/>
    <mergeCell ref="S9:U9"/>
    <mergeCell ref="Q16:R16"/>
    <mergeCell ref="Q17:R17"/>
    <mergeCell ref="Q18:R18"/>
    <mergeCell ref="Q19:R19"/>
    <mergeCell ref="Q20:R20"/>
    <mergeCell ref="Q21:R21"/>
    <mergeCell ref="S14:U14"/>
    <mergeCell ref="V14:X14"/>
    <mergeCell ref="Y14:AA14"/>
    <mergeCell ref="AB14:AE14"/>
    <mergeCell ref="S15:U15"/>
    <mergeCell ref="V15:X15"/>
    <mergeCell ref="Y15:AA15"/>
    <mergeCell ref="AB15:AE15"/>
    <mergeCell ref="N17:P17"/>
    <mergeCell ref="N18:P18"/>
    <mergeCell ref="N19:P19"/>
    <mergeCell ref="N20:P20"/>
    <mergeCell ref="V10:X10"/>
    <mergeCell ref="Y10:AA10"/>
    <mergeCell ref="AB10:AE10"/>
    <mergeCell ref="S11:U11"/>
    <mergeCell ref="V11:X11"/>
    <mergeCell ref="Y11:AA11"/>
    <mergeCell ref="AB11:AE11"/>
    <mergeCell ref="S12:U12"/>
    <mergeCell ref="V12:X12"/>
    <mergeCell ref="Y12:AA12"/>
    <mergeCell ref="AB12:AE12"/>
    <mergeCell ref="S13:U13"/>
    <mergeCell ref="V13:X13"/>
    <mergeCell ref="Y13:AA13"/>
    <mergeCell ref="AB13:AE13"/>
    <mergeCell ref="S19:U19"/>
    <mergeCell ref="V19:X19"/>
    <mergeCell ref="Y19:AA19"/>
    <mergeCell ref="AB19:AE19"/>
    <mergeCell ref="S16:U16"/>
    <mergeCell ref="Q8:R8"/>
    <mergeCell ref="Q9:R9"/>
    <mergeCell ref="Q10:R10"/>
    <mergeCell ref="Q11:R11"/>
    <mergeCell ref="Q12:R12"/>
    <mergeCell ref="Q13:R13"/>
    <mergeCell ref="Q14:R14"/>
    <mergeCell ref="Q15:R15"/>
    <mergeCell ref="N15:P15"/>
    <mergeCell ref="D17:H17"/>
    <mergeCell ref="D18:H18"/>
    <mergeCell ref="D19:H19"/>
    <mergeCell ref="D20:H20"/>
    <mergeCell ref="D21:H21"/>
    <mergeCell ref="I20:M20"/>
    <mergeCell ref="I21:M21"/>
    <mergeCell ref="I22:M22"/>
    <mergeCell ref="N8:P8"/>
    <mergeCell ref="N9:P9"/>
    <mergeCell ref="N10:P10"/>
    <mergeCell ref="N11:P11"/>
    <mergeCell ref="N12:P12"/>
    <mergeCell ref="N13:P13"/>
    <mergeCell ref="N14:P14"/>
    <mergeCell ref="I14:M14"/>
    <mergeCell ref="I15:M15"/>
    <mergeCell ref="I16:M16"/>
    <mergeCell ref="I17:M17"/>
    <mergeCell ref="I18:M18"/>
    <mergeCell ref="I19:M19"/>
    <mergeCell ref="N21:P21"/>
    <mergeCell ref="N22:P22"/>
    <mergeCell ref="N16:P16"/>
    <mergeCell ref="EF5:EK5"/>
    <mergeCell ref="D7:H7"/>
    <mergeCell ref="D8:H8"/>
    <mergeCell ref="D9:H9"/>
    <mergeCell ref="D10:H10"/>
    <mergeCell ref="D11:H11"/>
    <mergeCell ref="V9:X9"/>
    <mergeCell ref="Y9:AA9"/>
    <mergeCell ref="AB9:AE9"/>
    <mergeCell ref="S10:U10"/>
    <mergeCell ref="DJ5:DR5"/>
    <mergeCell ref="DS5:DY5"/>
    <mergeCell ref="DZ5:EE5"/>
    <mergeCell ref="AZ5:BA5"/>
    <mergeCell ref="BB5:BC5"/>
    <mergeCell ref="BD5:BG5"/>
    <mergeCell ref="S5:U5"/>
    <mergeCell ref="V5:X5"/>
    <mergeCell ref="Y5:AA5"/>
    <mergeCell ref="AB5:AE5"/>
    <mergeCell ref="AF5:AH5"/>
    <mergeCell ref="AI5:AK5"/>
    <mergeCell ref="I7:M7"/>
    <mergeCell ref="N7:P7"/>
    <mergeCell ref="CP2:CR2"/>
    <mergeCell ref="CS2:CU2"/>
    <mergeCell ref="CV2:CX2"/>
    <mergeCell ref="CY2:DB2"/>
    <mergeCell ref="DC2:DF2"/>
    <mergeCell ref="DG2:DI2"/>
    <mergeCell ref="BS2:BV2"/>
    <mergeCell ref="BW2:CB2"/>
    <mergeCell ref="CC2:CF2"/>
    <mergeCell ref="CG2:CI2"/>
    <mergeCell ref="CJ2:CL2"/>
    <mergeCell ref="CM2:CO2"/>
    <mergeCell ref="AT2:AY2"/>
    <mergeCell ref="AZ2:BA2"/>
    <mergeCell ref="BB2:BC2"/>
    <mergeCell ref="BD2:BG2"/>
    <mergeCell ref="BH2:BL2"/>
    <mergeCell ref="BM2:BR2"/>
    <mergeCell ref="Y2:AA2"/>
    <mergeCell ref="AB2:AE2"/>
    <mergeCell ref="AF2:AH2"/>
    <mergeCell ref="AI2:AK2"/>
    <mergeCell ref="AL2:AN2"/>
    <mergeCell ref="AO2:AS2"/>
    <mergeCell ref="D1:M1"/>
    <mergeCell ref="N1:AE1"/>
    <mergeCell ref="AF1:BG1"/>
    <mergeCell ref="BH1:DI1"/>
    <mergeCell ref="D2:H2"/>
    <mergeCell ref="I2:M2"/>
    <mergeCell ref="N2:P2"/>
    <mergeCell ref="DC5:DF5"/>
    <mergeCell ref="DG5:DI5"/>
    <mergeCell ref="CJ5:CL5"/>
    <mergeCell ref="CM5:CO5"/>
    <mergeCell ref="CP5:CR5"/>
    <mergeCell ref="CS5:CU5"/>
    <mergeCell ref="CV5:CX5"/>
    <mergeCell ref="CY5:DB5"/>
    <mergeCell ref="BH5:BL5"/>
    <mergeCell ref="BM5:BR5"/>
    <mergeCell ref="BS5:BV5"/>
    <mergeCell ref="BW5:CB5"/>
    <mergeCell ref="CC5:CF5"/>
    <mergeCell ref="CG5:CI5"/>
    <mergeCell ref="AL5:AN5"/>
    <mergeCell ref="AO5:AS5"/>
    <mergeCell ref="AT5:AY5"/>
    <mergeCell ref="A16:A18"/>
    <mergeCell ref="A19:A22"/>
    <mergeCell ref="Q2:R2"/>
    <mergeCell ref="S2:U2"/>
    <mergeCell ref="V2:X2"/>
    <mergeCell ref="D5:H5"/>
    <mergeCell ref="I5:M5"/>
    <mergeCell ref="N5:P5"/>
    <mergeCell ref="Q5:R5"/>
    <mergeCell ref="A7:A10"/>
    <mergeCell ref="A11:A15"/>
    <mergeCell ref="D22:H22"/>
    <mergeCell ref="Q7:R7"/>
    <mergeCell ref="I8:M8"/>
    <mergeCell ref="I9:M9"/>
    <mergeCell ref="I10:M10"/>
    <mergeCell ref="I11:M11"/>
    <mergeCell ref="I12:M12"/>
    <mergeCell ref="I13:M13"/>
    <mergeCell ref="D12:H12"/>
    <mergeCell ref="D13:H13"/>
    <mergeCell ref="D14:H14"/>
    <mergeCell ref="D15:H15"/>
    <mergeCell ref="D16:H16"/>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C01A-8322-4799-B777-E78E47E61354}">
  <dimension ref="A1:AB145"/>
  <sheetViews>
    <sheetView zoomScale="85" zoomScaleNormal="85" workbookViewId="0">
      <selection activeCell="D55" sqref="D55"/>
    </sheetView>
  </sheetViews>
  <sheetFormatPr baseColWidth="10" defaultColWidth="11.3984375" defaultRowHeight="12.75" x14ac:dyDescent="0.35"/>
  <cols>
    <col min="1" max="1" width="5.3984375" bestFit="1" customWidth="1"/>
    <col min="2" max="2" width="62.59765625" bestFit="1" customWidth="1"/>
    <col min="3" max="3" width="44.86328125" bestFit="1" customWidth="1"/>
    <col min="4" max="4" width="61.59765625" bestFit="1" customWidth="1"/>
    <col min="5" max="5" width="46.59765625" bestFit="1" customWidth="1"/>
    <col min="6" max="6" width="66" bestFit="1" customWidth="1"/>
    <col min="7" max="7" width="209.3984375" bestFit="1" customWidth="1"/>
    <col min="8" max="10" width="3.86328125" bestFit="1" customWidth="1"/>
    <col min="11" max="12" width="6.59765625" bestFit="1" customWidth="1"/>
    <col min="13" max="14" width="3.86328125" bestFit="1" customWidth="1"/>
    <col min="15" max="15" width="6.59765625" bestFit="1" customWidth="1"/>
    <col min="16" max="19" width="3.86328125" bestFit="1" customWidth="1"/>
    <col min="20" max="20" width="6.59765625" bestFit="1" customWidth="1"/>
    <col min="21" max="21" width="3.86328125" bestFit="1" customWidth="1"/>
    <col min="23" max="23" width="127.86328125" bestFit="1" customWidth="1"/>
    <col min="24" max="24" width="91.59765625" bestFit="1" customWidth="1"/>
    <col min="27" max="27" width="24" bestFit="1" customWidth="1"/>
  </cols>
  <sheetData>
    <row r="1" spans="1:25" ht="128.65" collapsed="1" x14ac:dyDescent="0.4">
      <c r="A1" s="140"/>
      <c r="B1" s="107" t="s">
        <v>98</v>
      </c>
      <c r="C1" s="107"/>
      <c r="D1" s="107" t="s">
        <v>99</v>
      </c>
      <c r="E1" s="107" t="s">
        <v>100</v>
      </c>
      <c r="F1" s="107" t="s">
        <v>101</v>
      </c>
      <c r="G1" s="107" t="s">
        <v>102</v>
      </c>
      <c r="H1" s="141" t="s">
        <v>103</v>
      </c>
      <c r="I1" s="141" t="s">
        <v>104</v>
      </c>
      <c r="J1" s="141" t="s">
        <v>105</v>
      </c>
      <c r="K1" s="142" t="s">
        <v>106</v>
      </c>
      <c r="L1" s="141" t="s">
        <v>107</v>
      </c>
      <c r="M1" s="141" t="s">
        <v>108</v>
      </c>
      <c r="N1" s="141" t="s">
        <v>109</v>
      </c>
      <c r="O1" s="141" t="s">
        <v>110</v>
      </c>
      <c r="P1" s="141" t="s">
        <v>111</v>
      </c>
      <c r="Q1" s="141" t="s">
        <v>112</v>
      </c>
      <c r="R1" s="141" t="s">
        <v>113</v>
      </c>
      <c r="S1" s="143" t="s">
        <v>114</v>
      </c>
      <c r="T1" s="143" t="s">
        <v>115</v>
      </c>
      <c r="U1" s="144" t="s">
        <v>116</v>
      </c>
      <c r="V1" s="145"/>
      <c r="W1" s="146" t="s">
        <v>117</v>
      </c>
      <c r="X1" s="147" t="s">
        <v>118</v>
      </c>
      <c r="Y1" s="148"/>
    </row>
    <row r="2" spans="1:25" ht="15.75" x14ac:dyDescent="0.5">
      <c r="A2" s="320" t="s">
        <v>119</v>
      </c>
      <c r="B2" s="410" t="s">
        <v>120</v>
      </c>
      <c r="C2" s="413" t="s">
        <v>121</v>
      </c>
      <c r="D2" s="99" t="s">
        <v>122</v>
      </c>
      <c r="E2" s="446" t="s">
        <v>123</v>
      </c>
      <c r="F2" s="14" t="s">
        <v>124</v>
      </c>
      <c r="G2" s="24"/>
      <c r="H2" s="439">
        <v>0</v>
      </c>
      <c r="I2" s="439">
        <v>0</v>
      </c>
      <c r="J2" s="439">
        <v>0</v>
      </c>
      <c r="K2" s="439">
        <v>0</v>
      </c>
      <c r="L2" s="439">
        <v>0</v>
      </c>
      <c r="M2" s="439">
        <v>1</v>
      </c>
      <c r="N2" s="439">
        <v>1</v>
      </c>
      <c r="O2" s="439">
        <v>2</v>
      </c>
      <c r="P2" s="439">
        <v>1</v>
      </c>
      <c r="Q2" s="439">
        <v>0</v>
      </c>
      <c r="R2" s="439">
        <v>0</v>
      </c>
      <c r="S2" s="439">
        <v>0</v>
      </c>
      <c r="T2" s="439">
        <v>0</v>
      </c>
      <c r="U2" s="439">
        <v>0</v>
      </c>
      <c r="W2" s="2"/>
    </row>
    <row r="3" spans="1:25" ht="15.75" x14ac:dyDescent="0.5">
      <c r="A3" s="320"/>
      <c r="B3" s="410"/>
      <c r="C3" s="414"/>
      <c r="D3" s="99" t="s">
        <v>629</v>
      </c>
      <c r="E3" s="447"/>
      <c r="F3" s="6" t="s">
        <v>710</v>
      </c>
      <c r="G3" s="2"/>
      <c r="H3" s="440"/>
      <c r="I3" s="440"/>
      <c r="J3" s="440"/>
      <c r="K3" s="440"/>
      <c r="L3" s="440"/>
      <c r="M3" s="440"/>
      <c r="N3" s="440"/>
      <c r="O3" s="440"/>
      <c r="P3" s="440"/>
      <c r="Q3" s="440"/>
      <c r="R3" s="440"/>
      <c r="S3" s="440"/>
      <c r="T3" s="440"/>
      <c r="U3" s="440"/>
      <c r="W3" s="2"/>
    </row>
    <row r="4" spans="1:25" ht="15.75" x14ac:dyDescent="0.5">
      <c r="A4" s="320"/>
      <c r="B4" s="410"/>
      <c r="C4" s="414"/>
      <c r="D4" s="99" t="s">
        <v>630</v>
      </c>
      <c r="E4" s="447"/>
      <c r="F4" s="6" t="s">
        <v>711</v>
      </c>
      <c r="G4" s="2"/>
      <c r="H4" s="440"/>
      <c r="I4" s="440"/>
      <c r="J4" s="440"/>
      <c r="K4" s="440"/>
      <c r="L4" s="440"/>
      <c r="M4" s="440"/>
      <c r="N4" s="440"/>
      <c r="O4" s="440"/>
      <c r="P4" s="440"/>
      <c r="Q4" s="440"/>
      <c r="R4" s="440"/>
      <c r="S4" s="440"/>
      <c r="T4" s="440"/>
      <c r="U4" s="440"/>
      <c r="W4" s="2"/>
    </row>
    <row r="5" spans="1:25" ht="15.75" x14ac:dyDescent="0.5">
      <c r="A5" s="320"/>
      <c r="B5" s="410"/>
      <c r="C5" s="414"/>
      <c r="D5" s="99" t="s">
        <v>631</v>
      </c>
      <c r="E5" s="447"/>
      <c r="F5" s="6" t="s">
        <v>712</v>
      </c>
      <c r="G5" s="2"/>
      <c r="H5" s="440"/>
      <c r="I5" s="440"/>
      <c r="J5" s="440"/>
      <c r="K5" s="440"/>
      <c r="L5" s="440"/>
      <c r="M5" s="440"/>
      <c r="N5" s="440"/>
      <c r="O5" s="440"/>
      <c r="P5" s="440"/>
      <c r="Q5" s="440"/>
      <c r="R5" s="440"/>
      <c r="S5" s="440"/>
      <c r="T5" s="440"/>
      <c r="U5" s="440"/>
      <c r="W5" s="2"/>
    </row>
    <row r="6" spans="1:25" ht="15.75" x14ac:dyDescent="0.5">
      <c r="A6" s="320"/>
      <c r="B6" s="410"/>
      <c r="C6" s="414"/>
      <c r="D6" s="99" t="s">
        <v>632</v>
      </c>
      <c r="E6" s="448"/>
      <c r="F6" s="8" t="s">
        <v>713</v>
      </c>
      <c r="G6" s="149"/>
      <c r="H6" s="441"/>
      <c r="I6" s="441"/>
      <c r="J6" s="441"/>
      <c r="K6" s="441"/>
      <c r="L6" s="441"/>
      <c r="M6" s="441"/>
      <c r="N6" s="441"/>
      <c r="O6" s="441"/>
      <c r="P6" s="441"/>
      <c r="Q6" s="441"/>
      <c r="R6" s="441"/>
      <c r="S6" s="441"/>
      <c r="T6" s="441"/>
      <c r="U6" s="441"/>
      <c r="W6" s="2"/>
    </row>
    <row r="7" spans="1:25" ht="15.75" x14ac:dyDescent="0.5">
      <c r="A7" s="320"/>
      <c r="B7" s="410"/>
      <c r="C7" s="414" t="s">
        <v>125</v>
      </c>
      <c r="D7" s="99" t="s">
        <v>126</v>
      </c>
      <c r="E7" s="446" t="s">
        <v>127</v>
      </c>
      <c r="F7" s="14" t="s">
        <v>128</v>
      </c>
      <c r="G7" s="24"/>
      <c r="H7" s="439">
        <v>0</v>
      </c>
      <c r="I7" s="439">
        <v>2</v>
      </c>
      <c r="J7" s="439">
        <v>1</v>
      </c>
      <c r="K7" s="439">
        <v>0</v>
      </c>
      <c r="L7" s="439">
        <v>0</v>
      </c>
      <c r="M7" s="439">
        <v>1</v>
      </c>
      <c r="N7" s="439">
        <v>0</v>
      </c>
      <c r="O7" s="439">
        <v>1</v>
      </c>
      <c r="P7" s="439">
        <v>0</v>
      </c>
      <c r="Q7" s="439">
        <v>0</v>
      </c>
      <c r="R7" s="439">
        <v>1</v>
      </c>
      <c r="S7" s="439">
        <v>0</v>
      </c>
      <c r="T7" s="439">
        <v>0</v>
      </c>
      <c r="U7" s="439">
        <v>0</v>
      </c>
      <c r="W7" s="2"/>
    </row>
    <row r="8" spans="1:25" ht="15.75" x14ac:dyDescent="0.5">
      <c r="A8" s="320"/>
      <c r="B8" s="410"/>
      <c r="C8" s="414"/>
      <c r="D8" s="99" t="s">
        <v>633</v>
      </c>
      <c r="E8" s="447"/>
      <c r="F8" s="6" t="s">
        <v>714</v>
      </c>
      <c r="G8" s="2"/>
      <c r="H8" s="440"/>
      <c r="I8" s="440"/>
      <c r="J8" s="440"/>
      <c r="K8" s="440"/>
      <c r="L8" s="440"/>
      <c r="M8" s="440"/>
      <c r="N8" s="440"/>
      <c r="O8" s="440"/>
      <c r="P8" s="440"/>
      <c r="Q8" s="440"/>
      <c r="R8" s="440"/>
      <c r="S8" s="440"/>
      <c r="T8" s="440"/>
      <c r="U8" s="440"/>
      <c r="W8" s="2"/>
    </row>
    <row r="9" spans="1:25" ht="15.75" x14ac:dyDescent="0.5">
      <c r="A9" s="320"/>
      <c r="B9" s="410"/>
      <c r="C9" s="414"/>
      <c r="D9" s="99" t="s">
        <v>630</v>
      </c>
      <c r="E9" s="447"/>
      <c r="F9" s="6" t="s">
        <v>715</v>
      </c>
      <c r="G9" s="2"/>
      <c r="H9" s="440"/>
      <c r="I9" s="440"/>
      <c r="J9" s="440"/>
      <c r="K9" s="440"/>
      <c r="L9" s="440"/>
      <c r="M9" s="440"/>
      <c r="N9" s="440"/>
      <c r="O9" s="440"/>
      <c r="P9" s="440"/>
      <c r="Q9" s="440"/>
      <c r="R9" s="440"/>
      <c r="S9" s="440"/>
      <c r="T9" s="440"/>
      <c r="U9" s="440"/>
      <c r="W9" s="2"/>
    </row>
    <row r="10" spans="1:25" ht="15.75" x14ac:dyDescent="0.5">
      <c r="A10" s="320"/>
      <c r="B10" s="410"/>
      <c r="C10" s="414"/>
      <c r="D10" s="99" t="s">
        <v>634</v>
      </c>
      <c r="E10" s="447"/>
      <c r="F10" s="6" t="s">
        <v>716</v>
      </c>
      <c r="G10" s="2"/>
      <c r="H10" s="440"/>
      <c r="I10" s="440"/>
      <c r="J10" s="440"/>
      <c r="K10" s="440"/>
      <c r="L10" s="440"/>
      <c r="M10" s="440"/>
      <c r="N10" s="440"/>
      <c r="O10" s="440"/>
      <c r="P10" s="440"/>
      <c r="Q10" s="440"/>
      <c r="R10" s="440"/>
      <c r="S10" s="440"/>
      <c r="T10" s="440"/>
      <c r="U10" s="440"/>
      <c r="W10" s="2"/>
    </row>
    <row r="11" spans="1:25" ht="15.75" x14ac:dyDescent="0.5">
      <c r="A11" s="320"/>
      <c r="B11" s="410"/>
      <c r="C11" s="415"/>
      <c r="D11" s="150" t="s">
        <v>635</v>
      </c>
      <c r="E11" s="448"/>
      <c r="F11" s="8" t="s">
        <v>717</v>
      </c>
      <c r="G11" s="149"/>
      <c r="H11" s="441"/>
      <c r="I11" s="441"/>
      <c r="J11" s="441"/>
      <c r="K11" s="441"/>
      <c r="L11" s="441"/>
      <c r="M11" s="441"/>
      <c r="N11" s="441"/>
      <c r="O11" s="441"/>
      <c r="P11" s="441"/>
      <c r="Q11" s="441"/>
      <c r="R11" s="441"/>
      <c r="S11" s="441"/>
      <c r="T11" s="441"/>
      <c r="U11" s="441"/>
      <c r="W11" s="2"/>
    </row>
    <row r="12" spans="1:25" ht="15.75" x14ac:dyDescent="0.5">
      <c r="A12" s="320"/>
      <c r="B12" s="411" t="s">
        <v>129</v>
      </c>
      <c r="C12" s="416" t="s">
        <v>130</v>
      </c>
      <c r="D12" s="99" t="s">
        <v>131</v>
      </c>
      <c r="E12" s="446" t="s">
        <v>132</v>
      </c>
      <c r="F12" s="14" t="s">
        <v>133</v>
      </c>
      <c r="G12" s="24"/>
      <c r="H12" s="439">
        <v>0</v>
      </c>
      <c r="I12" s="439">
        <v>0</v>
      </c>
      <c r="J12" s="439">
        <v>0</v>
      </c>
      <c r="K12" s="439">
        <v>1</v>
      </c>
      <c r="L12" s="439">
        <v>2</v>
      </c>
      <c r="M12" s="439">
        <v>0</v>
      </c>
      <c r="N12" s="439">
        <v>0</v>
      </c>
      <c r="O12" s="439">
        <v>0</v>
      </c>
      <c r="P12" s="439">
        <v>0</v>
      </c>
      <c r="Q12" s="439">
        <v>0</v>
      </c>
      <c r="R12" s="439">
        <v>0</v>
      </c>
      <c r="S12" s="439">
        <v>0</v>
      </c>
      <c r="T12" s="439">
        <v>0</v>
      </c>
      <c r="U12" s="439">
        <v>0</v>
      </c>
      <c r="W12" s="2"/>
    </row>
    <row r="13" spans="1:25" ht="15.75" x14ac:dyDescent="0.5">
      <c r="A13" s="320"/>
      <c r="B13" s="411"/>
      <c r="C13" s="395"/>
      <c r="D13" s="99" t="s">
        <v>636</v>
      </c>
      <c r="E13" s="447"/>
      <c r="F13" s="6" t="s">
        <v>718</v>
      </c>
      <c r="G13" s="2"/>
      <c r="H13" s="440"/>
      <c r="I13" s="440"/>
      <c r="J13" s="440"/>
      <c r="K13" s="440"/>
      <c r="L13" s="440"/>
      <c r="M13" s="440"/>
      <c r="N13" s="440"/>
      <c r="O13" s="440"/>
      <c r="P13" s="440"/>
      <c r="Q13" s="440"/>
      <c r="R13" s="440"/>
      <c r="S13" s="440"/>
      <c r="T13" s="440"/>
      <c r="U13" s="440"/>
      <c r="W13" s="2"/>
    </row>
    <row r="14" spans="1:25" ht="15.75" x14ac:dyDescent="0.5">
      <c r="A14" s="320"/>
      <c r="B14" s="411"/>
      <c r="C14" s="395"/>
      <c r="D14" s="99" t="s">
        <v>637</v>
      </c>
      <c r="E14" s="448"/>
      <c r="F14" s="8" t="s">
        <v>719</v>
      </c>
      <c r="G14" s="149"/>
      <c r="H14" s="441"/>
      <c r="I14" s="441"/>
      <c r="J14" s="441"/>
      <c r="K14" s="441"/>
      <c r="L14" s="441"/>
      <c r="M14" s="441"/>
      <c r="N14" s="441"/>
      <c r="O14" s="441"/>
      <c r="P14" s="441"/>
      <c r="Q14" s="441"/>
      <c r="R14" s="441"/>
      <c r="S14" s="441"/>
      <c r="T14" s="441"/>
      <c r="U14" s="441"/>
      <c r="W14" s="2"/>
    </row>
    <row r="15" spans="1:25" ht="15.75" x14ac:dyDescent="0.5">
      <c r="A15" s="320"/>
      <c r="B15" s="411"/>
      <c r="C15" s="395" t="s">
        <v>134</v>
      </c>
      <c r="D15" s="99" t="s">
        <v>135</v>
      </c>
      <c r="E15" s="446" t="s">
        <v>136</v>
      </c>
      <c r="F15" s="14" t="s">
        <v>137</v>
      </c>
      <c r="G15" s="24"/>
      <c r="H15" s="439">
        <v>0</v>
      </c>
      <c r="I15" s="439">
        <v>0</v>
      </c>
      <c r="J15" s="439">
        <v>0</v>
      </c>
      <c r="K15" s="439">
        <v>2</v>
      </c>
      <c r="L15" s="439">
        <v>0</v>
      </c>
      <c r="M15" s="439">
        <v>0</v>
      </c>
      <c r="N15" s="439">
        <v>0</v>
      </c>
      <c r="O15" s="439">
        <v>0</v>
      </c>
      <c r="P15" s="439">
        <v>0</v>
      </c>
      <c r="Q15" s="439">
        <v>0</v>
      </c>
      <c r="R15" s="439">
        <v>0</v>
      </c>
      <c r="S15" s="439">
        <v>0</v>
      </c>
      <c r="T15" s="439">
        <v>0</v>
      </c>
      <c r="U15" s="439">
        <v>0</v>
      </c>
      <c r="W15" s="2"/>
    </row>
    <row r="16" spans="1:25" ht="15.75" x14ac:dyDescent="0.5">
      <c r="A16" s="320"/>
      <c r="B16" s="411"/>
      <c r="C16" s="395"/>
      <c r="D16" s="99" t="s">
        <v>638</v>
      </c>
      <c r="E16" s="448"/>
      <c r="F16" s="8" t="s">
        <v>720</v>
      </c>
      <c r="G16" s="149"/>
      <c r="H16" s="441"/>
      <c r="I16" s="441"/>
      <c r="J16" s="441"/>
      <c r="K16" s="441"/>
      <c r="L16" s="441"/>
      <c r="M16" s="441"/>
      <c r="N16" s="441"/>
      <c r="O16" s="441"/>
      <c r="P16" s="441"/>
      <c r="Q16" s="441"/>
      <c r="R16" s="441"/>
      <c r="S16" s="441"/>
      <c r="T16" s="441"/>
      <c r="U16" s="441"/>
      <c r="W16" s="2"/>
    </row>
    <row r="17" spans="1:23" ht="15.75" x14ac:dyDescent="0.5">
      <c r="A17" s="320"/>
      <c r="B17" s="411"/>
      <c r="C17" s="395" t="s">
        <v>138</v>
      </c>
      <c r="D17" s="99" t="s">
        <v>139</v>
      </c>
      <c r="E17" s="446" t="s">
        <v>140</v>
      </c>
      <c r="F17" s="14" t="s">
        <v>141</v>
      </c>
      <c r="G17" s="24"/>
      <c r="H17" s="439">
        <v>0</v>
      </c>
      <c r="I17" s="439">
        <v>1</v>
      </c>
      <c r="J17" s="439">
        <v>1</v>
      </c>
      <c r="K17" s="439">
        <v>0</v>
      </c>
      <c r="L17" s="439">
        <v>0</v>
      </c>
      <c r="M17" s="439">
        <v>0</v>
      </c>
      <c r="N17" s="439">
        <v>0</v>
      </c>
      <c r="O17" s="439">
        <v>0</v>
      </c>
      <c r="P17" s="439">
        <v>0</v>
      </c>
      <c r="Q17" s="439">
        <v>0</v>
      </c>
      <c r="R17" s="439">
        <v>0</v>
      </c>
      <c r="S17" s="439">
        <v>0</v>
      </c>
      <c r="T17" s="439">
        <v>2</v>
      </c>
      <c r="U17" s="439">
        <v>1</v>
      </c>
      <c r="W17" s="2"/>
    </row>
    <row r="18" spans="1:23" ht="15.75" x14ac:dyDescent="0.5">
      <c r="A18" s="320"/>
      <c r="B18" s="411"/>
      <c r="C18" s="395"/>
      <c r="D18" s="99" t="s">
        <v>639</v>
      </c>
      <c r="E18" s="447"/>
      <c r="F18" s="6" t="s">
        <v>721</v>
      </c>
      <c r="G18" s="2"/>
      <c r="H18" s="440"/>
      <c r="I18" s="440"/>
      <c r="J18" s="440"/>
      <c r="K18" s="440"/>
      <c r="L18" s="440"/>
      <c r="M18" s="440"/>
      <c r="N18" s="440"/>
      <c r="O18" s="440"/>
      <c r="P18" s="440"/>
      <c r="Q18" s="440"/>
      <c r="R18" s="440"/>
      <c r="S18" s="440"/>
      <c r="T18" s="440"/>
      <c r="U18" s="440"/>
      <c r="W18" s="2"/>
    </row>
    <row r="19" spans="1:23" ht="15.75" x14ac:dyDescent="0.5">
      <c r="A19" s="320"/>
      <c r="B19" s="411"/>
      <c r="C19" s="395"/>
      <c r="D19" s="99" t="s">
        <v>640</v>
      </c>
      <c r="E19" s="448"/>
      <c r="F19" s="8" t="s">
        <v>722</v>
      </c>
      <c r="G19" s="149"/>
      <c r="H19" s="441"/>
      <c r="I19" s="441"/>
      <c r="J19" s="441"/>
      <c r="K19" s="441"/>
      <c r="L19" s="441"/>
      <c r="M19" s="441"/>
      <c r="N19" s="441"/>
      <c r="O19" s="441"/>
      <c r="P19" s="441"/>
      <c r="Q19" s="441"/>
      <c r="R19" s="441"/>
      <c r="S19" s="441"/>
      <c r="T19" s="441"/>
      <c r="U19" s="441"/>
      <c r="W19" s="2"/>
    </row>
    <row r="20" spans="1:23" ht="15.75" x14ac:dyDescent="0.5">
      <c r="A20" s="320"/>
      <c r="B20" s="411"/>
      <c r="C20" s="395" t="s">
        <v>142</v>
      </c>
      <c r="D20" s="99" t="s">
        <v>143</v>
      </c>
      <c r="E20" s="446" t="s">
        <v>144</v>
      </c>
      <c r="F20" s="14" t="s">
        <v>145</v>
      </c>
      <c r="G20" s="24"/>
      <c r="H20" s="439">
        <v>0</v>
      </c>
      <c r="I20" s="439">
        <v>0</v>
      </c>
      <c r="J20" s="439">
        <v>0</v>
      </c>
      <c r="K20" s="439">
        <v>2</v>
      </c>
      <c r="L20" s="439">
        <v>0</v>
      </c>
      <c r="M20" s="439">
        <v>0</v>
      </c>
      <c r="N20" s="439">
        <v>0</v>
      </c>
      <c r="O20" s="439">
        <v>0</v>
      </c>
      <c r="P20" s="439">
        <v>0</v>
      </c>
      <c r="Q20" s="439">
        <v>0</v>
      </c>
      <c r="R20" s="439">
        <v>0</v>
      </c>
      <c r="S20" s="439">
        <v>0</v>
      </c>
      <c r="T20" s="439">
        <v>0</v>
      </c>
      <c r="U20" s="439">
        <v>1</v>
      </c>
      <c r="W20" s="2"/>
    </row>
    <row r="21" spans="1:23" ht="15.75" x14ac:dyDescent="0.5">
      <c r="A21" s="320"/>
      <c r="B21" s="411"/>
      <c r="C21" s="395"/>
      <c r="D21" s="99" t="s">
        <v>641</v>
      </c>
      <c r="E21" s="447"/>
      <c r="F21" s="6" t="s">
        <v>723</v>
      </c>
      <c r="G21" s="2"/>
      <c r="H21" s="440"/>
      <c r="I21" s="440"/>
      <c r="J21" s="440"/>
      <c r="K21" s="440"/>
      <c r="L21" s="440"/>
      <c r="M21" s="440"/>
      <c r="N21" s="440"/>
      <c r="O21" s="440"/>
      <c r="P21" s="440"/>
      <c r="Q21" s="440"/>
      <c r="R21" s="440"/>
      <c r="S21" s="440"/>
      <c r="T21" s="440"/>
      <c r="U21" s="440"/>
      <c r="W21" s="2"/>
    </row>
    <row r="22" spans="1:23" ht="15.75" x14ac:dyDescent="0.5">
      <c r="A22" s="320"/>
      <c r="B22" s="411"/>
      <c r="C22" s="395"/>
      <c r="D22" s="99" t="s">
        <v>642</v>
      </c>
      <c r="E22" s="448"/>
      <c r="F22" s="8" t="s">
        <v>724</v>
      </c>
      <c r="G22" s="149"/>
      <c r="H22" s="441"/>
      <c r="I22" s="441"/>
      <c r="J22" s="441"/>
      <c r="K22" s="441"/>
      <c r="L22" s="441"/>
      <c r="M22" s="441"/>
      <c r="N22" s="441"/>
      <c r="O22" s="441"/>
      <c r="P22" s="441"/>
      <c r="Q22" s="441"/>
      <c r="R22" s="441"/>
      <c r="S22" s="441"/>
      <c r="T22" s="441"/>
      <c r="U22" s="441"/>
      <c r="W22" s="2"/>
    </row>
    <row r="23" spans="1:23" ht="15.75" x14ac:dyDescent="0.5">
      <c r="A23" s="320"/>
      <c r="B23" s="411"/>
      <c r="C23" s="395" t="s">
        <v>146</v>
      </c>
      <c r="D23" s="99" t="s">
        <v>147</v>
      </c>
      <c r="E23" s="446" t="s">
        <v>148</v>
      </c>
      <c r="F23" s="14" t="s">
        <v>149</v>
      </c>
      <c r="G23" s="24"/>
      <c r="H23" s="439">
        <v>0</v>
      </c>
      <c r="I23" s="439">
        <v>0</v>
      </c>
      <c r="J23" s="439">
        <v>0</v>
      </c>
      <c r="K23" s="439">
        <v>0</v>
      </c>
      <c r="L23" s="439">
        <v>1</v>
      </c>
      <c r="M23" s="439">
        <v>0</v>
      </c>
      <c r="N23" s="439">
        <v>0</v>
      </c>
      <c r="O23" s="439">
        <v>0</v>
      </c>
      <c r="P23" s="439">
        <v>1</v>
      </c>
      <c r="Q23" s="439">
        <v>0</v>
      </c>
      <c r="R23" s="439">
        <v>0</v>
      </c>
      <c r="S23" s="439">
        <v>2</v>
      </c>
      <c r="T23" s="439">
        <v>0</v>
      </c>
      <c r="U23" s="439">
        <v>0</v>
      </c>
      <c r="W23" s="2"/>
    </row>
    <row r="24" spans="1:23" ht="15.75" x14ac:dyDescent="0.5">
      <c r="A24" s="320"/>
      <c r="B24" s="411"/>
      <c r="C24" s="395"/>
      <c r="D24" s="99" t="s">
        <v>643</v>
      </c>
      <c r="E24" s="447"/>
      <c r="F24" s="6" t="s">
        <v>725</v>
      </c>
      <c r="G24" s="2"/>
      <c r="H24" s="440"/>
      <c r="I24" s="440"/>
      <c r="J24" s="440"/>
      <c r="K24" s="440"/>
      <c r="L24" s="440"/>
      <c r="M24" s="440"/>
      <c r="N24" s="440"/>
      <c r="O24" s="440"/>
      <c r="P24" s="440"/>
      <c r="Q24" s="440"/>
      <c r="R24" s="440"/>
      <c r="S24" s="440"/>
      <c r="T24" s="440"/>
      <c r="U24" s="440"/>
      <c r="W24" s="2"/>
    </row>
    <row r="25" spans="1:23" ht="15.75" x14ac:dyDescent="0.5">
      <c r="A25" s="320"/>
      <c r="B25" s="411"/>
      <c r="C25" s="395"/>
      <c r="D25" s="99" t="s">
        <v>644</v>
      </c>
      <c r="E25" s="448"/>
      <c r="F25" s="8" t="s">
        <v>726</v>
      </c>
      <c r="G25" s="149"/>
      <c r="H25" s="441"/>
      <c r="I25" s="441"/>
      <c r="J25" s="441"/>
      <c r="K25" s="441"/>
      <c r="L25" s="441"/>
      <c r="M25" s="441"/>
      <c r="N25" s="441"/>
      <c r="O25" s="441"/>
      <c r="P25" s="441"/>
      <c r="Q25" s="441"/>
      <c r="R25" s="441"/>
      <c r="S25" s="441"/>
      <c r="T25" s="441"/>
      <c r="U25" s="441"/>
      <c r="W25" s="2"/>
    </row>
    <row r="26" spans="1:23" ht="15.75" x14ac:dyDescent="0.5">
      <c r="A26" s="320"/>
      <c r="B26" s="411"/>
      <c r="C26" s="395" t="s">
        <v>150</v>
      </c>
      <c r="D26" s="99" t="s">
        <v>151</v>
      </c>
      <c r="E26" s="446" t="s">
        <v>152</v>
      </c>
      <c r="F26" s="14" t="s">
        <v>153</v>
      </c>
      <c r="G26" s="24"/>
      <c r="H26" s="439">
        <v>0</v>
      </c>
      <c r="I26" s="439">
        <v>0</v>
      </c>
      <c r="J26" s="439">
        <v>0</v>
      </c>
      <c r="K26" s="439">
        <v>2</v>
      </c>
      <c r="L26" s="439">
        <v>0</v>
      </c>
      <c r="M26" s="439">
        <v>0</v>
      </c>
      <c r="N26" s="439">
        <v>0</v>
      </c>
      <c r="O26" s="439">
        <v>0</v>
      </c>
      <c r="P26" s="439">
        <v>0</v>
      </c>
      <c r="Q26" s="439">
        <v>0</v>
      </c>
      <c r="R26" s="439">
        <v>0</v>
      </c>
      <c r="S26" s="439">
        <v>0</v>
      </c>
      <c r="T26" s="439">
        <v>0</v>
      </c>
      <c r="U26" s="439">
        <v>0</v>
      </c>
      <c r="W26" s="2"/>
    </row>
    <row r="27" spans="1:23" ht="15.75" x14ac:dyDescent="0.5">
      <c r="A27" s="320"/>
      <c r="B27" s="411"/>
      <c r="C27" s="395"/>
      <c r="D27" s="99" t="s">
        <v>645</v>
      </c>
      <c r="E27" s="447"/>
      <c r="F27" s="6" t="s">
        <v>727</v>
      </c>
      <c r="G27" s="2"/>
      <c r="H27" s="440"/>
      <c r="I27" s="440"/>
      <c r="J27" s="440"/>
      <c r="K27" s="440"/>
      <c r="L27" s="440"/>
      <c r="M27" s="440"/>
      <c r="N27" s="440"/>
      <c r="O27" s="440"/>
      <c r="P27" s="440"/>
      <c r="Q27" s="440"/>
      <c r="R27" s="440"/>
      <c r="S27" s="440"/>
      <c r="T27" s="440"/>
      <c r="U27" s="440"/>
      <c r="W27" s="2"/>
    </row>
    <row r="28" spans="1:23" ht="15.75" x14ac:dyDescent="0.5">
      <c r="A28" s="320"/>
      <c r="B28" s="411"/>
      <c r="C28" s="395"/>
      <c r="D28" s="99" t="s">
        <v>646</v>
      </c>
      <c r="E28" s="447"/>
      <c r="F28" s="6" t="s">
        <v>728</v>
      </c>
      <c r="G28" s="2"/>
      <c r="H28" s="440"/>
      <c r="I28" s="440"/>
      <c r="J28" s="440"/>
      <c r="K28" s="440"/>
      <c r="L28" s="440"/>
      <c r="M28" s="440"/>
      <c r="N28" s="440"/>
      <c r="O28" s="440"/>
      <c r="P28" s="440"/>
      <c r="Q28" s="440"/>
      <c r="R28" s="440"/>
      <c r="S28" s="440"/>
      <c r="T28" s="440"/>
      <c r="U28" s="440"/>
      <c r="W28" s="2"/>
    </row>
    <row r="29" spans="1:23" ht="15.75" x14ac:dyDescent="0.5">
      <c r="A29" s="320"/>
      <c r="B29" s="411"/>
      <c r="C29" s="395"/>
      <c r="D29" s="150" t="s">
        <v>647</v>
      </c>
      <c r="E29" s="448"/>
      <c r="F29" s="8" t="s">
        <v>729</v>
      </c>
      <c r="G29" s="149"/>
      <c r="H29" s="441"/>
      <c r="I29" s="441"/>
      <c r="J29" s="441"/>
      <c r="K29" s="441"/>
      <c r="L29" s="441"/>
      <c r="M29" s="441"/>
      <c r="N29" s="441"/>
      <c r="O29" s="441"/>
      <c r="P29" s="441"/>
      <c r="Q29" s="441"/>
      <c r="R29" s="441"/>
      <c r="S29" s="441"/>
      <c r="T29" s="441"/>
      <c r="U29" s="441"/>
      <c r="W29" s="2"/>
    </row>
    <row r="30" spans="1:23" ht="15.75" x14ac:dyDescent="0.5">
      <c r="A30" s="320"/>
      <c r="B30" s="410" t="s">
        <v>154</v>
      </c>
      <c r="C30" s="413" t="s">
        <v>155</v>
      </c>
      <c r="D30" s="99" t="s">
        <v>156</v>
      </c>
      <c r="E30" s="455" t="s">
        <v>157</v>
      </c>
      <c r="F30" s="151" t="s">
        <v>158</v>
      </c>
      <c r="G30" s="24"/>
      <c r="H30" s="439">
        <v>0</v>
      </c>
      <c r="I30" s="439">
        <v>0</v>
      </c>
      <c r="J30" s="458">
        <v>2</v>
      </c>
      <c r="K30" s="439">
        <v>0</v>
      </c>
      <c r="L30" s="439">
        <v>0</v>
      </c>
      <c r="M30" s="439">
        <v>0</v>
      </c>
      <c r="N30" s="439">
        <v>0</v>
      </c>
      <c r="O30" s="439">
        <v>0</v>
      </c>
      <c r="P30" s="439">
        <v>0</v>
      </c>
      <c r="Q30" s="439">
        <v>0</v>
      </c>
      <c r="R30" s="439">
        <v>0</v>
      </c>
      <c r="S30" s="439">
        <v>0</v>
      </c>
      <c r="T30" s="439">
        <v>0</v>
      </c>
      <c r="U30" s="439">
        <v>0</v>
      </c>
      <c r="W30" s="2"/>
    </row>
    <row r="31" spans="1:23" ht="15.75" x14ac:dyDescent="0.5">
      <c r="A31" s="320"/>
      <c r="B31" s="410"/>
      <c r="C31" s="414"/>
      <c r="D31" s="99" t="s">
        <v>648</v>
      </c>
      <c r="E31" s="456"/>
      <c r="F31" s="152" t="s">
        <v>730</v>
      </c>
      <c r="G31" s="2"/>
      <c r="H31" s="440"/>
      <c r="I31" s="440"/>
      <c r="J31" s="459"/>
      <c r="K31" s="440"/>
      <c r="L31" s="440"/>
      <c r="M31" s="440"/>
      <c r="N31" s="440"/>
      <c r="O31" s="440"/>
      <c r="P31" s="440"/>
      <c r="Q31" s="440"/>
      <c r="R31" s="440"/>
      <c r="S31" s="440"/>
      <c r="T31" s="440"/>
      <c r="U31" s="440"/>
      <c r="W31" s="2"/>
    </row>
    <row r="32" spans="1:23" ht="15.75" x14ac:dyDescent="0.5">
      <c r="A32" s="320"/>
      <c r="B32" s="410"/>
      <c r="C32" s="414"/>
      <c r="D32" s="99" t="s">
        <v>649</v>
      </c>
      <c r="E32" s="457"/>
      <c r="F32" s="153" t="s">
        <v>731</v>
      </c>
      <c r="G32" s="149"/>
      <c r="H32" s="441"/>
      <c r="I32" s="441"/>
      <c r="J32" s="460"/>
      <c r="K32" s="441"/>
      <c r="L32" s="441"/>
      <c r="M32" s="441"/>
      <c r="N32" s="441"/>
      <c r="O32" s="441"/>
      <c r="P32" s="441"/>
      <c r="Q32" s="441"/>
      <c r="R32" s="441"/>
      <c r="S32" s="441"/>
      <c r="T32" s="441"/>
      <c r="U32" s="441"/>
      <c r="W32" s="2"/>
    </row>
    <row r="33" spans="1:23" ht="15.75" x14ac:dyDescent="0.5">
      <c r="A33" s="320"/>
      <c r="B33" s="410"/>
      <c r="C33" s="414" t="s">
        <v>159</v>
      </c>
      <c r="D33" s="99" t="s">
        <v>160</v>
      </c>
      <c r="E33" s="446" t="s">
        <v>161</v>
      </c>
      <c r="F33" s="14" t="s">
        <v>162</v>
      </c>
      <c r="G33" s="24"/>
      <c r="H33" s="439">
        <v>0</v>
      </c>
      <c r="I33" s="439">
        <v>0</v>
      </c>
      <c r="J33" s="439">
        <v>2</v>
      </c>
      <c r="K33" s="439">
        <v>0</v>
      </c>
      <c r="L33" s="439">
        <v>0</v>
      </c>
      <c r="M33" s="439">
        <v>0</v>
      </c>
      <c r="N33" s="439">
        <v>0</v>
      </c>
      <c r="O33" s="439">
        <v>0</v>
      </c>
      <c r="P33" s="439">
        <v>0</v>
      </c>
      <c r="Q33" s="439">
        <v>0</v>
      </c>
      <c r="R33" s="439">
        <v>0</v>
      </c>
      <c r="S33" s="439">
        <v>0</v>
      </c>
      <c r="T33" s="439">
        <v>0</v>
      </c>
      <c r="U33" s="439">
        <v>1</v>
      </c>
      <c r="W33" s="2"/>
    </row>
    <row r="34" spans="1:23" ht="15.75" x14ac:dyDescent="0.5">
      <c r="A34" s="320"/>
      <c r="B34" s="410"/>
      <c r="C34" s="414"/>
      <c r="D34" s="99" t="s">
        <v>650</v>
      </c>
      <c r="E34" s="447"/>
      <c r="F34" s="6" t="s">
        <v>732</v>
      </c>
      <c r="G34" s="2"/>
      <c r="H34" s="440"/>
      <c r="I34" s="440"/>
      <c r="J34" s="440"/>
      <c r="K34" s="440"/>
      <c r="L34" s="440"/>
      <c r="M34" s="440"/>
      <c r="N34" s="440"/>
      <c r="O34" s="440"/>
      <c r="P34" s="440"/>
      <c r="Q34" s="440"/>
      <c r="R34" s="440"/>
      <c r="S34" s="440"/>
      <c r="T34" s="440"/>
      <c r="U34" s="440"/>
      <c r="W34" s="2"/>
    </row>
    <row r="35" spans="1:23" ht="15.75" x14ac:dyDescent="0.5">
      <c r="A35" s="320"/>
      <c r="B35" s="410"/>
      <c r="C35" s="414"/>
      <c r="D35" s="99" t="s">
        <v>651</v>
      </c>
      <c r="E35" s="448"/>
      <c r="F35" s="8" t="s">
        <v>733</v>
      </c>
      <c r="G35" s="149"/>
      <c r="H35" s="441"/>
      <c r="I35" s="441"/>
      <c r="J35" s="441"/>
      <c r="K35" s="441"/>
      <c r="L35" s="441"/>
      <c r="M35" s="441"/>
      <c r="N35" s="441"/>
      <c r="O35" s="441"/>
      <c r="P35" s="441"/>
      <c r="Q35" s="441"/>
      <c r="R35" s="441"/>
      <c r="S35" s="441"/>
      <c r="T35" s="441"/>
      <c r="U35" s="441"/>
      <c r="W35" s="2"/>
    </row>
    <row r="36" spans="1:23" ht="15.75" x14ac:dyDescent="0.5">
      <c r="A36" s="320"/>
      <c r="B36" s="410"/>
      <c r="C36" s="414" t="s">
        <v>163</v>
      </c>
      <c r="D36" s="99" t="s">
        <v>164</v>
      </c>
      <c r="E36" s="446" t="s">
        <v>288</v>
      </c>
      <c r="F36" s="14" t="s">
        <v>166</v>
      </c>
      <c r="G36" s="24"/>
      <c r="H36" s="439">
        <v>0</v>
      </c>
      <c r="I36" s="439">
        <v>2</v>
      </c>
      <c r="J36" s="439">
        <v>2</v>
      </c>
      <c r="K36" s="439">
        <v>0</v>
      </c>
      <c r="L36" s="439">
        <v>0</v>
      </c>
      <c r="M36" s="439">
        <v>2</v>
      </c>
      <c r="N36" s="439">
        <v>1</v>
      </c>
      <c r="O36" s="439">
        <v>1</v>
      </c>
      <c r="P36" s="439">
        <v>1</v>
      </c>
      <c r="Q36" s="439">
        <v>0</v>
      </c>
      <c r="R36" s="439">
        <v>0</v>
      </c>
      <c r="S36" s="439">
        <v>0</v>
      </c>
      <c r="T36" s="439">
        <v>1</v>
      </c>
      <c r="U36" s="439">
        <v>2</v>
      </c>
      <c r="W36" s="2"/>
    </row>
    <row r="37" spans="1:23" ht="15.75" x14ac:dyDescent="0.5">
      <c r="A37" s="320"/>
      <c r="B37" s="410"/>
      <c r="C37" s="414"/>
      <c r="D37" s="99" t="s">
        <v>652</v>
      </c>
      <c r="E37" s="447"/>
      <c r="F37" s="6" t="s">
        <v>734</v>
      </c>
      <c r="G37" s="2"/>
      <c r="H37" s="440"/>
      <c r="I37" s="440"/>
      <c r="J37" s="440"/>
      <c r="K37" s="440"/>
      <c r="L37" s="440"/>
      <c r="M37" s="440"/>
      <c r="N37" s="440"/>
      <c r="O37" s="440"/>
      <c r="P37" s="440"/>
      <c r="Q37" s="440"/>
      <c r="R37" s="440"/>
      <c r="S37" s="440"/>
      <c r="T37" s="440"/>
      <c r="U37" s="440"/>
      <c r="W37" s="2"/>
    </row>
    <row r="38" spans="1:23" ht="15.75" x14ac:dyDescent="0.5">
      <c r="A38" s="320"/>
      <c r="B38" s="410"/>
      <c r="C38" s="414"/>
      <c r="D38" s="99" t="s">
        <v>653</v>
      </c>
      <c r="E38" s="448"/>
      <c r="F38" s="8" t="s">
        <v>735</v>
      </c>
      <c r="G38" s="149"/>
      <c r="H38" s="441"/>
      <c r="I38" s="441"/>
      <c r="J38" s="441"/>
      <c r="K38" s="441"/>
      <c r="L38" s="441"/>
      <c r="M38" s="441"/>
      <c r="N38" s="441"/>
      <c r="O38" s="441"/>
      <c r="P38" s="441"/>
      <c r="Q38" s="441"/>
      <c r="R38" s="441"/>
      <c r="S38" s="441"/>
      <c r="T38" s="441"/>
      <c r="U38" s="441"/>
      <c r="W38" s="2"/>
    </row>
    <row r="39" spans="1:23" ht="15.75" x14ac:dyDescent="0.5">
      <c r="A39" s="320"/>
      <c r="B39" s="410"/>
      <c r="C39" s="414" t="s">
        <v>167</v>
      </c>
      <c r="D39" s="99" t="s">
        <v>168</v>
      </c>
      <c r="E39" s="446" t="s">
        <v>169</v>
      </c>
      <c r="F39" s="14" t="s">
        <v>170</v>
      </c>
      <c r="G39" s="24"/>
      <c r="H39" s="439">
        <v>0</v>
      </c>
      <c r="I39" s="439">
        <v>1</v>
      </c>
      <c r="J39" s="439">
        <v>2</v>
      </c>
      <c r="K39" s="439">
        <v>0</v>
      </c>
      <c r="L39" s="439">
        <v>0</v>
      </c>
      <c r="M39" s="439">
        <v>2</v>
      </c>
      <c r="N39" s="439">
        <v>1</v>
      </c>
      <c r="O39" s="439">
        <v>1</v>
      </c>
      <c r="P39" s="439">
        <v>0</v>
      </c>
      <c r="Q39" s="439">
        <v>0</v>
      </c>
      <c r="R39" s="439">
        <v>0</v>
      </c>
      <c r="S39" s="439">
        <v>1</v>
      </c>
      <c r="T39" s="439">
        <v>0</v>
      </c>
      <c r="U39" s="439">
        <v>0</v>
      </c>
      <c r="W39" s="2"/>
    </row>
    <row r="40" spans="1:23" ht="15.75" x14ac:dyDescent="0.5">
      <c r="A40" s="320"/>
      <c r="B40" s="410"/>
      <c r="C40" s="414"/>
      <c r="D40" s="99" t="s">
        <v>654</v>
      </c>
      <c r="E40" s="447"/>
      <c r="F40" s="6" t="s">
        <v>736</v>
      </c>
      <c r="G40" s="2"/>
      <c r="H40" s="440"/>
      <c r="I40" s="440"/>
      <c r="J40" s="440"/>
      <c r="K40" s="440"/>
      <c r="L40" s="440"/>
      <c r="M40" s="440"/>
      <c r="N40" s="440"/>
      <c r="O40" s="440"/>
      <c r="P40" s="440"/>
      <c r="Q40" s="440"/>
      <c r="R40" s="440"/>
      <c r="S40" s="440"/>
      <c r="T40" s="440"/>
      <c r="U40" s="440"/>
      <c r="W40" s="2"/>
    </row>
    <row r="41" spans="1:23" ht="15.75" x14ac:dyDescent="0.5">
      <c r="A41" s="320"/>
      <c r="B41" s="410"/>
      <c r="C41" s="414"/>
      <c r="D41" s="99" t="s">
        <v>655</v>
      </c>
      <c r="E41" s="447"/>
      <c r="F41" s="6" t="s">
        <v>737</v>
      </c>
      <c r="G41" s="2"/>
      <c r="H41" s="440"/>
      <c r="I41" s="440"/>
      <c r="J41" s="440"/>
      <c r="K41" s="440"/>
      <c r="L41" s="440"/>
      <c r="M41" s="440"/>
      <c r="N41" s="440"/>
      <c r="O41" s="440"/>
      <c r="P41" s="440"/>
      <c r="Q41" s="440"/>
      <c r="R41" s="440"/>
      <c r="S41" s="440"/>
      <c r="T41" s="440"/>
      <c r="U41" s="440"/>
      <c r="W41" s="2"/>
    </row>
    <row r="42" spans="1:23" ht="15.75" x14ac:dyDescent="0.5">
      <c r="A42" s="320"/>
      <c r="B42" s="410"/>
      <c r="C42" s="414"/>
      <c r="D42" s="99" t="s">
        <v>656</v>
      </c>
      <c r="E42" s="447"/>
      <c r="F42" s="6" t="s">
        <v>738</v>
      </c>
      <c r="G42" s="2"/>
      <c r="H42" s="440"/>
      <c r="I42" s="440"/>
      <c r="J42" s="440"/>
      <c r="K42" s="440"/>
      <c r="L42" s="440"/>
      <c r="M42" s="440"/>
      <c r="N42" s="440"/>
      <c r="O42" s="440"/>
      <c r="P42" s="440"/>
      <c r="Q42" s="440"/>
      <c r="R42" s="440"/>
      <c r="S42" s="440"/>
      <c r="T42" s="440"/>
      <c r="U42" s="440"/>
      <c r="W42" s="2"/>
    </row>
    <row r="43" spans="1:23" ht="15.75" x14ac:dyDescent="0.5">
      <c r="A43" s="320"/>
      <c r="B43" s="410"/>
      <c r="C43" s="414"/>
      <c r="D43" s="99" t="s">
        <v>657</v>
      </c>
      <c r="E43" s="448"/>
      <c r="F43" s="8" t="s">
        <v>739</v>
      </c>
      <c r="G43" s="149"/>
      <c r="H43" s="441"/>
      <c r="I43" s="441"/>
      <c r="J43" s="441"/>
      <c r="K43" s="441"/>
      <c r="L43" s="441"/>
      <c r="M43" s="441"/>
      <c r="N43" s="441"/>
      <c r="O43" s="441"/>
      <c r="P43" s="441"/>
      <c r="Q43" s="441"/>
      <c r="R43" s="441"/>
      <c r="S43" s="441"/>
      <c r="T43" s="441"/>
      <c r="U43" s="441"/>
      <c r="W43" s="2"/>
    </row>
    <row r="44" spans="1:23" ht="15.75" x14ac:dyDescent="0.5">
      <c r="A44" s="320"/>
      <c r="B44" s="410"/>
      <c r="C44" s="414" t="s">
        <v>171</v>
      </c>
      <c r="D44" s="99" t="s">
        <v>172</v>
      </c>
      <c r="E44" s="446" t="s">
        <v>173</v>
      </c>
      <c r="F44" s="14" t="s">
        <v>174</v>
      </c>
      <c r="G44" s="24"/>
      <c r="H44" s="439">
        <v>0</v>
      </c>
      <c r="I44" s="439">
        <v>1</v>
      </c>
      <c r="J44" s="439">
        <v>2</v>
      </c>
      <c r="K44" s="439">
        <v>0</v>
      </c>
      <c r="L44" s="439">
        <v>0</v>
      </c>
      <c r="M44" s="439">
        <v>2</v>
      </c>
      <c r="N44" s="439">
        <v>1</v>
      </c>
      <c r="O44" s="439">
        <v>0</v>
      </c>
      <c r="P44" s="439">
        <v>1</v>
      </c>
      <c r="Q44" s="439">
        <v>0</v>
      </c>
      <c r="R44" s="439">
        <v>0</v>
      </c>
      <c r="S44" s="439">
        <v>0</v>
      </c>
      <c r="T44" s="439">
        <v>0</v>
      </c>
      <c r="U44" s="439">
        <v>0</v>
      </c>
      <c r="W44" s="2"/>
    </row>
    <row r="45" spans="1:23" ht="15.75" x14ac:dyDescent="0.5">
      <c r="A45" s="320"/>
      <c r="B45" s="410"/>
      <c r="C45" s="414"/>
      <c r="D45" s="99" t="s">
        <v>658</v>
      </c>
      <c r="E45" s="447"/>
      <c r="F45" s="6" t="s">
        <v>740</v>
      </c>
      <c r="G45" s="2"/>
      <c r="H45" s="440"/>
      <c r="I45" s="440"/>
      <c r="J45" s="440"/>
      <c r="K45" s="440"/>
      <c r="L45" s="440"/>
      <c r="M45" s="440"/>
      <c r="N45" s="440"/>
      <c r="O45" s="440"/>
      <c r="P45" s="440"/>
      <c r="Q45" s="440"/>
      <c r="R45" s="440"/>
      <c r="S45" s="440"/>
      <c r="T45" s="440"/>
      <c r="U45" s="440"/>
      <c r="W45" s="2"/>
    </row>
    <row r="46" spans="1:23" ht="15.75" x14ac:dyDescent="0.5">
      <c r="A46" s="320"/>
      <c r="B46" s="410"/>
      <c r="C46" s="414"/>
      <c r="D46" s="99" t="s">
        <v>659</v>
      </c>
      <c r="E46" s="447"/>
      <c r="F46" s="6" t="s">
        <v>741</v>
      </c>
      <c r="G46" s="2"/>
      <c r="H46" s="440"/>
      <c r="I46" s="440"/>
      <c r="J46" s="440"/>
      <c r="K46" s="440"/>
      <c r="L46" s="440"/>
      <c r="M46" s="440"/>
      <c r="N46" s="440"/>
      <c r="O46" s="440"/>
      <c r="P46" s="440"/>
      <c r="Q46" s="440"/>
      <c r="R46" s="440"/>
      <c r="S46" s="440"/>
      <c r="T46" s="440"/>
      <c r="U46" s="440"/>
      <c r="W46" s="2"/>
    </row>
    <row r="47" spans="1:23" ht="15.75" x14ac:dyDescent="0.5">
      <c r="A47" s="320"/>
      <c r="B47" s="410"/>
      <c r="C47" s="414"/>
      <c r="D47" s="99" t="s">
        <v>660</v>
      </c>
      <c r="E47" s="447"/>
      <c r="F47" s="6" t="s">
        <v>742</v>
      </c>
      <c r="G47" s="2"/>
      <c r="H47" s="440"/>
      <c r="I47" s="440"/>
      <c r="J47" s="440"/>
      <c r="K47" s="440"/>
      <c r="L47" s="440"/>
      <c r="M47" s="440"/>
      <c r="N47" s="440"/>
      <c r="O47" s="440"/>
      <c r="P47" s="440"/>
      <c r="Q47" s="440"/>
      <c r="R47" s="440"/>
      <c r="S47" s="440"/>
      <c r="T47" s="440"/>
      <c r="U47" s="440"/>
      <c r="W47" s="2"/>
    </row>
    <row r="48" spans="1:23" ht="15.75" x14ac:dyDescent="0.5">
      <c r="A48" s="320"/>
      <c r="B48" s="410"/>
      <c r="C48" s="414"/>
      <c r="D48" s="99" t="s">
        <v>661</v>
      </c>
      <c r="E48" s="447"/>
      <c r="F48" s="6" t="s">
        <v>743</v>
      </c>
      <c r="G48" s="2"/>
      <c r="H48" s="440"/>
      <c r="I48" s="440"/>
      <c r="J48" s="440"/>
      <c r="K48" s="440"/>
      <c r="L48" s="440"/>
      <c r="M48" s="440"/>
      <c r="N48" s="440"/>
      <c r="O48" s="440"/>
      <c r="P48" s="440"/>
      <c r="Q48" s="440"/>
      <c r="R48" s="440"/>
      <c r="S48" s="440"/>
      <c r="T48" s="440"/>
      <c r="U48" s="440"/>
      <c r="W48" s="2"/>
    </row>
    <row r="49" spans="1:28" ht="15.75" x14ac:dyDescent="0.5">
      <c r="A49" s="320"/>
      <c r="B49" s="410"/>
      <c r="C49" s="414"/>
      <c r="D49" s="99" t="s">
        <v>662</v>
      </c>
      <c r="E49" s="448"/>
      <c r="F49" s="8" t="s">
        <v>744</v>
      </c>
      <c r="G49" s="149"/>
      <c r="H49" s="441"/>
      <c r="I49" s="441"/>
      <c r="J49" s="441"/>
      <c r="K49" s="441"/>
      <c r="L49" s="441"/>
      <c r="M49" s="441"/>
      <c r="N49" s="441"/>
      <c r="O49" s="441"/>
      <c r="P49" s="441"/>
      <c r="Q49" s="441"/>
      <c r="R49" s="441"/>
      <c r="S49" s="441"/>
      <c r="T49" s="441"/>
      <c r="U49" s="441"/>
      <c r="W49" s="2"/>
    </row>
    <row r="50" spans="1:28" ht="15.75" x14ac:dyDescent="0.5">
      <c r="A50" s="320"/>
      <c r="B50" s="410"/>
      <c r="C50" s="414" t="s">
        <v>175</v>
      </c>
      <c r="D50" s="99" t="s">
        <v>176</v>
      </c>
      <c r="E50" s="446" t="s">
        <v>177</v>
      </c>
      <c r="F50" s="14" t="s">
        <v>178</v>
      </c>
      <c r="G50" s="24"/>
      <c r="H50" s="439">
        <v>0</v>
      </c>
      <c r="I50" s="439">
        <v>1</v>
      </c>
      <c r="J50" s="439">
        <v>2</v>
      </c>
      <c r="K50" s="439">
        <v>0</v>
      </c>
      <c r="L50" s="439">
        <v>1</v>
      </c>
      <c r="M50" s="439">
        <v>1</v>
      </c>
      <c r="N50" s="439">
        <v>1</v>
      </c>
      <c r="O50" s="439">
        <v>0</v>
      </c>
      <c r="P50" s="439">
        <v>1</v>
      </c>
      <c r="Q50" s="439">
        <v>0</v>
      </c>
      <c r="R50" s="439">
        <v>0</v>
      </c>
      <c r="S50" s="439">
        <v>0</v>
      </c>
      <c r="T50" s="439">
        <v>0</v>
      </c>
      <c r="U50" s="439">
        <v>0</v>
      </c>
      <c r="W50" s="2"/>
    </row>
    <row r="51" spans="1:28" ht="15.75" x14ac:dyDescent="0.5">
      <c r="A51" s="320"/>
      <c r="B51" s="410"/>
      <c r="C51" s="414"/>
      <c r="D51" s="99" t="s">
        <v>663</v>
      </c>
      <c r="E51" s="448"/>
      <c r="F51" s="8" t="s">
        <v>745</v>
      </c>
      <c r="G51" s="149"/>
      <c r="H51" s="441"/>
      <c r="I51" s="441"/>
      <c r="J51" s="441"/>
      <c r="K51" s="441"/>
      <c r="L51" s="441"/>
      <c r="M51" s="441"/>
      <c r="N51" s="441"/>
      <c r="O51" s="441"/>
      <c r="P51" s="441"/>
      <c r="Q51" s="441"/>
      <c r="R51" s="441"/>
      <c r="S51" s="441"/>
      <c r="T51" s="441"/>
      <c r="U51" s="441"/>
      <c r="W51" s="2"/>
    </row>
    <row r="52" spans="1:28" ht="15.75" x14ac:dyDescent="0.5">
      <c r="A52" s="320"/>
      <c r="B52" s="410"/>
      <c r="C52" s="414" t="s">
        <v>179</v>
      </c>
      <c r="D52" s="99" t="s">
        <v>180</v>
      </c>
      <c r="E52" s="446" t="s">
        <v>181</v>
      </c>
      <c r="F52" s="14" t="s">
        <v>182</v>
      </c>
      <c r="G52" s="24"/>
      <c r="H52" s="439">
        <v>0</v>
      </c>
      <c r="I52" s="439">
        <v>0</v>
      </c>
      <c r="J52" s="439">
        <v>0</v>
      </c>
      <c r="K52" s="439">
        <v>0</v>
      </c>
      <c r="L52" s="439">
        <v>1</v>
      </c>
      <c r="M52" s="439">
        <v>0</v>
      </c>
      <c r="N52" s="439">
        <v>1</v>
      </c>
      <c r="O52" s="439">
        <v>0</v>
      </c>
      <c r="P52" s="439">
        <v>2</v>
      </c>
      <c r="Q52" s="439">
        <v>0</v>
      </c>
      <c r="R52" s="439">
        <v>0</v>
      </c>
      <c r="S52" s="439">
        <v>0</v>
      </c>
      <c r="T52" s="439">
        <v>0</v>
      </c>
      <c r="U52" s="439">
        <v>0</v>
      </c>
      <c r="W52" s="2"/>
    </row>
    <row r="53" spans="1:28" ht="15.75" x14ac:dyDescent="0.5">
      <c r="A53" s="320"/>
      <c r="B53" s="410"/>
      <c r="C53" s="414"/>
      <c r="D53" s="99" t="s">
        <v>664</v>
      </c>
      <c r="E53" s="448"/>
      <c r="F53" s="8" t="s">
        <v>746</v>
      </c>
      <c r="G53" s="149"/>
      <c r="H53" s="441"/>
      <c r="I53" s="441"/>
      <c r="J53" s="441"/>
      <c r="K53" s="441"/>
      <c r="L53" s="441"/>
      <c r="M53" s="441"/>
      <c r="N53" s="441"/>
      <c r="O53" s="441"/>
      <c r="P53" s="441"/>
      <c r="Q53" s="441"/>
      <c r="R53" s="441"/>
      <c r="S53" s="441"/>
      <c r="T53" s="441"/>
      <c r="U53" s="441"/>
      <c r="W53" s="2"/>
    </row>
    <row r="54" spans="1:28" ht="15.75" x14ac:dyDescent="0.5">
      <c r="A54" s="320"/>
      <c r="B54" s="410"/>
      <c r="C54" s="414" t="s">
        <v>183</v>
      </c>
      <c r="D54" s="99" t="s">
        <v>184</v>
      </c>
      <c r="E54" s="446" t="s">
        <v>185</v>
      </c>
      <c r="F54" s="14" t="s">
        <v>186</v>
      </c>
      <c r="G54" s="24"/>
      <c r="H54" s="439">
        <v>0</v>
      </c>
      <c r="I54" s="439">
        <v>1</v>
      </c>
      <c r="J54" s="439">
        <v>1</v>
      </c>
      <c r="K54" s="439">
        <v>0</v>
      </c>
      <c r="L54" s="439">
        <v>1</v>
      </c>
      <c r="M54" s="439">
        <v>0</v>
      </c>
      <c r="N54" s="439">
        <v>0</v>
      </c>
      <c r="O54" s="439">
        <v>0</v>
      </c>
      <c r="P54" s="439">
        <v>2</v>
      </c>
      <c r="Q54" s="439">
        <v>0</v>
      </c>
      <c r="R54" s="439">
        <v>0</v>
      </c>
      <c r="S54" s="439">
        <v>2</v>
      </c>
      <c r="T54" s="439">
        <v>0</v>
      </c>
      <c r="U54" s="439">
        <v>0</v>
      </c>
      <c r="W54" s="2"/>
    </row>
    <row r="55" spans="1:28" ht="15.75" x14ac:dyDescent="0.5">
      <c r="A55" s="320"/>
      <c r="B55" s="410"/>
      <c r="C55" s="414"/>
      <c r="D55" s="99" t="s">
        <v>665</v>
      </c>
      <c r="E55" s="447"/>
      <c r="F55" s="6" t="s">
        <v>747</v>
      </c>
      <c r="G55" s="2"/>
      <c r="H55" s="440"/>
      <c r="I55" s="440"/>
      <c r="J55" s="440"/>
      <c r="K55" s="440"/>
      <c r="L55" s="440"/>
      <c r="M55" s="440"/>
      <c r="N55" s="440"/>
      <c r="O55" s="440"/>
      <c r="P55" s="440"/>
      <c r="Q55" s="440"/>
      <c r="R55" s="440"/>
      <c r="S55" s="440"/>
      <c r="T55" s="440"/>
      <c r="U55" s="440"/>
      <c r="W55" s="2"/>
    </row>
    <row r="56" spans="1:28" ht="15.75" x14ac:dyDescent="0.5">
      <c r="A56" s="320"/>
      <c r="B56" s="410"/>
      <c r="C56" s="414"/>
      <c r="D56" s="99" t="s">
        <v>666</v>
      </c>
      <c r="E56" s="447"/>
      <c r="F56" s="6" t="s">
        <v>748</v>
      </c>
      <c r="G56" s="2"/>
      <c r="H56" s="440"/>
      <c r="I56" s="440"/>
      <c r="J56" s="440"/>
      <c r="K56" s="440"/>
      <c r="L56" s="440"/>
      <c r="M56" s="440"/>
      <c r="N56" s="440"/>
      <c r="O56" s="440"/>
      <c r="P56" s="440"/>
      <c r="Q56" s="440"/>
      <c r="R56" s="440"/>
      <c r="S56" s="440"/>
      <c r="T56" s="440"/>
      <c r="U56" s="440"/>
      <c r="W56" s="2"/>
    </row>
    <row r="57" spans="1:28" ht="15.75" x14ac:dyDescent="0.5">
      <c r="A57" s="320"/>
      <c r="B57" s="410"/>
      <c r="C57" s="415"/>
      <c r="D57" s="99" t="s">
        <v>667</v>
      </c>
      <c r="E57" s="448"/>
      <c r="F57" s="8" t="s">
        <v>749</v>
      </c>
      <c r="G57" s="149"/>
      <c r="H57" s="441"/>
      <c r="I57" s="441"/>
      <c r="J57" s="441"/>
      <c r="K57" s="441"/>
      <c r="L57" s="441"/>
      <c r="M57" s="441"/>
      <c r="N57" s="441"/>
      <c r="O57" s="441"/>
      <c r="P57" s="441"/>
      <c r="Q57" s="441"/>
      <c r="R57" s="441"/>
      <c r="S57" s="441"/>
      <c r="T57" s="441"/>
      <c r="U57" s="441"/>
      <c r="W57" s="2"/>
    </row>
    <row r="58" spans="1:28" ht="15.75" x14ac:dyDescent="0.5">
      <c r="A58" s="320"/>
      <c r="B58" s="410" t="s">
        <v>187</v>
      </c>
      <c r="C58" s="417" t="s">
        <v>188</v>
      </c>
      <c r="D58" s="100" t="s">
        <v>189</v>
      </c>
      <c r="E58" s="449" t="s">
        <v>190</v>
      </c>
      <c r="F58" s="25" t="s">
        <v>191</v>
      </c>
      <c r="G58" s="154"/>
      <c r="H58" s="439">
        <v>0</v>
      </c>
      <c r="I58" s="439">
        <v>2</v>
      </c>
      <c r="J58" s="439">
        <v>0</v>
      </c>
      <c r="K58" s="439">
        <v>0</v>
      </c>
      <c r="L58" s="439">
        <v>0</v>
      </c>
      <c r="M58" s="439">
        <v>0</v>
      </c>
      <c r="N58" s="439">
        <v>0</v>
      </c>
      <c r="O58" s="439">
        <v>0</v>
      </c>
      <c r="P58" s="439">
        <v>0</v>
      </c>
      <c r="Q58" s="439">
        <v>0</v>
      </c>
      <c r="R58" s="439">
        <v>0</v>
      </c>
      <c r="S58" s="439">
        <v>0</v>
      </c>
      <c r="T58" s="439">
        <v>2</v>
      </c>
      <c r="U58" s="439">
        <v>1</v>
      </c>
      <c r="V58" s="155"/>
      <c r="W58" s="156"/>
      <c r="X58" s="155"/>
      <c r="Y58" s="155"/>
      <c r="Z58" s="157"/>
    </row>
    <row r="59" spans="1:28" ht="15.75" x14ac:dyDescent="0.5">
      <c r="A59" s="320"/>
      <c r="B59" s="410"/>
      <c r="C59" s="417"/>
      <c r="D59" s="100" t="s">
        <v>668</v>
      </c>
      <c r="E59" s="450"/>
      <c r="F59" s="158" t="s">
        <v>750</v>
      </c>
      <c r="G59" s="107"/>
      <c r="H59" s="440"/>
      <c r="I59" s="440"/>
      <c r="J59" s="440"/>
      <c r="K59" s="440"/>
      <c r="L59" s="440"/>
      <c r="M59" s="440"/>
      <c r="N59" s="440"/>
      <c r="O59" s="440"/>
      <c r="P59" s="440"/>
      <c r="Q59" s="440"/>
      <c r="R59" s="440"/>
      <c r="S59" s="440"/>
      <c r="T59" s="440"/>
      <c r="U59" s="440"/>
      <c r="V59" s="155"/>
      <c r="W59" s="156"/>
      <c r="X59" s="155"/>
      <c r="Y59" s="155"/>
      <c r="Z59" s="157"/>
    </row>
    <row r="60" spans="1:28" ht="15.75" x14ac:dyDescent="0.5">
      <c r="A60" s="320"/>
      <c r="B60" s="410"/>
      <c r="C60" s="417"/>
      <c r="D60" s="100" t="s">
        <v>669</v>
      </c>
      <c r="E60" s="450"/>
      <c r="F60" s="30" t="s">
        <v>751</v>
      </c>
      <c r="G60" s="107"/>
      <c r="H60" s="440"/>
      <c r="I60" s="440"/>
      <c r="J60" s="440"/>
      <c r="K60" s="440"/>
      <c r="L60" s="440"/>
      <c r="M60" s="440"/>
      <c r="N60" s="440"/>
      <c r="O60" s="440"/>
      <c r="P60" s="440"/>
      <c r="Q60" s="440"/>
      <c r="R60" s="440"/>
      <c r="S60" s="440"/>
      <c r="T60" s="440"/>
      <c r="U60" s="440"/>
      <c r="V60" s="155"/>
      <c r="W60" s="156"/>
      <c r="X60" s="155"/>
      <c r="Y60" s="155"/>
      <c r="Z60" s="157"/>
    </row>
    <row r="61" spans="1:28" ht="15.75" x14ac:dyDescent="0.5">
      <c r="A61" s="320"/>
      <c r="B61" s="410"/>
      <c r="C61" s="417"/>
      <c r="D61" s="100" t="s">
        <v>670</v>
      </c>
      <c r="E61" s="450"/>
      <c r="F61" s="30" t="s">
        <v>752</v>
      </c>
      <c r="G61" s="107"/>
      <c r="H61" s="440"/>
      <c r="I61" s="440"/>
      <c r="J61" s="440"/>
      <c r="K61" s="440"/>
      <c r="L61" s="440"/>
      <c r="M61" s="440"/>
      <c r="N61" s="440"/>
      <c r="O61" s="440"/>
      <c r="P61" s="440"/>
      <c r="Q61" s="440"/>
      <c r="R61" s="440"/>
      <c r="S61" s="440"/>
      <c r="T61" s="440"/>
      <c r="U61" s="440"/>
      <c r="V61" s="155"/>
      <c r="W61" s="156"/>
      <c r="X61" s="155"/>
      <c r="Y61" s="155"/>
      <c r="Z61" s="157"/>
    </row>
    <row r="62" spans="1:28" ht="15.75" x14ac:dyDescent="0.5">
      <c r="A62" s="320"/>
      <c r="B62" s="410"/>
      <c r="C62" s="417"/>
      <c r="D62" s="100" t="s">
        <v>671</v>
      </c>
      <c r="E62" s="451"/>
      <c r="F62" s="159" t="s">
        <v>753</v>
      </c>
      <c r="G62" s="160"/>
      <c r="H62" s="441"/>
      <c r="I62" s="441"/>
      <c r="J62" s="441"/>
      <c r="K62" s="441"/>
      <c r="L62" s="441"/>
      <c r="M62" s="441"/>
      <c r="N62" s="441"/>
      <c r="O62" s="441"/>
      <c r="P62" s="441"/>
      <c r="Q62" s="441"/>
      <c r="R62" s="441"/>
      <c r="S62" s="441"/>
      <c r="T62" s="441"/>
      <c r="U62" s="441"/>
      <c r="V62" s="155"/>
      <c r="W62" s="156"/>
      <c r="X62" s="155"/>
      <c r="Y62" s="155"/>
      <c r="Z62" s="157"/>
    </row>
    <row r="63" spans="1:28" ht="15.75" x14ac:dyDescent="0.5">
      <c r="A63" s="320"/>
      <c r="B63" s="410"/>
      <c r="C63" s="418" t="s">
        <v>192</v>
      </c>
      <c r="D63" s="101" t="s">
        <v>193</v>
      </c>
      <c r="E63" s="449" t="s">
        <v>194</v>
      </c>
      <c r="F63" s="25" t="s">
        <v>195</v>
      </c>
      <c r="G63" s="24" t="s">
        <v>196</v>
      </c>
      <c r="H63" s="439">
        <v>0</v>
      </c>
      <c r="I63" s="439">
        <v>2</v>
      </c>
      <c r="J63" s="439">
        <v>0</v>
      </c>
      <c r="K63" s="439">
        <v>0</v>
      </c>
      <c r="L63" s="439">
        <v>0</v>
      </c>
      <c r="M63" s="439">
        <v>1</v>
      </c>
      <c r="N63" s="439">
        <v>0</v>
      </c>
      <c r="O63" s="439">
        <v>0</v>
      </c>
      <c r="P63" s="439">
        <v>1</v>
      </c>
      <c r="Q63" s="439">
        <v>0</v>
      </c>
      <c r="R63" s="439">
        <v>0</v>
      </c>
      <c r="S63" s="439">
        <v>0</v>
      </c>
      <c r="T63" s="439">
        <v>0</v>
      </c>
      <c r="U63" s="439">
        <v>0</v>
      </c>
      <c r="W63" s="2" t="s">
        <v>197</v>
      </c>
      <c r="X63" s="161" t="s">
        <v>198</v>
      </c>
      <c r="Y63" s="161"/>
      <c r="AB63" s="161"/>
    </row>
    <row r="64" spans="1:28" ht="15.75" x14ac:dyDescent="0.5">
      <c r="A64" s="320"/>
      <c r="B64" s="410"/>
      <c r="C64" s="418"/>
      <c r="D64" s="100" t="s">
        <v>672</v>
      </c>
      <c r="E64" s="450"/>
      <c r="F64" s="30" t="s">
        <v>754</v>
      </c>
      <c r="G64" s="2" t="s">
        <v>810</v>
      </c>
      <c r="H64" s="440"/>
      <c r="I64" s="440"/>
      <c r="J64" s="440"/>
      <c r="K64" s="440"/>
      <c r="L64" s="440"/>
      <c r="M64" s="440"/>
      <c r="N64" s="440"/>
      <c r="O64" s="440"/>
      <c r="P64" s="440"/>
      <c r="Q64" s="440"/>
      <c r="R64" s="440"/>
      <c r="S64" s="440"/>
      <c r="T64" s="440"/>
      <c r="U64" s="440"/>
      <c r="W64" s="2"/>
      <c r="X64" s="162" t="s">
        <v>811</v>
      </c>
    </row>
    <row r="65" spans="1:27" ht="15.75" x14ac:dyDescent="0.5">
      <c r="A65" s="320"/>
      <c r="B65" s="410"/>
      <c r="C65" s="418"/>
      <c r="D65" s="101" t="s">
        <v>673</v>
      </c>
      <c r="E65" s="450"/>
      <c r="F65" s="30" t="s">
        <v>755</v>
      </c>
      <c r="G65" s="2"/>
      <c r="H65" s="440"/>
      <c r="I65" s="440"/>
      <c r="J65" s="440"/>
      <c r="K65" s="440"/>
      <c r="L65" s="440"/>
      <c r="M65" s="440"/>
      <c r="N65" s="440"/>
      <c r="O65" s="440"/>
      <c r="P65" s="440"/>
      <c r="Q65" s="440"/>
      <c r="R65" s="440"/>
      <c r="S65" s="440"/>
      <c r="T65" s="440"/>
      <c r="U65" s="440"/>
      <c r="W65" s="2"/>
    </row>
    <row r="66" spans="1:27" ht="15.75" x14ac:dyDescent="0.5">
      <c r="A66" s="320"/>
      <c r="B66" s="410"/>
      <c r="C66" s="418"/>
      <c r="D66" s="101" t="s">
        <v>674</v>
      </c>
      <c r="E66" s="450"/>
      <c r="F66" s="30" t="s">
        <v>756</v>
      </c>
      <c r="G66" s="2"/>
      <c r="H66" s="440"/>
      <c r="I66" s="440"/>
      <c r="J66" s="440"/>
      <c r="K66" s="440"/>
      <c r="L66" s="440"/>
      <c r="M66" s="440"/>
      <c r="N66" s="440"/>
      <c r="O66" s="440"/>
      <c r="P66" s="440"/>
      <c r="Q66" s="440"/>
      <c r="R66" s="440"/>
      <c r="S66" s="440"/>
      <c r="T66" s="440"/>
      <c r="U66" s="440"/>
      <c r="W66" s="2"/>
    </row>
    <row r="67" spans="1:27" ht="15.75" x14ac:dyDescent="0.5">
      <c r="A67" s="320"/>
      <c r="B67" s="410"/>
      <c r="C67" s="418"/>
      <c r="D67" s="100" t="s">
        <v>675</v>
      </c>
      <c r="E67" s="450"/>
      <c r="F67" s="30" t="s">
        <v>757</v>
      </c>
      <c r="G67" s="2"/>
      <c r="H67" s="440"/>
      <c r="I67" s="440"/>
      <c r="J67" s="440"/>
      <c r="K67" s="440"/>
      <c r="L67" s="440"/>
      <c r="M67" s="440"/>
      <c r="N67" s="440"/>
      <c r="O67" s="440"/>
      <c r="P67" s="440"/>
      <c r="Q67" s="440"/>
      <c r="R67" s="440"/>
      <c r="S67" s="440"/>
      <c r="T67" s="440"/>
      <c r="U67" s="440"/>
      <c r="W67" s="2"/>
    </row>
    <row r="68" spans="1:27" ht="15.75" x14ac:dyDescent="0.5">
      <c r="A68" s="320"/>
      <c r="B68" s="410"/>
      <c r="C68" s="418"/>
      <c r="D68" s="101" t="s">
        <v>676</v>
      </c>
      <c r="E68" s="451"/>
      <c r="F68" s="159" t="s">
        <v>758</v>
      </c>
      <c r="G68" s="149" t="s">
        <v>812</v>
      </c>
      <c r="H68" s="441"/>
      <c r="I68" s="441"/>
      <c r="J68" s="441"/>
      <c r="K68" s="441"/>
      <c r="L68" s="441"/>
      <c r="M68" s="441"/>
      <c r="N68" s="441"/>
      <c r="O68" s="441"/>
      <c r="P68" s="441"/>
      <c r="Q68" s="441"/>
      <c r="R68" s="441"/>
      <c r="S68" s="441"/>
      <c r="T68" s="441"/>
      <c r="U68" s="441"/>
      <c r="W68" s="2"/>
      <c r="X68" s="163" t="s">
        <v>813</v>
      </c>
      <c r="Y68" s="163"/>
    </row>
    <row r="69" spans="1:27" ht="15.75" x14ac:dyDescent="0.5">
      <c r="A69" s="320"/>
      <c r="B69" s="410"/>
      <c r="C69" s="417" t="s">
        <v>199</v>
      </c>
      <c r="D69" s="101" t="s">
        <v>200</v>
      </c>
      <c r="E69" s="449" t="s">
        <v>201</v>
      </c>
      <c r="F69" s="25" t="s">
        <v>202</v>
      </c>
      <c r="G69" s="24"/>
      <c r="H69" s="439">
        <v>0</v>
      </c>
      <c r="I69" s="439">
        <v>2</v>
      </c>
      <c r="J69" s="439">
        <v>0</v>
      </c>
      <c r="K69" s="439">
        <v>0</v>
      </c>
      <c r="L69" s="439">
        <v>0</v>
      </c>
      <c r="M69" s="439">
        <v>2</v>
      </c>
      <c r="N69" s="439">
        <v>1</v>
      </c>
      <c r="O69" s="439">
        <v>0</v>
      </c>
      <c r="P69" s="439">
        <v>1</v>
      </c>
      <c r="Q69" s="439">
        <v>0</v>
      </c>
      <c r="R69" s="439">
        <v>0</v>
      </c>
      <c r="S69" s="439">
        <v>0</v>
      </c>
      <c r="T69" s="439">
        <v>0</v>
      </c>
      <c r="U69" s="439">
        <v>0</v>
      </c>
      <c r="W69" s="2"/>
      <c r="X69" s="161"/>
      <c r="Y69" s="161"/>
    </row>
    <row r="70" spans="1:27" ht="15.75" x14ac:dyDescent="0.5">
      <c r="A70" s="320"/>
      <c r="B70" s="410"/>
      <c r="C70" s="417"/>
      <c r="D70" s="100" t="s">
        <v>677</v>
      </c>
      <c r="E70" s="450"/>
      <c r="F70" s="30" t="s">
        <v>759</v>
      </c>
      <c r="G70" s="2" t="s">
        <v>814</v>
      </c>
      <c r="H70" s="440"/>
      <c r="I70" s="440"/>
      <c r="J70" s="440"/>
      <c r="K70" s="440"/>
      <c r="L70" s="440"/>
      <c r="M70" s="440"/>
      <c r="N70" s="440"/>
      <c r="O70" s="440"/>
      <c r="P70" s="440"/>
      <c r="Q70" s="440"/>
      <c r="R70" s="440"/>
      <c r="S70" s="440"/>
      <c r="T70" s="440"/>
      <c r="U70" s="440"/>
      <c r="W70" s="2" t="s">
        <v>815</v>
      </c>
      <c r="X70" s="161" t="s">
        <v>816</v>
      </c>
      <c r="Y70" s="161"/>
      <c r="AA70" s="161" t="s">
        <v>817</v>
      </c>
    </row>
    <row r="71" spans="1:27" ht="15.75" x14ac:dyDescent="0.5">
      <c r="A71" s="320"/>
      <c r="B71" s="410"/>
      <c r="C71" s="417"/>
      <c r="D71" s="100" t="s">
        <v>678</v>
      </c>
      <c r="E71" s="450"/>
      <c r="F71" s="30" t="s">
        <v>760</v>
      </c>
      <c r="G71" s="2"/>
      <c r="H71" s="440"/>
      <c r="I71" s="440"/>
      <c r="J71" s="440"/>
      <c r="K71" s="440"/>
      <c r="L71" s="440"/>
      <c r="M71" s="440"/>
      <c r="N71" s="440"/>
      <c r="O71" s="440"/>
      <c r="P71" s="440"/>
      <c r="Q71" s="440"/>
      <c r="R71" s="440"/>
      <c r="S71" s="440"/>
      <c r="T71" s="440"/>
      <c r="U71" s="440"/>
      <c r="W71" s="2"/>
      <c r="X71" s="161"/>
      <c r="Y71" s="161"/>
      <c r="AA71" s="161"/>
    </row>
    <row r="72" spans="1:27" ht="15.75" x14ac:dyDescent="0.5">
      <c r="A72" s="320"/>
      <c r="B72" s="410"/>
      <c r="C72" s="417"/>
      <c r="D72" s="100" t="s">
        <v>679</v>
      </c>
      <c r="E72" s="451"/>
      <c r="F72" s="159" t="s">
        <v>761</v>
      </c>
      <c r="G72" s="149" t="s">
        <v>818</v>
      </c>
      <c r="H72" s="441"/>
      <c r="I72" s="441"/>
      <c r="J72" s="441"/>
      <c r="K72" s="441"/>
      <c r="L72" s="441"/>
      <c r="M72" s="441"/>
      <c r="N72" s="441"/>
      <c r="O72" s="441"/>
      <c r="P72" s="441"/>
      <c r="Q72" s="441"/>
      <c r="R72" s="441"/>
      <c r="S72" s="441"/>
      <c r="T72" s="441"/>
      <c r="U72" s="441"/>
      <c r="W72" s="2" t="s">
        <v>819</v>
      </c>
      <c r="AA72" s="161" t="s">
        <v>820</v>
      </c>
    </row>
    <row r="73" spans="1:27" ht="15.75" x14ac:dyDescent="0.5">
      <c r="A73" s="320"/>
      <c r="B73" s="410"/>
      <c r="C73" s="417" t="s">
        <v>203</v>
      </c>
      <c r="D73" s="100" t="s">
        <v>204</v>
      </c>
      <c r="E73" s="449" t="s">
        <v>205</v>
      </c>
      <c r="F73" s="25" t="s">
        <v>206</v>
      </c>
      <c r="G73" s="24"/>
      <c r="H73" s="439">
        <v>0</v>
      </c>
      <c r="I73" s="439">
        <v>1</v>
      </c>
      <c r="J73" s="439">
        <v>0</v>
      </c>
      <c r="K73" s="439">
        <v>0</v>
      </c>
      <c r="L73" s="439">
        <v>0</v>
      </c>
      <c r="M73" s="439">
        <v>2</v>
      </c>
      <c r="N73" s="439">
        <v>1</v>
      </c>
      <c r="O73" s="439">
        <v>0</v>
      </c>
      <c r="P73" s="439">
        <v>0</v>
      </c>
      <c r="Q73" s="439">
        <v>0</v>
      </c>
      <c r="R73" s="439">
        <v>0</v>
      </c>
      <c r="S73" s="439">
        <v>0</v>
      </c>
      <c r="T73" s="439">
        <v>0</v>
      </c>
      <c r="U73" s="439">
        <v>0</v>
      </c>
      <c r="W73" s="2"/>
      <c r="X73" s="161"/>
      <c r="Y73" s="161"/>
      <c r="AA73" s="161"/>
    </row>
    <row r="74" spans="1:27" ht="15.75" x14ac:dyDescent="0.5">
      <c r="A74" s="320"/>
      <c r="B74" s="410"/>
      <c r="C74" s="417"/>
      <c r="D74" s="100" t="s">
        <v>680</v>
      </c>
      <c r="E74" s="450"/>
      <c r="F74" s="30" t="s">
        <v>762</v>
      </c>
      <c r="G74" s="2"/>
      <c r="H74" s="440"/>
      <c r="I74" s="440"/>
      <c r="J74" s="440"/>
      <c r="K74" s="440"/>
      <c r="L74" s="440"/>
      <c r="M74" s="440"/>
      <c r="N74" s="440"/>
      <c r="O74" s="440"/>
      <c r="P74" s="440"/>
      <c r="Q74" s="440"/>
      <c r="R74" s="440"/>
      <c r="S74" s="440"/>
      <c r="T74" s="440"/>
      <c r="U74" s="440"/>
      <c r="W74" s="2"/>
      <c r="X74" s="161"/>
      <c r="Y74" s="161"/>
      <c r="AA74" s="161"/>
    </row>
    <row r="75" spans="1:27" ht="15.75" x14ac:dyDescent="0.5">
      <c r="A75" s="320"/>
      <c r="B75" s="410"/>
      <c r="C75" s="417"/>
      <c r="D75" s="101" t="s">
        <v>681</v>
      </c>
      <c r="E75" s="450"/>
      <c r="F75" s="30" t="s">
        <v>763</v>
      </c>
      <c r="G75" s="2"/>
      <c r="H75" s="440"/>
      <c r="I75" s="440"/>
      <c r="J75" s="440"/>
      <c r="K75" s="440"/>
      <c r="L75" s="440"/>
      <c r="M75" s="440"/>
      <c r="N75" s="440"/>
      <c r="O75" s="440"/>
      <c r="P75" s="440"/>
      <c r="Q75" s="440"/>
      <c r="R75" s="440"/>
      <c r="S75" s="440"/>
      <c r="T75" s="440"/>
      <c r="U75" s="440"/>
      <c r="W75" s="2"/>
      <c r="X75" s="161"/>
      <c r="Y75" s="161"/>
      <c r="AA75" s="161"/>
    </row>
    <row r="76" spans="1:27" ht="15.75" x14ac:dyDescent="0.5">
      <c r="A76" s="320"/>
      <c r="B76" s="410"/>
      <c r="C76" s="417"/>
      <c r="D76" s="100" t="s">
        <v>682</v>
      </c>
      <c r="E76" s="450"/>
      <c r="F76" s="30" t="s">
        <v>764</v>
      </c>
      <c r="G76" s="2" t="s">
        <v>821</v>
      </c>
      <c r="H76" s="440"/>
      <c r="I76" s="440"/>
      <c r="J76" s="440"/>
      <c r="K76" s="440"/>
      <c r="L76" s="440"/>
      <c r="M76" s="440"/>
      <c r="N76" s="440"/>
      <c r="O76" s="440"/>
      <c r="P76" s="440"/>
      <c r="Q76" s="440"/>
      <c r="R76" s="440"/>
      <c r="S76" s="440"/>
      <c r="T76" s="440"/>
      <c r="U76" s="440"/>
      <c r="W76" s="2" t="s">
        <v>822</v>
      </c>
      <c r="X76" s="161" t="s">
        <v>823</v>
      </c>
      <c r="Y76" s="161"/>
    </row>
    <row r="77" spans="1:27" ht="15.75" x14ac:dyDescent="0.5">
      <c r="A77" s="320"/>
      <c r="B77" s="410"/>
      <c r="C77" s="417"/>
      <c r="D77" s="100" t="s">
        <v>683</v>
      </c>
      <c r="E77" s="450"/>
      <c r="F77" s="30" t="s">
        <v>765</v>
      </c>
      <c r="G77" s="2"/>
      <c r="H77" s="440"/>
      <c r="I77" s="440"/>
      <c r="J77" s="440"/>
      <c r="K77" s="440"/>
      <c r="L77" s="440"/>
      <c r="M77" s="440"/>
      <c r="N77" s="440"/>
      <c r="O77" s="440"/>
      <c r="P77" s="440"/>
      <c r="Q77" s="440"/>
      <c r="R77" s="440"/>
      <c r="S77" s="440"/>
      <c r="T77" s="440"/>
      <c r="U77" s="440"/>
      <c r="W77" s="2"/>
      <c r="X77" s="161"/>
      <c r="Y77" s="161"/>
    </row>
    <row r="78" spans="1:27" ht="15.75" x14ac:dyDescent="0.5">
      <c r="A78" s="320"/>
      <c r="B78" s="410"/>
      <c r="C78" s="417"/>
      <c r="D78" s="100" t="s">
        <v>684</v>
      </c>
      <c r="E78" s="451"/>
      <c r="F78" s="159" t="s">
        <v>766</v>
      </c>
      <c r="G78" s="149" t="s">
        <v>824</v>
      </c>
      <c r="H78" s="441"/>
      <c r="I78" s="441"/>
      <c r="J78" s="441"/>
      <c r="K78" s="441"/>
      <c r="L78" s="441"/>
      <c r="M78" s="441"/>
      <c r="N78" s="441"/>
      <c r="O78" s="441"/>
      <c r="P78" s="441"/>
      <c r="Q78" s="441"/>
      <c r="R78" s="441"/>
      <c r="S78" s="441"/>
      <c r="T78" s="441"/>
      <c r="U78" s="441"/>
      <c r="W78" s="2" t="s">
        <v>825</v>
      </c>
      <c r="X78" s="161" t="s">
        <v>826</v>
      </c>
      <c r="Y78" s="161"/>
    </row>
    <row r="79" spans="1:27" ht="15.75" x14ac:dyDescent="0.5">
      <c r="A79" s="320"/>
      <c r="B79" s="410"/>
      <c r="C79" s="417" t="s">
        <v>207</v>
      </c>
      <c r="D79" s="100" t="s">
        <v>208</v>
      </c>
      <c r="E79" s="449" t="s">
        <v>209</v>
      </c>
      <c r="F79" s="25" t="s">
        <v>210</v>
      </c>
      <c r="G79" s="24"/>
      <c r="H79" s="439">
        <v>0</v>
      </c>
      <c r="I79" s="439">
        <v>1</v>
      </c>
      <c r="J79" s="439">
        <v>0</v>
      </c>
      <c r="K79" s="439">
        <v>0</v>
      </c>
      <c r="L79" s="439">
        <v>0</v>
      </c>
      <c r="M79" s="439">
        <v>2</v>
      </c>
      <c r="N79" s="439">
        <v>2</v>
      </c>
      <c r="O79" s="439">
        <v>0</v>
      </c>
      <c r="P79" s="439">
        <v>0</v>
      </c>
      <c r="Q79" s="439">
        <v>0</v>
      </c>
      <c r="R79" s="439">
        <v>0</v>
      </c>
      <c r="S79" s="439">
        <v>0</v>
      </c>
      <c r="T79" s="439">
        <v>0</v>
      </c>
      <c r="U79" s="439">
        <v>0</v>
      </c>
    </row>
    <row r="80" spans="1:27" ht="39.4" x14ac:dyDescent="0.5">
      <c r="A80" s="320"/>
      <c r="B80" s="410"/>
      <c r="C80" s="417"/>
      <c r="D80" s="101" t="s">
        <v>685</v>
      </c>
      <c r="E80" s="450"/>
      <c r="F80" s="30" t="s">
        <v>767</v>
      </c>
      <c r="G80" s="2"/>
      <c r="H80" s="440"/>
      <c r="I80" s="440"/>
      <c r="J80" s="440"/>
      <c r="K80" s="440"/>
      <c r="L80" s="440"/>
      <c r="M80" s="440"/>
      <c r="N80" s="440"/>
      <c r="O80" s="440"/>
      <c r="P80" s="440"/>
      <c r="Q80" s="440"/>
      <c r="R80" s="440"/>
      <c r="S80" s="440"/>
      <c r="T80" s="440"/>
      <c r="U80" s="440"/>
    </row>
    <row r="81" spans="1:25" ht="15.75" x14ac:dyDescent="0.5">
      <c r="A81" s="320"/>
      <c r="B81" s="410"/>
      <c r="C81" s="417"/>
      <c r="D81" s="101" t="s">
        <v>686</v>
      </c>
      <c r="E81" s="450"/>
      <c r="F81" s="30" t="s">
        <v>768</v>
      </c>
      <c r="G81" s="2"/>
      <c r="H81" s="440"/>
      <c r="I81" s="440"/>
      <c r="J81" s="440"/>
      <c r="K81" s="440"/>
      <c r="L81" s="440"/>
      <c r="M81" s="440"/>
      <c r="N81" s="440"/>
      <c r="O81" s="440"/>
      <c r="P81" s="440"/>
      <c r="Q81" s="440"/>
      <c r="R81" s="440"/>
      <c r="S81" s="440"/>
      <c r="T81" s="440"/>
      <c r="U81" s="440"/>
    </row>
    <row r="82" spans="1:25" ht="15.75" x14ac:dyDescent="0.5">
      <c r="A82" s="320"/>
      <c r="B82" s="410"/>
      <c r="C82" s="417"/>
      <c r="D82" s="101" t="s">
        <v>687</v>
      </c>
      <c r="E82" s="451"/>
      <c r="F82" s="159" t="s">
        <v>769</v>
      </c>
      <c r="G82" s="149"/>
      <c r="H82" s="441"/>
      <c r="I82" s="441"/>
      <c r="J82" s="441"/>
      <c r="K82" s="441"/>
      <c r="L82" s="441"/>
      <c r="M82" s="441"/>
      <c r="N82" s="441"/>
      <c r="O82" s="441"/>
      <c r="P82" s="441"/>
      <c r="Q82" s="441"/>
      <c r="R82" s="441"/>
      <c r="S82" s="441"/>
      <c r="T82" s="441"/>
      <c r="U82" s="441"/>
    </row>
    <row r="83" spans="1:25" ht="15.75" x14ac:dyDescent="0.5">
      <c r="A83" s="320"/>
      <c r="B83" s="410"/>
      <c r="C83" s="417" t="s">
        <v>211</v>
      </c>
      <c r="D83" s="100" t="s">
        <v>212</v>
      </c>
      <c r="E83" s="449" t="s">
        <v>213</v>
      </c>
      <c r="F83" s="25" t="s">
        <v>214</v>
      </c>
      <c r="G83" s="24"/>
      <c r="H83" s="439">
        <v>0</v>
      </c>
      <c r="I83" s="439">
        <v>0</v>
      </c>
      <c r="J83" s="439">
        <v>0</v>
      </c>
      <c r="K83" s="439">
        <v>0</v>
      </c>
      <c r="L83" s="439">
        <v>0</v>
      </c>
      <c r="M83" s="439">
        <v>1</v>
      </c>
      <c r="N83" s="439">
        <v>0</v>
      </c>
      <c r="O83" s="439">
        <v>0</v>
      </c>
      <c r="P83" s="439">
        <v>2</v>
      </c>
      <c r="Q83" s="439">
        <v>0</v>
      </c>
      <c r="R83" s="439">
        <v>0</v>
      </c>
      <c r="S83" s="439">
        <v>0</v>
      </c>
      <c r="T83" s="439">
        <v>0</v>
      </c>
      <c r="U83" s="439">
        <v>0</v>
      </c>
    </row>
    <row r="84" spans="1:25" ht="15.75" x14ac:dyDescent="0.5">
      <c r="A84" s="320"/>
      <c r="B84" s="410"/>
      <c r="C84" s="417"/>
      <c r="D84" s="100" t="s">
        <v>688</v>
      </c>
      <c r="E84" s="450"/>
      <c r="F84" s="30" t="s">
        <v>770</v>
      </c>
      <c r="G84" s="2"/>
      <c r="H84" s="440"/>
      <c r="I84" s="440"/>
      <c r="J84" s="440"/>
      <c r="K84" s="440"/>
      <c r="L84" s="440"/>
      <c r="M84" s="440"/>
      <c r="N84" s="440"/>
      <c r="O84" s="440"/>
      <c r="P84" s="440"/>
      <c r="Q84" s="440"/>
      <c r="R84" s="440"/>
      <c r="S84" s="440"/>
      <c r="T84" s="440"/>
      <c r="U84" s="440"/>
    </row>
    <row r="85" spans="1:25" ht="15.75" x14ac:dyDescent="0.5">
      <c r="A85" s="320"/>
      <c r="B85" s="410"/>
      <c r="C85" s="417"/>
      <c r="D85" s="100" t="s">
        <v>689</v>
      </c>
      <c r="E85" s="451"/>
      <c r="F85" s="159" t="s">
        <v>771</v>
      </c>
      <c r="G85" s="149"/>
      <c r="H85" s="441"/>
      <c r="I85" s="441"/>
      <c r="J85" s="441"/>
      <c r="K85" s="441"/>
      <c r="L85" s="441"/>
      <c r="M85" s="441"/>
      <c r="N85" s="441"/>
      <c r="O85" s="441"/>
      <c r="P85" s="441"/>
      <c r="Q85" s="441"/>
      <c r="R85" s="441"/>
      <c r="S85" s="441"/>
      <c r="T85" s="441"/>
      <c r="U85" s="441"/>
    </row>
    <row r="86" spans="1:25" ht="15.75" x14ac:dyDescent="0.5">
      <c r="A86" s="320"/>
      <c r="B86" s="410"/>
      <c r="C86" s="418" t="s">
        <v>215</v>
      </c>
      <c r="D86" s="102" t="s">
        <v>216</v>
      </c>
      <c r="E86" s="449" t="s">
        <v>217</v>
      </c>
      <c r="F86" s="164" t="s">
        <v>218</v>
      </c>
      <c r="G86" s="165" t="s">
        <v>219</v>
      </c>
      <c r="H86" s="439">
        <v>0</v>
      </c>
      <c r="I86" s="439">
        <v>0</v>
      </c>
      <c r="J86" s="439">
        <v>0</v>
      </c>
      <c r="K86" s="439">
        <v>0</v>
      </c>
      <c r="L86" s="439">
        <v>0</v>
      </c>
      <c r="M86" s="439">
        <v>0</v>
      </c>
      <c r="N86" s="439">
        <v>2</v>
      </c>
      <c r="O86" s="439">
        <v>2</v>
      </c>
      <c r="P86" s="439">
        <v>0</v>
      </c>
      <c r="Q86" s="439">
        <v>2</v>
      </c>
      <c r="R86" s="439">
        <v>0</v>
      </c>
      <c r="S86" s="439">
        <v>0</v>
      </c>
      <c r="T86" s="439">
        <v>0</v>
      </c>
      <c r="U86" s="439">
        <v>0</v>
      </c>
      <c r="W86" s="2" t="s">
        <v>220</v>
      </c>
    </row>
    <row r="87" spans="1:25" ht="15.75" x14ac:dyDescent="0.5">
      <c r="A87" s="320"/>
      <c r="B87" s="410"/>
      <c r="C87" s="418"/>
      <c r="D87" s="100" t="s">
        <v>690</v>
      </c>
      <c r="E87" s="450"/>
      <c r="F87" s="30" t="s">
        <v>772</v>
      </c>
      <c r="G87" s="2" t="s">
        <v>827</v>
      </c>
      <c r="H87" s="440"/>
      <c r="I87" s="440"/>
      <c r="J87" s="440"/>
      <c r="K87" s="440"/>
      <c r="L87" s="440"/>
      <c r="M87" s="440"/>
      <c r="N87" s="440"/>
      <c r="O87" s="440"/>
      <c r="P87" s="440"/>
      <c r="Q87" s="440"/>
      <c r="R87" s="440"/>
      <c r="S87" s="440"/>
      <c r="T87" s="440"/>
      <c r="U87" s="440"/>
      <c r="W87" s="2"/>
      <c r="X87" s="161" t="s">
        <v>828</v>
      </c>
      <c r="Y87" s="161"/>
    </row>
    <row r="88" spans="1:25" ht="15.75" x14ac:dyDescent="0.5">
      <c r="A88" s="320"/>
      <c r="B88" s="410"/>
      <c r="C88" s="418"/>
      <c r="D88" s="100" t="s">
        <v>691</v>
      </c>
      <c r="E88" s="451"/>
      <c r="F88" s="159" t="s">
        <v>773</v>
      </c>
      <c r="G88" s="149"/>
      <c r="H88" s="441"/>
      <c r="I88" s="441"/>
      <c r="J88" s="441"/>
      <c r="K88" s="441"/>
      <c r="L88" s="441"/>
      <c r="M88" s="441"/>
      <c r="N88" s="441"/>
      <c r="O88" s="441"/>
      <c r="P88" s="441"/>
      <c r="Q88" s="441"/>
      <c r="R88" s="441"/>
      <c r="S88" s="441"/>
      <c r="T88" s="441"/>
      <c r="U88" s="441"/>
      <c r="W88" s="2"/>
      <c r="X88" s="161"/>
      <c r="Y88" s="161"/>
    </row>
    <row r="89" spans="1:25" ht="15.75" x14ac:dyDescent="0.5">
      <c r="A89" s="320"/>
      <c r="B89" s="410"/>
      <c r="C89" s="417" t="s">
        <v>221</v>
      </c>
      <c r="D89" s="102" t="s">
        <v>222</v>
      </c>
      <c r="E89" s="449" t="s">
        <v>223</v>
      </c>
      <c r="F89" s="166" t="s">
        <v>224</v>
      </c>
      <c r="G89" s="165" t="s">
        <v>225</v>
      </c>
      <c r="H89" s="439">
        <v>0</v>
      </c>
      <c r="I89" s="439">
        <v>1</v>
      </c>
      <c r="J89" s="439">
        <v>0</v>
      </c>
      <c r="K89" s="439">
        <v>0</v>
      </c>
      <c r="L89" s="439">
        <v>0</v>
      </c>
      <c r="M89" s="439">
        <v>0</v>
      </c>
      <c r="N89" s="439">
        <v>0</v>
      </c>
      <c r="O89" s="439">
        <v>1</v>
      </c>
      <c r="P89" s="439">
        <v>1</v>
      </c>
      <c r="Q89" s="439">
        <v>2</v>
      </c>
      <c r="R89" s="439">
        <v>0</v>
      </c>
      <c r="S89" s="439">
        <v>0</v>
      </c>
      <c r="T89" s="439">
        <v>0</v>
      </c>
      <c r="U89" s="439">
        <v>0</v>
      </c>
      <c r="W89" s="2" t="s">
        <v>226</v>
      </c>
    </row>
    <row r="90" spans="1:25" ht="31.5" x14ac:dyDescent="0.5">
      <c r="A90" s="320"/>
      <c r="B90" s="410"/>
      <c r="C90" s="417"/>
      <c r="D90" s="101" t="s">
        <v>692</v>
      </c>
      <c r="E90" s="450"/>
      <c r="F90" s="30" t="s">
        <v>774</v>
      </c>
      <c r="G90" s="2" t="s">
        <v>829</v>
      </c>
      <c r="H90" s="440"/>
      <c r="I90" s="440"/>
      <c r="J90" s="440"/>
      <c r="K90" s="440"/>
      <c r="L90" s="440"/>
      <c r="M90" s="440"/>
      <c r="N90" s="440"/>
      <c r="O90" s="440"/>
      <c r="P90" s="440"/>
      <c r="Q90" s="440"/>
      <c r="R90" s="440"/>
      <c r="S90" s="440"/>
      <c r="T90" s="440"/>
      <c r="U90" s="440"/>
      <c r="W90" s="2" t="s">
        <v>830</v>
      </c>
    </row>
    <row r="91" spans="1:25" ht="15.75" x14ac:dyDescent="0.5">
      <c r="A91" s="320"/>
      <c r="B91" s="410"/>
      <c r="C91" s="417"/>
      <c r="D91" s="101" t="s">
        <v>693</v>
      </c>
      <c r="E91" s="451"/>
      <c r="F91" s="159" t="s">
        <v>775</v>
      </c>
      <c r="G91" s="149"/>
      <c r="H91" s="441"/>
      <c r="I91" s="441"/>
      <c r="J91" s="441"/>
      <c r="K91" s="441"/>
      <c r="L91" s="441"/>
      <c r="M91" s="441"/>
      <c r="N91" s="441"/>
      <c r="O91" s="441"/>
      <c r="P91" s="441"/>
      <c r="Q91" s="441"/>
      <c r="R91" s="441"/>
      <c r="S91" s="441"/>
      <c r="T91" s="441"/>
      <c r="U91" s="441"/>
      <c r="W91" s="2"/>
    </row>
    <row r="92" spans="1:25" ht="15.75" x14ac:dyDescent="0.5">
      <c r="A92" s="320"/>
      <c r="B92" s="410"/>
      <c r="C92" s="417" t="s">
        <v>227</v>
      </c>
      <c r="D92" s="102" t="s">
        <v>228</v>
      </c>
      <c r="E92" s="449" t="s">
        <v>229</v>
      </c>
      <c r="F92" s="166" t="s">
        <v>230</v>
      </c>
      <c r="G92" s="165" t="s">
        <v>231</v>
      </c>
      <c r="H92" s="439">
        <v>0</v>
      </c>
      <c r="I92" s="439">
        <v>1</v>
      </c>
      <c r="J92" s="439">
        <v>0</v>
      </c>
      <c r="K92" s="439">
        <v>0</v>
      </c>
      <c r="L92" s="439">
        <v>0</v>
      </c>
      <c r="M92" s="439">
        <v>1</v>
      </c>
      <c r="N92" s="439">
        <v>1</v>
      </c>
      <c r="O92" s="439">
        <v>0</v>
      </c>
      <c r="P92" s="439">
        <v>2</v>
      </c>
      <c r="Q92" s="439">
        <v>0</v>
      </c>
      <c r="R92" s="439">
        <v>0</v>
      </c>
      <c r="S92" s="439">
        <v>0</v>
      </c>
      <c r="T92" s="439">
        <v>0</v>
      </c>
      <c r="U92" s="439">
        <v>0</v>
      </c>
      <c r="W92" s="2" t="s">
        <v>232</v>
      </c>
    </row>
    <row r="93" spans="1:25" ht="26.65" x14ac:dyDescent="0.5">
      <c r="A93" s="320"/>
      <c r="B93" s="410"/>
      <c r="C93" s="417"/>
      <c r="D93" s="100" t="s">
        <v>694</v>
      </c>
      <c r="E93" s="450"/>
      <c r="F93" s="30" t="s">
        <v>776</v>
      </c>
      <c r="G93" s="2" t="s">
        <v>831</v>
      </c>
      <c r="H93" s="440"/>
      <c r="I93" s="440"/>
      <c r="J93" s="440"/>
      <c r="K93" s="440"/>
      <c r="L93" s="440"/>
      <c r="M93" s="440"/>
      <c r="N93" s="440"/>
      <c r="O93" s="440"/>
      <c r="P93" s="440"/>
      <c r="Q93" s="440"/>
      <c r="R93" s="440"/>
      <c r="S93" s="440"/>
      <c r="T93" s="440"/>
      <c r="U93" s="440"/>
      <c r="W93" s="2" t="s">
        <v>832</v>
      </c>
    </row>
    <row r="94" spans="1:25" ht="15.75" x14ac:dyDescent="0.5">
      <c r="A94" s="320"/>
      <c r="B94" s="410"/>
      <c r="C94" s="417"/>
      <c r="D94" s="100" t="s">
        <v>695</v>
      </c>
      <c r="E94" s="451"/>
      <c r="F94" s="159" t="s">
        <v>777</v>
      </c>
      <c r="G94" s="149"/>
      <c r="H94" s="441"/>
      <c r="I94" s="441"/>
      <c r="J94" s="441"/>
      <c r="K94" s="441"/>
      <c r="L94" s="441"/>
      <c r="M94" s="441"/>
      <c r="N94" s="441"/>
      <c r="O94" s="441"/>
      <c r="P94" s="441"/>
      <c r="Q94" s="441"/>
      <c r="R94" s="441"/>
      <c r="S94" s="441"/>
      <c r="T94" s="441"/>
      <c r="U94" s="441"/>
      <c r="W94" s="2"/>
    </row>
    <row r="95" spans="1:25" ht="15.75" x14ac:dyDescent="0.5">
      <c r="A95" s="320"/>
      <c r="B95" s="410"/>
      <c r="C95" s="417" t="s">
        <v>233</v>
      </c>
      <c r="D95" s="102" t="s">
        <v>234</v>
      </c>
      <c r="E95" s="449" t="s">
        <v>235</v>
      </c>
      <c r="F95" s="166" t="s">
        <v>236</v>
      </c>
      <c r="G95" s="165" t="s">
        <v>237</v>
      </c>
      <c r="H95" s="439">
        <v>2</v>
      </c>
      <c r="I95" s="439">
        <v>2</v>
      </c>
      <c r="J95" s="439">
        <v>0</v>
      </c>
      <c r="K95" s="439">
        <v>0</v>
      </c>
      <c r="L95" s="439">
        <v>0</v>
      </c>
      <c r="M95" s="439">
        <v>0</v>
      </c>
      <c r="N95" s="439">
        <v>0</v>
      </c>
      <c r="O95" s="439">
        <v>2</v>
      </c>
      <c r="P95" s="439">
        <v>0</v>
      </c>
      <c r="Q95" s="439">
        <v>0</v>
      </c>
      <c r="R95" s="439">
        <v>2</v>
      </c>
      <c r="S95" s="439">
        <v>0</v>
      </c>
      <c r="T95" s="439">
        <v>0</v>
      </c>
      <c r="U95" s="439">
        <v>0</v>
      </c>
      <c r="W95" s="2" t="s">
        <v>238</v>
      </c>
      <c r="X95" s="161" t="s">
        <v>239</v>
      </c>
      <c r="Y95" s="161"/>
    </row>
    <row r="96" spans="1:25" ht="15.75" x14ac:dyDescent="0.5">
      <c r="A96" s="320"/>
      <c r="B96" s="410"/>
      <c r="C96" s="417"/>
      <c r="D96" s="100" t="s">
        <v>696</v>
      </c>
      <c r="E96" s="450"/>
      <c r="F96" s="30" t="s">
        <v>778</v>
      </c>
      <c r="G96" s="2" t="s">
        <v>833</v>
      </c>
      <c r="H96" s="440"/>
      <c r="I96" s="440"/>
      <c r="J96" s="440"/>
      <c r="K96" s="440"/>
      <c r="L96" s="440"/>
      <c r="M96" s="440"/>
      <c r="N96" s="440"/>
      <c r="O96" s="440"/>
      <c r="P96" s="440"/>
      <c r="Q96" s="440"/>
      <c r="R96" s="440"/>
      <c r="S96" s="440"/>
      <c r="T96" s="440"/>
      <c r="U96" s="440"/>
      <c r="W96" s="2" t="s">
        <v>834</v>
      </c>
    </row>
    <row r="97" spans="1:25" ht="15.75" x14ac:dyDescent="0.5">
      <c r="A97" s="320"/>
      <c r="B97" s="410"/>
      <c r="C97" s="417"/>
      <c r="D97" s="100" t="s">
        <v>697</v>
      </c>
      <c r="E97" s="451"/>
      <c r="F97" s="159" t="s">
        <v>779</v>
      </c>
      <c r="G97" s="149"/>
      <c r="H97" s="441"/>
      <c r="I97" s="441"/>
      <c r="J97" s="441"/>
      <c r="K97" s="441"/>
      <c r="L97" s="441"/>
      <c r="M97" s="441"/>
      <c r="N97" s="441"/>
      <c r="O97" s="441"/>
      <c r="P97" s="441"/>
      <c r="Q97" s="441"/>
      <c r="R97" s="441"/>
      <c r="S97" s="441"/>
      <c r="T97" s="441"/>
      <c r="U97" s="441"/>
      <c r="W97" s="2"/>
    </row>
    <row r="98" spans="1:25" ht="15.75" x14ac:dyDescent="0.5">
      <c r="A98" s="320"/>
      <c r="B98" s="410"/>
      <c r="C98" s="417" t="s">
        <v>240</v>
      </c>
      <c r="D98" s="102" t="s">
        <v>241</v>
      </c>
      <c r="E98" s="449" t="s">
        <v>242</v>
      </c>
      <c r="F98" s="166" t="s">
        <v>243</v>
      </c>
      <c r="G98" s="165" t="s">
        <v>244</v>
      </c>
      <c r="H98" s="439">
        <v>1</v>
      </c>
      <c r="I98" s="439">
        <v>1</v>
      </c>
      <c r="J98" s="439">
        <v>0</v>
      </c>
      <c r="K98" s="439">
        <v>0</v>
      </c>
      <c r="L98" s="439">
        <v>0</v>
      </c>
      <c r="M98" s="439">
        <v>0</v>
      </c>
      <c r="N98" s="439">
        <v>0</v>
      </c>
      <c r="O98" s="439">
        <v>0</v>
      </c>
      <c r="P98" s="439">
        <v>2</v>
      </c>
      <c r="Q98" s="439">
        <v>0</v>
      </c>
      <c r="R98" s="439">
        <v>0</v>
      </c>
      <c r="S98" s="439">
        <v>0</v>
      </c>
      <c r="T98" s="439">
        <v>0</v>
      </c>
      <c r="U98" s="439">
        <v>0</v>
      </c>
      <c r="W98" s="2" t="s">
        <v>245</v>
      </c>
    </row>
    <row r="99" spans="1:25" ht="15.75" x14ac:dyDescent="0.5">
      <c r="A99" s="320"/>
      <c r="B99" s="410"/>
      <c r="C99" s="417"/>
      <c r="D99" s="100" t="s">
        <v>698</v>
      </c>
      <c r="E99" s="450"/>
      <c r="F99" s="30" t="s">
        <v>780</v>
      </c>
      <c r="G99" s="2" t="s">
        <v>835</v>
      </c>
      <c r="H99" s="440"/>
      <c r="I99" s="440"/>
      <c r="J99" s="440"/>
      <c r="K99" s="440"/>
      <c r="L99" s="440"/>
      <c r="M99" s="440"/>
      <c r="N99" s="440"/>
      <c r="O99" s="440"/>
      <c r="P99" s="440"/>
      <c r="Q99" s="440"/>
      <c r="R99" s="440"/>
      <c r="S99" s="440"/>
      <c r="T99" s="440"/>
      <c r="U99" s="440"/>
      <c r="W99" s="2" t="s">
        <v>836</v>
      </c>
    </row>
    <row r="100" spans="1:25" ht="15.75" x14ac:dyDescent="0.5">
      <c r="A100" s="320"/>
      <c r="B100" s="410"/>
      <c r="C100" s="417"/>
      <c r="D100" s="100" t="s">
        <v>699</v>
      </c>
      <c r="E100" s="451"/>
      <c r="F100" s="159" t="s">
        <v>781</v>
      </c>
      <c r="G100" s="149"/>
      <c r="H100" s="441"/>
      <c r="I100" s="441"/>
      <c r="J100" s="441"/>
      <c r="K100" s="441"/>
      <c r="L100" s="441"/>
      <c r="M100" s="441"/>
      <c r="N100" s="441"/>
      <c r="O100" s="441"/>
      <c r="P100" s="441"/>
      <c r="Q100" s="441"/>
      <c r="R100" s="441"/>
      <c r="S100" s="441"/>
      <c r="T100" s="441"/>
      <c r="U100" s="441"/>
      <c r="W100" s="2"/>
    </row>
    <row r="101" spans="1:25" ht="15.75" x14ac:dyDescent="0.5">
      <c r="A101" s="320"/>
      <c r="B101" s="410"/>
      <c r="C101" s="417" t="s">
        <v>246</v>
      </c>
      <c r="D101" s="100" t="s">
        <v>247</v>
      </c>
      <c r="E101" s="449" t="s">
        <v>248</v>
      </c>
      <c r="F101" s="25" t="s">
        <v>249</v>
      </c>
      <c r="G101" s="24" t="s">
        <v>250</v>
      </c>
      <c r="H101" s="439">
        <v>2</v>
      </c>
      <c r="I101" s="439">
        <v>0</v>
      </c>
      <c r="J101" s="439">
        <v>0</v>
      </c>
      <c r="K101" s="439">
        <v>0</v>
      </c>
      <c r="L101" s="439">
        <v>0</v>
      </c>
      <c r="M101" s="452">
        <v>1</v>
      </c>
      <c r="N101" s="439">
        <v>0</v>
      </c>
      <c r="O101" s="439">
        <v>0</v>
      </c>
      <c r="P101" s="439">
        <v>0</v>
      </c>
      <c r="Q101" s="439">
        <v>0</v>
      </c>
      <c r="R101" s="439">
        <v>1</v>
      </c>
      <c r="S101" s="439">
        <v>0</v>
      </c>
      <c r="T101" s="439">
        <v>0</v>
      </c>
      <c r="U101" s="439">
        <v>0</v>
      </c>
      <c r="W101" s="2" t="s">
        <v>251</v>
      </c>
      <c r="X101" s="161" t="s">
        <v>252</v>
      </c>
      <c r="Y101" s="161"/>
    </row>
    <row r="102" spans="1:25" ht="15.75" x14ac:dyDescent="0.5">
      <c r="A102" s="320"/>
      <c r="B102" s="410"/>
      <c r="C102" s="417"/>
      <c r="D102" s="100" t="s">
        <v>700</v>
      </c>
      <c r="E102" s="450"/>
      <c r="F102" s="30" t="s">
        <v>782</v>
      </c>
      <c r="G102" s="2"/>
      <c r="H102" s="440"/>
      <c r="I102" s="440"/>
      <c r="J102" s="440"/>
      <c r="K102" s="440"/>
      <c r="L102" s="440"/>
      <c r="M102" s="453"/>
      <c r="N102" s="440"/>
      <c r="O102" s="440"/>
      <c r="P102" s="440"/>
      <c r="Q102" s="440"/>
      <c r="R102" s="440"/>
      <c r="S102" s="440"/>
      <c r="T102" s="440"/>
      <c r="U102" s="440"/>
      <c r="W102" s="2"/>
    </row>
    <row r="103" spans="1:25" ht="15.75" x14ac:dyDescent="0.5">
      <c r="A103" s="320"/>
      <c r="B103" s="410"/>
      <c r="C103" s="417"/>
      <c r="D103" s="100" t="s">
        <v>701</v>
      </c>
      <c r="E103" s="450"/>
      <c r="F103" s="30" t="s">
        <v>783</v>
      </c>
      <c r="G103" s="2"/>
      <c r="H103" s="440"/>
      <c r="I103" s="440"/>
      <c r="J103" s="440"/>
      <c r="K103" s="440"/>
      <c r="L103" s="440"/>
      <c r="M103" s="453"/>
      <c r="N103" s="440"/>
      <c r="O103" s="440"/>
      <c r="P103" s="440"/>
      <c r="Q103" s="440"/>
      <c r="R103" s="440"/>
      <c r="S103" s="440"/>
      <c r="T103" s="440"/>
      <c r="U103" s="440"/>
      <c r="W103" s="2"/>
    </row>
    <row r="104" spans="1:25" ht="15.75" x14ac:dyDescent="0.5">
      <c r="A104" s="320"/>
      <c r="B104" s="410"/>
      <c r="C104" s="417"/>
      <c r="D104" s="100" t="s">
        <v>702</v>
      </c>
      <c r="E104" s="451"/>
      <c r="F104" s="159" t="s">
        <v>784</v>
      </c>
      <c r="G104" s="149"/>
      <c r="H104" s="441"/>
      <c r="I104" s="441"/>
      <c r="J104" s="441"/>
      <c r="K104" s="441"/>
      <c r="L104" s="441"/>
      <c r="M104" s="454"/>
      <c r="N104" s="441"/>
      <c r="O104" s="441"/>
      <c r="P104" s="441"/>
      <c r="Q104" s="441"/>
      <c r="R104" s="441"/>
      <c r="S104" s="441"/>
      <c r="T104" s="441"/>
      <c r="U104" s="441"/>
      <c r="W104" s="2"/>
      <c r="X104" s="162" t="s">
        <v>837</v>
      </c>
    </row>
    <row r="105" spans="1:25" ht="15.75" x14ac:dyDescent="0.5">
      <c r="A105" s="320"/>
      <c r="B105" s="410"/>
      <c r="C105" s="417" t="s">
        <v>253</v>
      </c>
      <c r="D105" s="102" t="s">
        <v>254</v>
      </c>
      <c r="E105" s="449" t="s">
        <v>255</v>
      </c>
      <c r="F105" s="166" t="s">
        <v>256</v>
      </c>
      <c r="G105" s="165" t="s">
        <v>257</v>
      </c>
      <c r="H105" s="439">
        <v>2</v>
      </c>
      <c r="I105" s="439">
        <v>0</v>
      </c>
      <c r="J105" s="439">
        <v>0</v>
      </c>
      <c r="K105" s="439">
        <v>0</v>
      </c>
      <c r="L105" s="439">
        <v>0</v>
      </c>
      <c r="M105" s="452">
        <v>1</v>
      </c>
      <c r="N105" s="439">
        <v>0</v>
      </c>
      <c r="O105" s="439">
        <v>0</v>
      </c>
      <c r="P105" s="439">
        <v>0</v>
      </c>
      <c r="Q105" s="439">
        <v>0</v>
      </c>
      <c r="R105" s="439">
        <v>2</v>
      </c>
      <c r="S105" s="439">
        <v>0</v>
      </c>
      <c r="T105" s="439">
        <v>0</v>
      </c>
      <c r="U105" s="439">
        <v>0</v>
      </c>
      <c r="W105" s="2"/>
      <c r="X105" s="162" t="s">
        <v>258</v>
      </c>
    </row>
    <row r="106" spans="1:25" ht="15.75" x14ac:dyDescent="0.5">
      <c r="A106" s="320"/>
      <c r="B106" s="410"/>
      <c r="C106" s="417"/>
      <c r="D106" s="100" t="s">
        <v>703</v>
      </c>
      <c r="E106" s="450"/>
      <c r="F106" s="30" t="s">
        <v>785</v>
      </c>
      <c r="G106" s="2" t="s">
        <v>838</v>
      </c>
      <c r="H106" s="440"/>
      <c r="I106" s="440"/>
      <c r="J106" s="440"/>
      <c r="K106" s="440"/>
      <c r="L106" s="440"/>
      <c r="M106" s="453"/>
      <c r="N106" s="440"/>
      <c r="O106" s="440"/>
      <c r="P106" s="440"/>
      <c r="Q106" s="440"/>
      <c r="R106" s="440"/>
      <c r="S106" s="440"/>
      <c r="T106" s="440"/>
      <c r="U106" s="440"/>
      <c r="W106" s="2"/>
      <c r="X106" t="s">
        <v>839</v>
      </c>
    </row>
    <row r="107" spans="1:25" ht="15.75" x14ac:dyDescent="0.5">
      <c r="A107" s="320"/>
      <c r="B107" s="410"/>
      <c r="C107" s="417"/>
      <c r="D107" s="100" t="s">
        <v>704</v>
      </c>
      <c r="E107" s="450"/>
      <c r="F107" s="30" t="s">
        <v>786</v>
      </c>
      <c r="G107" s="2"/>
      <c r="H107" s="440"/>
      <c r="I107" s="440"/>
      <c r="J107" s="440"/>
      <c r="K107" s="440"/>
      <c r="L107" s="440"/>
      <c r="M107" s="453"/>
      <c r="N107" s="440"/>
      <c r="O107" s="440"/>
      <c r="P107" s="440"/>
      <c r="Q107" s="440"/>
      <c r="R107" s="440"/>
      <c r="S107" s="440"/>
      <c r="T107" s="440"/>
      <c r="U107" s="440"/>
      <c r="W107" s="2"/>
    </row>
    <row r="108" spans="1:25" ht="15.75" x14ac:dyDescent="0.5">
      <c r="A108" s="320"/>
      <c r="B108" s="410"/>
      <c r="C108" s="417"/>
      <c r="D108" s="101" t="s">
        <v>705</v>
      </c>
      <c r="E108" s="451"/>
      <c r="F108" s="159" t="s">
        <v>787</v>
      </c>
      <c r="G108" s="149"/>
      <c r="H108" s="441"/>
      <c r="I108" s="441"/>
      <c r="J108" s="441"/>
      <c r="K108" s="441"/>
      <c r="L108" s="441"/>
      <c r="M108" s="454"/>
      <c r="N108" s="441"/>
      <c r="O108" s="441"/>
      <c r="P108" s="441"/>
      <c r="Q108" s="441"/>
      <c r="R108" s="441"/>
      <c r="S108" s="441"/>
      <c r="T108" s="441"/>
      <c r="U108" s="441"/>
      <c r="W108" s="2"/>
      <c r="X108" s="162" t="s">
        <v>840</v>
      </c>
    </row>
    <row r="109" spans="1:25" ht="15.75" x14ac:dyDescent="0.5">
      <c r="A109" s="320"/>
      <c r="B109" s="410"/>
      <c r="C109" s="417" t="s">
        <v>259</v>
      </c>
      <c r="D109" s="102" t="s">
        <v>260</v>
      </c>
      <c r="E109" s="449" t="s">
        <v>261</v>
      </c>
      <c r="F109" s="25" t="s">
        <v>262</v>
      </c>
      <c r="G109" s="165" t="s">
        <v>263</v>
      </c>
      <c r="H109" s="439">
        <v>2</v>
      </c>
      <c r="I109" s="439">
        <v>0</v>
      </c>
      <c r="J109" s="439">
        <v>0</v>
      </c>
      <c r="K109" s="439">
        <v>0</v>
      </c>
      <c r="L109" s="439">
        <v>0</v>
      </c>
      <c r="M109" s="439">
        <v>0</v>
      </c>
      <c r="N109" s="439">
        <v>0</v>
      </c>
      <c r="O109" s="439">
        <v>0</v>
      </c>
      <c r="P109" s="439">
        <v>0</v>
      </c>
      <c r="Q109" s="439">
        <v>0</v>
      </c>
      <c r="R109" s="439">
        <v>1</v>
      </c>
      <c r="S109" s="439">
        <v>0</v>
      </c>
      <c r="T109" s="439">
        <v>0</v>
      </c>
      <c r="U109" s="439">
        <v>0</v>
      </c>
      <c r="W109" s="2"/>
    </row>
    <row r="110" spans="1:25" ht="15.75" x14ac:dyDescent="0.5">
      <c r="A110" s="320"/>
      <c r="B110" s="410"/>
      <c r="C110" s="417"/>
      <c r="D110" s="100" t="s">
        <v>706</v>
      </c>
      <c r="E110" s="450"/>
      <c r="F110" s="30" t="s">
        <v>788</v>
      </c>
      <c r="G110" s="2" t="s">
        <v>841</v>
      </c>
      <c r="H110" s="440"/>
      <c r="I110" s="440"/>
      <c r="J110" s="440"/>
      <c r="K110" s="440"/>
      <c r="L110" s="440"/>
      <c r="M110" s="440"/>
      <c r="N110" s="440"/>
      <c r="O110" s="440"/>
      <c r="P110" s="440"/>
      <c r="Q110" s="440"/>
      <c r="R110" s="440"/>
      <c r="S110" s="440"/>
      <c r="T110" s="440"/>
      <c r="U110" s="440"/>
      <c r="W110" s="2"/>
    </row>
    <row r="111" spans="1:25" ht="15.75" x14ac:dyDescent="0.5">
      <c r="A111" s="445"/>
      <c r="B111" s="412"/>
      <c r="C111" s="419"/>
      <c r="D111" s="167" t="s">
        <v>707</v>
      </c>
      <c r="E111" s="451"/>
      <c r="F111" s="159" t="s">
        <v>789</v>
      </c>
      <c r="G111" s="149" t="s">
        <v>842</v>
      </c>
      <c r="H111" s="441"/>
      <c r="I111" s="441"/>
      <c r="J111" s="441"/>
      <c r="K111" s="441"/>
      <c r="L111" s="441"/>
      <c r="M111" s="441"/>
      <c r="N111" s="441"/>
      <c r="O111" s="441"/>
      <c r="P111" s="441"/>
      <c r="Q111" s="441"/>
      <c r="R111" s="441"/>
      <c r="S111" s="441"/>
      <c r="T111" s="441"/>
      <c r="U111" s="441"/>
      <c r="V111" s="9"/>
      <c r="W111" s="149"/>
      <c r="X111" s="9"/>
      <c r="Y111" s="9"/>
    </row>
    <row r="112" spans="1:25" ht="26.65" x14ac:dyDescent="0.5">
      <c r="A112" s="442" t="s">
        <v>264</v>
      </c>
      <c r="B112" s="89"/>
      <c r="C112" s="96"/>
      <c r="D112" s="103"/>
      <c r="E112" s="168"/>
      <c r="F112" s="24" t="s">
        <v>265</v>
      </c>
      <c r="G112" s="24"/>
      <c r="H112" s="439"/>
      <c r="I112" s="439"/>
      <c r="J112" s="439"/>
      <c r="K112" s="439">
        <v>2</v>
      </c>
      <c r="L112" s="439">
        <v>1</v>
      </c>
      <c r="M112" s="439"/>
      <c r="N112" s="439"/>
      <c r="O112" s="439"/>
      <c r="P112" s="439"/>
      <c r="Q112" s="439"/>
      <c r="R112" s="439"/>
      <c r="S112" s="439"/>
      <c r="T112" s="439"/>
      <c r="U112" s="439"/>
      <c r="V112" s="13"/>
      <c r="W112" s="24"/>
      <c r="X112" s="13"/>
    </row>
    <row r="113" spans="1:25" ht="26.65" x14ac:dyDescent="0.5">
      <c r="A113" s="443"/>
      <c r="B113" s="90"/>
      <c r="C113" s="97"/>
      <c r="D113" s="100"/>
      <c r="E113" s="169"/>
      <c r="F113" s="2" t="s">
        <v>790</v>
      </c>
      <c r="G113" s="2"/>
      <c r="H113" s="440"/>
      <c r="I113" s="440"/>
      <c r="J113" s="440"/>
      <c r="K113" s="440"/>
      <c r="L113" s="440"/>
      <c r="M113" s="440"/>
      <c r="N113" s="440"/>
      <c r="O113" s="440"/>
      <c r="P113" s="440"/>
      <c r="Q113" s="440"/>
      <c r="R113" s="440"/>
      <c r="S113" s="440"/>
      <c r="T113" s="440"/>
      <c r="U113" s="440"/>
      <c r="W113" s="2"/>
    </row>
    <row r="114" spans="1:25" ht="15.75" x14ac:dyDescent="0.5">
      <c r="A114" s="443"/>
      <c r="B114" s="90"/>
      <c r="C114" s="97"/>
      <c r="D114" s="100"/>
      <c r="E114" s="169"/>
      <c r="F114" s="2" t="s">
        <v>791</v>
      </c>
      <c r="G114" s="2"/>
      <c r="H114" s="440"/>
      <c r="I114" s="440"/>
      <c r="J114" s="440"/>
      <c r="K114" s="440"/>
      <c r="L114" s="440"/>
      <c r="M114" s="440"/>
      <c r="N114" s="440"/>
      <c r="O114" s="440"/>
      <c r="P114" s="440"/>
      <c r="Q114" s="440"/>
      <c r="R114" s="440"/>
      <c r="S114" s="440"/>
      <c r="T114" s="440"/>
      <c r="U114" s="440"/>
      <c r="W114" s="2"/>
    </row>
    <row r="115" spans="1:25" ht="26.65" x14ac:dyDescent="0.5">
      <c r="A115" s="443"/>
      <c r="B115" s="90"/>
      <c r="C115" s="97"/>
      <c r="D115" s="100"/>
      <c r="E115" s="169"/>
      <c r="F115" s="2" t="s">
        <v>792</v>
      </c>
      <c r="G115" s="2"/>
      <c r="H115" s="440"/>
      <c r="I115" s="440"/>
      <c r="J115" s="440"/>
      <c r="K115" s="440"/>
      <c r="L115" s="440"/>
      <c r="M115" s="440"/>
      <c r="N115" s="440"/>
      <c r="O115" s="440"/>
      <c r="P115" s="440"/>
      <c r="Q115" s="440"/>
      <c r="R115" s="440"/>
      <c r="S115" s="440"/>
      <c r="T115" s="440"/>
      <c r="U115" s="440"/>
      <c r="W115" s="2"/>
    </row>
    <row r="116" spans="1:25" ht="26.65" x14ac:dyDescent="0.5">
      <c r="A116" s="443"/>
      <c r="B116" s="90"/>
      <c r="C116" s="97"/>
      <c r="D116" s="100"/>
      <c r="E116" s="169"/>
      <c r="F116" s="2" t="s">
        <v>793</v>
      </c>
      <c r="G116" s="2"/>
      <c r="H116" s="440"/>
      <c r="I116" s="440"/>
      <c r="J116" s="440"/>
      <c r="K116" s="440"/>
      <c r="L116" s="440"/>
      <c r="M116" s="440"/>
      <c r="N116" s="440"/>
      <c r="O116" s="440"/>
      <c r="P116" s="440"/>
      <c r="Q116" s="440"/>
      <c r="R116" s="440"/>
      <c r="S116" s="440"/>
      <c r="T116" s="440"/>
      <c r="U116" s="440"/>
      <c r="W116" s="2"/>
    </row>
    <row r="117" spans="1:25" ht="26.65" x14ac:dyDescent="0.5">
      <c r="A117" s="443"/>
      <c r="B117" s="90"/>
      <c r="C117" s="97"/>
      <c r="D117" s="100"/>
      <c r="E117" s="169"/>
      <c r="F117" s="2" t="s">
        <v>794</v>
      </c>
      <c r="G117" s="2"/>
      <c r="H117" s="440"/>
      <c r="I117" s="440"/>
      <c r="J117" s="440"/>
      <c r="K117" s="440"/>
      <c r="L117" s="440"/>
      <c r="M117" s="440"/>
      <c r="N117" s="440"/>
      <c r="O117" s="440"/>
      <c r="P117" s="440"/>
      <c r="Q117" s="440"/>
      <c r="R117" s="440"/>
      <c r="S117" s="440"/>
      <c r="T117" s="440"/>
      <c r="U117" s="440"/>
      <c r="W117" s="2"/>
    </row>
    <row r="118" spans="1:25" ht="15.75" x14ac:dyDescent="0.5">
      <c r="A118" s="443"/>
      <c r="B118" s="90"/>
      <c r="C118" s="97"/>
      <c r="D118" s="100"/>
      <c r="E118" s="169"/>
      <c r="F118" s="2" t="s">
        <v>795</v>
      </c>
      <c r="G118" s="2"/>
      <c r="H118" s="440"/>
      <c r="I118" s="440"/>
      <c r="J118" s="440"/>
      <c r="K118" s="440"/>
      <c r="L118" s="440"/>
      <c r="M118" s="440"/>
      <c r="N118" s="440"/>
      <c r="O118" s="440"/>
      <c r="P118" s="440"/>
      <c r="Q118" s="440"/>
      <c r="R118" s="440"/>
      <c r="S118" s="440"/>
      <c r="T118" s="440"/>
      <c r="U118" s="440"/>
      <c r="W118" s="2"/>
    </row>
    <row r="119" spans="1:25" ht="15.75" x14ac:dyDescent="0.5">
      <c r="A119" s="443"/>
      <c r="B119" s="90"/>
      <c r="C119" s="97"/>
      <c r="D119" s="100"/>
      <c r="E119" s="169"/>
      <c r="F119" s="2" t="s">
        <v>796</v>
      </c>
      <c r="G119" s="2"/>
      <c r="H119" s="440"/>
      <c r="I119" s="440"/>
      <c r="J119" s="440"/>
      <c r="K119" s="440"/>
      <c r="L119" s="440"/>
      <c r="M119" s="440"/>
      <c r="N119" s="440"/>
      <c r="O119" s="440"/>
      <c r="P119" s="440"/>
      <c r="Q119" s="440"/>
      <c r="R119" s="440"/>
      <c r="S119" s="440"/>
      <c r="T119" s="440"/>
      <c r="U119" s="440"/>
      <c r="W119" s="2"/>
    </row>
    <row r="120" spans="1:25" s="9" customFormat="1" ht="26.65" x14ac:dyDescent="0.5">
      <c r="A120" s="443"/>
      <c r="B120" s="91"/>
      <c r="C120" s="98"/>
      <c r="D120" s="167"/>
      <c r="E120" s="171"/>
      <c r="F120" s="149" t="s">
        <v>797</v>
      </c>
      <c r="G120" s="149"/>
      <c r="H120" s="441"/>
      <c r="I120" s="441"/>
      <c r="J120" s="441"/>
      <c r="K120" s="441"/>
      <c r="L120" s="441"/>
      <c r="M120" s="441"/>
      <c r="N120" s="441"/>
      <c r="O120" s="441"/>
      <c r="P120" s="441"/>
      <c r="Q120" s="441"/>
      <c r="R120" s="441"/>
      <c r="S120" s="441"/>
      <c r="T120" s="441"/>
      <c r="U120" s="441"/>
      <c r="W120" s="149"/>
    </row>
    <row r="121" spans="1:25" ht="26.65" x14ac:dyDescent="0.5">
      <c r="A121" s="442" t="s">
        <v>266</v>
      </c>
      <c r="B121" s="90"/>
      <c r="C121" s="97"/>
      <c r="D121" s="100"/>
      <c r="E121" s="169"/>
      <c r="F121" s="2" t="s">
        <v>267</v>
      </c>
      <c r="G121" s="2"/>
      <c r="H121" s="439"/>
      <c r="I121" s="439"/>
      <c r="J121" s="439">
        <v>2</v>
      </c>
      <c r="K121" s="439">
        <v>2</v>
      </c>
      <c r="L121" s="439"/>
      <c r="M121" s="439">
        <v>2</v>
      </c>
      <c r="N121" s="439">
        <v>1</v>
      </c>
      <c r="O121" s="439"/>
      <c r="P121" s="439">
        <v>1</v>
      </c>
      <c r="Q121" s="439"/>
      <c r="R121" s="439"/>
      <c r="S121" s="439"/>
      <c r="T121" s="439"/>
      <c r="U121" s="439"/>
      <c r="W121" s="2"/>
    </row>
    <row r="122" spans="1:25" ht="26.65" x14ac:dyDescent="0.5">
      <c r="A122" s="443"/>
      <c r="B122" s="90"/>
      <c r="C122" s="97"/>
      <c r="D122" s="100"/>
      <c r="E122" s="169"/>
      <c r="F122" s="2" t="s">
        <v>798</v>
      </c>
      <c r="G122" s="2"/>
      <c r="H122" s="440"/>
      <c r="I122" s="440"/>
      <c r="J122" s="440"/>
      <c r="K122" s="440"/>
      <c r="L122" s="440"/>
      <c r="M122" s="440">
        <v>2</v>
      </c>
      <c r="N122" s="440"/>
      <c r="O122" s="440"/>
      <c r="P122" s="440"/>
      <c r="Q122" s="440"/>
      <c r="R122" s="440"/>
      <c r="S122" s="440"/>
      <c r="T122" s="440"/>
      <c r="U122" s="440"/>
      <c r="W122" s="2"/>
    </row>
    <row r="123" spans="1:25" ht="15.75" x14ac:dyDescent="0.5">
      <c r="A123" s="443"/>
      <c r="B123" s="90"/>
      <c r="C123" s="97"/>
      <c r="D123" s="100"/>
      <c r="E123" s="169"/>
      <c r="F123" s="2" t="s">
        <v>799</v>
      </c>
      <c r="G123" s="2"/>
      <c r="H123" s="440"/>
      <c r="I123" s="440"/>
      <c r="J123" s="440"/>
      <c r="K123" s="440"/>
      <c r="L123" s="440"/>
      <c r="M123" s="440"/>
      <c r="N123" s="440"/>
      <c r="O123" s="440"/>
      <c r="P123" s="440"/>
      <c r="Q123" s="440"/>
      <c r="R123" s="440"/>
      <c r="S123" s="440"/>
      <c r="T123" s="440"/>
      <c r="U123" s="440"/>
      <c r="W123" s="2"/>
    </row>
    <row r="124" spans="1:25" ht="15.75" x14ac:dyDescent="0.5">
      <c r="A124" s="443"/>
      <c r="B124" s="90"/>
      <c r="C124" s="97"/>
      <c r="D124" s="100"/>
      <c r="E124" s="169"/>
      <c r="F124" s="2" t="s">
        <v>800</v>
      </c>
      <c r="G124" s="2"/>
      <c r="H124" s="440"/>
      <c r="I124" s="440"/>
      <c r="J124" s="440"/>
      <c r="K124" s="440"/>
      <c r="L124" s="440"/>
      <c r="M124" s="440">
        <v>1</v>
      </c>
      <c r="N124" s="440"/>
      <c r="O124" s="440"/>
      <c r="P124" s="440"/>
      <c r="Q124" s="440"/>
      <c r="R124" s="440"/>
      <c r="S124" s="440"/>
      <c r="T124" s="440"/>
      <c r="U124" s="440"/>
      <c r="W124" s="2"/>
    </row>
    <row r="125" spans="1:25" ht="15.75" x14ac:dyDescent="0.5">
      <c r="A125" s="443"/>
      <c r="B125" s="90"/>
      <c r="C125" s="97"/>
      <c r="D125" s="100"/>
      <c r="E125" s="169"/>
      <c r="F125" s="2" t="s">
        <v>801</v>
      </c>
      <c r="G125" s="2"/>
      <c r="H125" s="440"/>
      <c r="I125" s="440"/>
      <c r="J125" s="440"/>
      <c r="K125" s="440"/>
      <c r="L125" s="440"/>
      <c r="M125" s="440"/>
      <c r="N125" s="440"/>
      <c r="O125" s="440"/>
      <c r="P125" s="440"/>
      <c r="Q125" s="440"/>
      <c r="R125" s="440"/>
      <c r="S125" s="440"/>
      <c r="T125" s="440"/>
      <c r="U125" s="440"/>
      <c r="W125" s="2"/>
    </row>
    <row r="126" spans="1:25" ht="28.9" x14ac:dyDescent="0.5">
      <c r="A126" s="443"/>
      <c r="B126" s="90"/>
      <c r="C126" s="97"/>
      <c r="D126" s="100"/>
      <c r="E126" s="169"/>
      <c r="F126" s="173" t="s">
        <v>802</v>
      </c>
      <c r="G126" s="2"/>
      <c r="H126" s="440"/>
      <c r="I126" s="440"/>
      <c r="J126" s="440"/>
      <c r="K126" s="440"/>
      <c r="L126" s="440"/>
      <c r="M126" s="440"/>
      <c r="N126" s="440"/>
      <c r="O126" s="440"/>
      <c r="P126" s="440"/>
      <c r="Q126" s="440"/>
      <c r="R126" s="440"/>
      <c r="S126" s="440"/>
      <c r="T126" s="440"/>
      <c r="U126" s="440"/>
      <c r="W126" s="2"/>
    </row>
    <row r="127" spans="1:25" ht="26.65" x14ac:dyDescent="0.5">
      <c r="A127" s="444"/>
      <c r="B127" s="91"/>
      <c r="C127" s="98"/>
      <c r="D127" s="167"/>
      <c r="E127" s="171"/>
      <c r="F127" s="149" t="s">
        <v>803</v>
      </c>
      <c r="G127" s="2"/>
      <c r="H127" s="441"/>
      <c r="I127" s="441"/>
      <c r="J127" s="441"/>
      <c r="K127" s="441"/>
      <c r="L127" s="441"/>
      <c r="M127" s="441"/>
      <c r="N127" s="441"/>
      <c r="O127" s="441"/>
      <c r="P127" s="441"/>
      <c r="Q127" s="441"/>
      <c r="R127" s="441"/>
      <c r="S127" s="441"/>
      <c r="T127" s="441"/>
      <c r="U127" s="441"/>
      <c r="V127" s="9"/>
      <c r="W127" s="149"/>
      <c r="X127" s="9"/>
      <c r="Y127" s="9"/>
    </row>
    <row r="128" spans="1:25" ht="15.75" x14ac:dyDescent="0.5">
      <c r="A128" s="442" t="s">
        <v>268</v>
      </c>
      <c r="B128" s="90"/>
      <c r="C128" s="97"/>
      <c r="D128" s="100"/>
      <c r="E128" s="169" t="s">
        <v>269</v>
      </c>
      <c r="F128" s="2" t="s">
        <v>270</v>
      </c>
      <c r="G128" s="2"/>
      <c r="H128" s="439"/>
      <c r="I128" s="439"/>
      <c r="J128" s="439"/>
      <c r="K128" s="439">
        <v>2</v>
      </c>
      <c r="L128" s="439"/>
      <c r="M128" s="439"/>
      <c r="N128" s="439"/>
      <c r="O128" s="439"/>
      <c r="P128" s="439"/>
      <c r="Q128" s="439"/>
      <c r="R128" s="439"/>
      <c r="S128" s="439"/>
      <c r="T128" s="439"/>
      <c r="U128" s="439"/>
      <c r="W128" s="2"/>
    </row>
    <row r="129" spans="1:23" ht="15.75" x14ac:dyDescent="0.5">
      <c r="A129" s="443"/>
      <c r="B129" s="90"/>
      <c r="C129" s="97"/>
      <c r="D129" s="100"/>
      <c r="E129" s="169"/>
      <c r="F129" s="2" t="s">
        <v>804</v>
      </c>
      <c r="G129" s="2"/>
      <c r="H129" s="440"/>
      <c r="I129" s="440"/>
      <c r="J129" s="440"/>
      <c r="K129" s="440">
        <v>2</v>
      </c>
      <c r="L129" s="440"/>
      <c r="M129" s="440"/>
      <c r="N129" s="440"/>
      <c r="O129" s="440"/>
      <c r="P129" s="440"/>
      <c r="Q129" s="440"/>
      <c r="R129" s="440"/>
      <c r="S129" s="440"/>
      <c r="T129" s="440"/>
      <c r="U129" s="440"/>
      <c r="W129" s="2"/>
    </row>
    <row r="130" spans="1:23" ht="15.75" x14ac:dyDescent="0.5">
      <c r="A130" s="443"/>
      <c r="B130" s="90"/>
      <c r="C130" s="97"/>
      <c r="D130" s="100"/>
      <c r="E130" s="169"/>
      <c r="F130" s="2" t="s">
        <v>805</v>
      </c>
      <c r="G130" s="2"/>
      <c r="H130" s="440"/>
      <c r="I130" s="440"/>
      <c r="J130" s="440"/>
      <c r="K130" s="440">
        <v>2</v>
      </c>
      <c r="L130" s="440"/>
      <c r="M130" s="440"/>
      <c r="N130" s="440"/>
      <c r="O130" s="440"/>
      <c r="P130" s="440"/>
      <c r="Q130" s="440"/>
      <c r="R130" s="440"/>
      <c r="S130" s="440"/>
      <c r="T130" s="440"/>
      <c r="U130" s="440"/>
      <c r="W130" s="2"/>
    </row>
    <row r="131" spans="1:23" ht="15.75" x14ac:dyDescent="0.5">
      <c r="A131" s="443"/>
      <c r="B131" s="90"/>
      <c r="C131" s="97"/>
      <c r="D131" s="100"/>
      <c r="E131" s="169"/>
      <c r="F131" s="2" t="s">
        <v>806</v>
      </c>
      <c r="G131" s="2"/>
      <c r="H131" s="440"/>
      <c r="I131" s="440"/>
      <c r="J131" s="440"/>
      <c r="K131" s="440">
        <v>2</v>
      </c>
      <c r="L131" s="440"/>
      <c r="M131" s="440"/>
      <c r="N131" s="440"/>
      <c r="O131" s="440"/>
      <c r="P131" s="440"/>
      <c r="Q131" s="440"/>
      <c r="R131" s="440"/>
      <c r="S131" s="440"/>
      <c r="T131" s="440"/>
      <c r="U131" s="440"/>
      <c r="W131" s="2"/>
    </row>
    <row r="132" spans="1:23" ht="15.75" x14ac:dyDescent="0.5">
      <c r="A132" s="443"/>
      <c r="B132" s="90"/>
      <c r="C132" s="97"/>
      <c r="D132" s="100"/>
      <c r="E132" s="169"/>
      <c r="F132" s="2" t="s">
        <v>807</v>
      </c>
      <c r="G132" s="2"/>
      <c r="H132" s="440"/>
      <c r="I132" s="440"/>
      <c r="J132" s="440"/>
      <c r="K132" s="440">
        <v>2</v>
      </c>
      <c r="L132" s="440"/>
      <c r="M132" s="440"/>
      <c r="N132" s="440"/>
      <c r="O132" s="440"/>
      <c r="P132" s="440"/>
      <c r="Q132" s="440"/>
      <c r="R132" s="440"/>
      <c r="S132" s="440"/>
      <c r="T132" s="440"/>
      <c r="U132" s="440"/>
      <c r="W132" s="2"/>
    </row>
    <row r="133" spans="1:23" s="9" customFormat="1" ht="15.75" x14ac:dyDescent="0.5">
      <c r="A133" s="444"/>
      <c r="B133" s="91"/>
      <c r="C133" s="98"/>
      <c r="D133" s="167"/>
      <c r="E133" s="171"/>
      <c r="F133" s="149" t="s">
        <v>808</v>
      </c>
      <c r="G133" s="149"/>
      <c r="H133" s="441"/>
      <c r="I133" s="441"/>
      <c r="J133" s="441"/>
      <c r="K133" s="441">
        <v>2</v>
      </c>
      <c r="L133" s="441"/>
      <c r="M133" s="441"/>
      <c r="N133" s="441"/>
      <c r="O133" s="441"/>
      <c r="P133" s="441"/>
      <c r="Q133" s="441"/>
      <c r="R133" s="441"/>
      <c r="S133" s="441"/>
      <c r="T133" s="441"/>
      <c r="U133" s="441"/>
      <c r="W133" s="149"/>
    </row>
    <row r="134" spans="1:23" ht="15.75" x14ac:dyDescent="0.5">
      <c r="A134" s="442" t="s">
        <v>271</v>
      </c>
      <c r="B134" s="90"/>
      <c r="C134" s="97"/>
      <c r="D134" s="100"/>
      <c r="E134" s="169" t="s">
        <v>272</v>
      </c>
      <c r="F134" s="2" t="s">
        <v>273</v>
      </c>
      <c r="G134" s="2"/>
      <c r="H134" s="170"/>
      <c r="I134" s="170"/>
      <c r="J134" s="170"/>
      <c r="K134" s="170">
        <v>1</v>
      </c>
      <c r="L134" s="170">
        <v>2</v>
      </c>
      <c r="M134" s="170"/>
      <c r="N134" s="170"/>
      <c r="O134" s="170"/>
      <c r="P134" s="170"/>
      <c r="Q134" s="170"/>
      <c r="R134" s="170"/>
      <c r="S134" s="170"/>
      <c r="T134" s="170"/>
      <c r="W134" s="2"/>
    </row>
    <row r="135" spans="1:23" ht="15.75" x14ac:dyDescent="0.5">
      <c r="A135" s="443"/>
      <c r="B135" s="90"/>
      <c r="C135" s="97"/>
      <c r="D135" s="100"/>
      <c r="E135" s="169" t="s">
        <v>274</v>
      </c>
      <c r="F135" s="2" t="s">
        <v>275</v>
      </c>
      <c r="G135" s="2"/>
      <c r="H135" s="170"/>
      <c r="I135" s="170"/>
      <c r="J135" s="170"/>
      <c r="K135" s="170">
        <v>1</v>
      </c>
      <c r="L135" s="170">
        <v>2</v>
      </c>
      <c r="M135" s="170"/>
      <c r="N135" s="170"/>
      <c r="O135" s="170"/>
      <c r="P135" s="170"/>
      <c r="Q135" s="170"/>
      <c r="R135" s="170"/>
      <c r="S135" s="170"/>
      <c r="T135" s="170"/>
      <c r="W135" s="2"/>
    </row>
    <row r="136" spans="1:23" ht="15.75" x14ac:dyDescent="0.5">
      <c r="A136" s="443"/>
      <c r="B136" s="90"/>
      <c r="C136" s="97"/>
      <c r="D136" s="100"/>
      <c r="E136" s="169" t="s">
        <v>276</v>
      </c>
      <c r="F136" s="2" t="s">
        <v>277</v>
      </c>
      <c r="G136" s="2"/>
      <c r="H136" s="170"/>
      <c r="I136" s="170"/>
      <c r="J136" s="170"/>
      <c r="K136" s="170">
        <v>1</v>
      </c>
      <c r="L136" s="170">
        <v>2</v>
      </c>
      <c r="M136" s="170"/>
      <c r="N136" s="170"/>
      <c r="O136" s="170"/>
      <c r="P136" s="170"/>
      <c r="Q136" s="170"/>
      <c r="R136" s="170"/>
      <c r="S136" s="170"/>
      <c r="T136" s="170"/>
      <c r="W136" s="2"/>
    </row>
    <row r="137" spans="1:23" ht="15.75" x14ac:dyDescent="0.5">
      <c r="A137" s="443"/>
      <c r="B137" s="90"/>
      <c r="C137" s="97"/>
      <c r="D137" s="100"/>
      <c r="E137" s="169" t="s">
        <v>278</v>
      </c>
      <c r="F137" s="2" t="s">
        <v>279</v>
      </c>
      <c r="G137" s="2"/>
      <c r="H137" s="170"/>
      <c r="I137" s="170"/>
      <c r="J137" s="170"/>
      <c r="K137" s="170">
        <v>1</v>
      </c>
      <c r="L137" s="170">
        <v>2</v>
      </c>
      <c r="M137" s="170"/>
      <c r="N137" s="170"/>
      <c r="O137" s="170"/>
      <c r="P137" s="170"/>
      <c r="Q137" s="170"/>
      <c r="R137" s="170"/>
      <c r="S137" s="170"/>
      <c r="T137" s="170"/>
      <c r="W137" s="2"/>
    </row>
    <row r="138" spans="1:23" ht="15.75" x14ac:dyDescent="0.5">
      <c r="A138" s="443"/>
      <c r="B138" s="90"/>
      <c r="C138" s="97"/>
      <c r="D138" s="100"/>
      <c r="E138" s="169"/>
      <c r="F138" s="2" t="s">
        <v>280</v>
      </c>
      <c r="G138" s="2"/>
      <c r="H138" s="170"/>
      <c r="I138" s="170"/>
      <c r="J138" s="170"/>
      <c r="K138" s="170">
        <v>1</v>
      </c>
      <c r="L138" s="170">
        <v>2</v>
      </c>
      <c r="M138" s="170"/>
      <c r="N138" s="170"/>
      <c r="O138" s="170"/>
      <c r="P138" s="170"/>
      <c r="Q138" s="170"/>
      <c r="R138" s="170"/>
      <c r="S138" s="170"/>
      <c r="T138" s="170"/>
      <c r="W138" s="2"/>
    </row>
    <row r="139" spans="1:23" ht="15.75" x14ac:dyDescent="0.5">
      <c r="A139" s="443"/>
      <c r="B139" s="90"/>
      <c r="C139" s="97"/>
      <c r="D139" s="100"/>
      <c r="E139" s="169"/>
      <c r="F139" s="2" t="s">
        <v>281</v>
      </c>
      <c r="G139" s="2"/>
      <c r="H139" s="170"/>
      <c r="I139" s="170"/>
      <c r="J139" s="170"/>
      <c r="K139" s="170">
        <v>1</v>
      </c>
      <c r="L139" s="170">
        <v>2</v>
      </c>
      <c r="M139" s="170"/>
      <c r="N139" s="170"/>
      <c r="O139" s="170"/>
      <c r="P139" s="170"/>
      <c r="Q139" s="170"/>
      <c r="R139" s="170"/>
      <c r="S139" s="170"/>
      <c r="T139" s="170"/>
      <c r="W139" s="2"/>
    </row>
    <row r="140" spans="1:23" ht="15.75" x14ac:dyDescent="0.5">
      <c r="A140" s="443"/>
      <c r="B140" s="90"/>
      <c r="C140" s="97"/>
      <c r="D140" s="100"/>
      <c r="E140" s="169"/>
      <c r="F140" s="2" t="s">
        <v>282</v>
      </c>
      <c r="G140" s="2"/>
      <c r="H140" s="170"/>
      <c r="I140" s="170"/>
      <c r="J140" s="170"/>
      <c r="K140" s="170">
        <v>1</v>
      </c>
      <c r="L140" s="170">
        <v>2</v>
      </c>
      <c r="M140" s="170"/>
      <c r="N140" s="170"/>
      <c r="O140" s="170"/>
      <c r="P140" s="170"/>
      <c r="Q140" s="170"/>
      <c r="R140" s="170"/>
      <c r="S140" s="170"/>
      <c r="T140" s="170"/>
      <c r="W140" s="2"/>
    </row>
    <row r="141" spans="1:23" ht="15.75" x14ac:dyDescent="0.5">
      <c r="A141" s="443"/>
      <c r="B141" s="90"/>
      <c r="C141" s="97"/>
      <c r="D141" s="100"/>
      <c r="E141" s="169"/>
      <c r="F141" s="2" t="s">
        <v>283</v>
      </c>
      <c r="G141" s="2"/>
      <c r="H141" s="170"/>
      <c r="I141" s="170"/>
      <c r="J141" s="170"/>
      <c r="K141" s="170">
        <v>1</v>
      </c>
      <c r="L141" s="170">
        <v>2</v>
      </c>
      <c r="M141" s="170"/>
      <c r="N141" s="170"/>
      <c r="O141" s="170"/>
      <c r="P141" s="170"/>
      <c r="Q141" s="170"/>
      <c r="R141" s="170"/>
      <c r="S141" s="170"/>
      <c r="T141" s="170"/>
      <c r="W141" s="2"/>
    </row>
    <row r="142" spans="1:23" ht="15.75" x14ac:dyDescent="0.5">
      <c r="A142" s="443"/>
      <c r="B142" s="90"/>
      <c r="C142" s="97"/>
      <c r="D142" s="100"/>
      <c r="E142" s="169"/>
      <c r="F142" s="2" t="s">
        <v>284</v>
      </c>
      <c r="G142" s="2"/>
      <c r="H142" s="170"/>
      <c r="I142" s="170"/>
      <c r="J142" s="170"/>
      <c r="K142" s="170">
        <v>1</v>
      </c>
      <c r="L142" s="170">
        <v>2</v>
      </c>
      <c r="M142" s="170"/>
      <c r="N142" s="170"/>
      <c r="O142" s="170"/>
      <c r="P142" s="170"/>
      <c r="Q142" s="170"/>
      <c r="R142" s="170"/>
      <c r="S142" s="170"/>
      <c r="T142" s="170"/>
      <c r="W142" s="2"/>
    </row>
    <row r="143" spans="1:23" ht="15.75" x14ac:dyDescent="0.5">
      <c r="A143" s="443"/>
      <c r="B143" s="90"/>
      <c r="C143" s="97"/>
      <c r="D143" s="100"/>
      <c r="E143" s="169"/>
      <c r="F143" s="2" t="s">
        <v>285</v>
      </c>
      <c r="G143" s="2"/>
      <c r="H143" s="170"/>
      <c r="I143" s="170"/>
      <c r="J143" s="170"/>
      <c r="K143" s="170">
        <v>1</v>
      </c>
      <c r="L143" s="170">
        <v>2</v>
      </c>
      <c r="M143" s="170"/>
      <c r="N143" s="170"/>
      <c r="O143" s="170"/>
      <c r="P143" s="170"/>
      <c r="Q143" s="170"/>
      <c r="R143" s="170"/>
      <c r="S143" s="170"/>
      <c r="T143" s="170"/>
      <c r="W143" s="2"/>
    </row>
    <row r="144" spans="1:23" ht="15.75" x14ac:dyDescent="0.5">
      <c r="A144" s="443"/>
      <c r="B144" s="90"/>
      <c r="C144" s="97"/>
      <c r="D144" s="100"/>
      <c r="E144" s="169"/>
      <c r="F144" s="2" t="s">
        <v>286</v>
      </c>
      <c r="G144" s="2"/>
      <c r="H144" s="170"/>
      <c r="I144" s="170"/>
      <c r="J144" s="170"/>
      <c r="K144" s="170">
        <v>1</v>
      </c>
      <c r="L144" s="170">
        <v>2</v>
      </c>
      <c r="M144" s="170"/>
      <c r="N144" s="170"/>
      <c r="O144" s="170"/>
      <c r="P144" s="170"/>
      <c r="Q144" s="170"/>
      <c r="R144" s="170"/>
      <c r="S144" s="170"/>
      <c r="T144" s="170"/>
      <c r="W144" s="2"/>
    </row>
    <row r="145" spans="1:23" s="9" customFormat="1" ht="15.75" x14ac:dyDescent="0.5">
      <c r="A145" s="444"/>
      <c r="B145" s="91"/>
      <c r="C145" s="98"/>
      <c r="D145" s="167"/>
      <c r="E145" s="171"/>
      <c r="F145" s="174" t="s">
        <v>287</v>
      </c>
      <c r="G145" s="149"/>
      <c r="H145" s="172"/>
      <c r="I145" s="172"/>
      <c r="J145" s="172"/>
      <c r="K145" s="172">
        <v>1</v>
      </c>
      <c r="L145" s="172">
        <v>1</v>
      </c>
      <c r="M145" s="172"/>
      <c r="N145" s="172"/>
      <c r="O145" s="172"/>
      <c r="P145" s="172"/>
      <c r="Q145" s="172"/>
      <c r="R145" s="172"/>
      <c r="S145" s="172">
        <v>2</v>
      </c>
      <c r="T145" s="172"/>
      <c r="W145" s="149"/>
    </row>
  </sheetData>
  <mergeCells count="531">
    <mergeCell ref="H7:H11"/>
    <mergeCell ref="I7:I11"/>
    <mergeCell ref="P2:P6"/>
    <mergeCell ref="Q2:Q6"/>
    <mergeCell ref="R2:R6"/>
    <mergeCell ref="S2:S6"/>
    <mergeCell ref="T2:T6"/>
    <mergeCell ref="U2:U6"/>
    <mergeCell ref="J2:J6"/>
    <mergeCell ref="K2:K6"/>
    <mergeCell ref="L2:L6"/>
    <mergeCell ref="M2:M6"/>
    <mergeCell ref="N2:N6"/>
    <mergeCell ref="O2:O6"/>
    <mergeCell ref="P7:P11"/>
    <mergeCell ref="Q7:Q11"/>
    <mergeCell ref="R7:R11"/>
    <mergeCell ref="S7:S11"/>
    <mergeCell ref="T7:T11"/>
    <mergeCell ref="U7:U11"/>
    <mergeCell ref="J7:J11"/>
    <mergeCell ref="K7:K11"/>
    <mergeCell ref="L7:L11"/>
    <mergeCell ref="M7:M11"/>
    <mergeCell ref="C15:C16"/>
    <mergeCell ref="E15:E16"/>
    <mergeCell ref="H15:H16"/>
    <mergeCell ref="I15:I16"/>
    <mergeCell ref="J15:J16"/>
    <mergeCell ref="K12:K14"/>
    <mergeCell ref="L12:L14"/>
    <mergeCell ref="M12:M14"/>
    <mergeCell ref="N12:N14"/>
    <mergeCell ref="C12:C14"/>
    <mergeCell ref="E12:E14"/>
    <mergeCell ref="H12:H14"/>
    <mergeCell ref="I12:I14"/>
    <mergeCell ref="J12:J14"/>
    <mergeCell ref="O17:O19"/>
    <mergeCell ref="P17:P19"/>
    <mergeCell ref="N7:N11"/>
    <mergeCell ref="O7:O11"/>
    <mergeCell ref="Q12:Q14"/>
    <mergeCell ref="R12:R14"/>
    <mergeCell ref="S12:S14"/>
    <mergeCell ref="T12:T14"/>
    <mergeCell ref="U12:U14"/>
    <mergeCell ref="O12:O14"/>
    <mergeCell ref="P12:P14"/>
    <mergeCell ref="Q15:Q16"/>
    <mergeCell ref="M17:M19"/>
    <mergeCell ref="N17:N19"/>
    <mergeCell ref="R15:R16"/>
    <mergeCell ref="Q20:Q22"/>
    <mergeCell ref="R20:R22"/>
    <mergeCell ref="S15:S16"/>
    <mergeCell ref="T15:T16"/>
    <mergeCell ref="U15:U16"/>
    <mergeCell ref="C17:C19"/>
    <mergeCell ref="E17:E19"/>
    <mergeCell ref="H17:H19"/>
    <mergeCell ref="I17:I19"/>
    <mergeCell ref="J17:J19"/>
    <mergeCell ref="K15:K16"/>
    <mergeCell ref="L15:L16"/>
    <mergeCell ref="M15:M16"/>
    <mergeCell ref="N15:N16"/>
    <mergeCell ref="O15:O16"/>
    <mergeCell ref="P15:P16"/>
    <mergeCell ref="Q17:Q19"/>
    <mergeCell ref="R17:R19"/>
    <mergeCell ref="S17:S19"/>
    <mergeCell ref="T17:T19"/>
    <mergeCell ref="U17:U19"/>
    <mergeCell ref="S20:S22"/>
    <mergeCell ref="T20:T22"/>
    <mergeCell ref="U20:U22"/>
    <mergeCell ref="C23:C25"/>
    <mergeCell ref="E23:E25"/>
    <mergeCell ref="H23:H25"/>
    <mergeCell ref="I23:I25"/>
    <mergeCell ref="J23:J25"/>
    <mergeCell ref="K20:K22"/>
    <mergeCell ref="L20:L22"/>
    <mergeCell ref="M20:M22"/>
    <mergeCell ref="N20:N22"/>
    <mergeCell ref="O20:O22"/>
    <mergeCell ref="P20:P22"/>
    <mergeCell ref="Q23:Q25"/>
    <mergeCell ref="R23:R25"/>
    <mergeCell ref="S23:S25"/>
    <mergeCell ref="T23:T25"/>
    <mergeCell ref="U23:U25"/>
    <mergeCell ref="O23:O25"/>
    <mergeCell ref="P23:P25"/>
    <mergeCell ref="C20:C22"/>
    <mergeCell ref="E20:E22"/>
    <mergeCell ref="H20:H22"/>
    <mergeCell ref="B30:B57"/>
    <mergeCell ref="C30:C32"/>
    <mergeCell ref="E30:E32"/>
    <mergeCell ref="H30:H32"/>
    <mergeCell ref="I30:I32"/>
    <mergeCell ref="K26:K29"/>
    <mergeCell ref="L26:L29"/>
    <mergeCell ref="M26:M29"/>
    <mergeCell ref="N26:N29"/>
    <mergeCell ref="B12:B29"/>
    <mergeCell ref="J30:J32"/>
    <mergeCell ref="C26:C29"/>
    <mergeCell ref="E26:E29"/>
    <mergeCell ref="H26:H29"/>
    <mergeCell ref="I26:I29"/>
    <mergeCell ref="J26:J29"/>
    <mergeCell ref="K23:K25"/>
    <mergeCell ref="L23:L25"/>
    <mergeCell ref="M23:M25"/>
    <mergeCell ref="N23:N25"/>
    <mergeCell ref="I20:I22"/>
    <mergeCell ref="J20:J22"/>
    <mergeCell ref="K17:K19"/>
    <mergeCell ref="L17:L19"/>
    <mergeCell ref="S33:S35"/>
    <mergeCell ref="T33:T35"/>
    <mergeCell ref="U33:U35"/>
    <mergeCell ref="O33:O35"/>
    <mergeCell ref="P33:P35"/>
    <mergeCell ref="Q33:Q35"/>
    <mergeCell ref="Q26:Q29"/>
    <mergeCell ref="R26:R29"/>
    <mergeCell ref="S26:S29"/>
    <mergeCell ref="T26:T29"/>
    <mergeCell ref="U26:U29"/>
    <mergeCell ref="O26:O29"/>
    <mergeCell ref="P26:P29"/>
    <mergeCell ref="P30:P32"/>
    <mergeCell ref="Q30:Q32"/>
    <mergeCell ref="R30:R32"/>
    <mergeCell ref="S30:S32"/>
    <mergeCell ref="T30:T32"/>
    <mergeCell ref="U30:U32"/>
    <mergeCell ref="L39:L43"/>
    <mergeCell ref="M39:M43"/>
    <mergeCell ref="N39:N43"/>
    <mergeCell ref="K30:K32"/>
    <mergeCell ref="L30:L32"/>
    <mergeCell ref="M30:M32"/>
    <mergeCell ref="N30:N32"/>
    <mergeCell ref="O30:O32"/>
    <mergeCell ref="R33:R35"/>
    <mergeCell ref="R36:R38"/>
    <mergeCell ref="H36:H38"/>
    <mergeCell ref="I36:I38"/>
    <mergeCell ref="J36:J38"/>
    <mergeCell ref="K36:K38"/>
    <mergeCell ref="L33:L35"/>
    <mergeCell ref="M33:M35"/>
    <mergeCell ref="N33:N35"/>
    <mergeCell ref="C33:C35"/>
    <mergeCell ref="E33:E35"/>
    <mergeCell ref="H33:H35"/>
    <mergeCell ref="I33:I35"/>
    <mergeCell ref="J33:J35"/>
    <mergeCell ref="K33:K35"/>
    <mergeCell ref="S36:S38"/>
    <mergeCell ref="T36:T38"/>
    <mergeCell ref="U36:U38"/>
    <mergeCell ref="C39:C43"/>
    <mergeCell ref="E39:E43"/>
    <mergeCell ref="H39:H43"/>
    <mergeCell ref="I39:I43"/>
    <mergeCell ref="J39:J43"/>
    <mergeCell ref="K39:K43"/>
    <mergeCell ref="L36:L38"/>
    <mergeCell ref="M36:M38"/>
    <mergeCell ref="N36:N38"/>
    <mergeCell ref="O36:O38"/>
    <mergeCell ref="P36:P38"/>
    <mergeCell ref="Q36:Q38"/>
    <mergeCell ref="R39:R43"/>
    <mergeCell ref="S39:S43"/>
    <mergeCell ref="T39:T43"/>
    <mergeCell ref="U39:U43"/>
    <mergeCell ref="O39:O43"/>
    <mergeCell ref="P39:P43"/>
    <mergeCell ref="Q39:Q43"/>
    <mergeCell ref="C36:C38"/>
    <mergeCell ref="E36:E38"/>
    <mergeCell ref="S44:S49"/>
    <mergeCell ref="T44:T49"/>
    <mergeCell ref="U44:U49"/>
    <mergeCell ref="C50:C51"/>
    <mergeCell ref="E50:E51"/>
    <mergeCell ref="H50:H51"/>
    <mergeCell ref="I50:I51"/>
    <mergeCell ref="J50:J51"/>
    <mergeCell ref="K50:K51"/>
    <mergeCell ref="L44:L49"/>
    <mergeCell ref="M44:M49"/>
    <mergeCell ref="N44:N49"/>
    <mergeCell ref="O44:O49"/>
    <mergeCell ref="P44:P49"/>
    <mergeCell ref="Q44:Q49"/>
    <mergeCell ref="R50:R51"/>
    <mergeCell ref="S50:S51"/>
    <mergeCell ref="T50:T51"/>
    <mergeCell ref="U50:U51"/>
    <mergeCell ref="O50:O51"/>
    <mergeCell ref="P50:P51"/>
    <mergeCell ref="Q50:Q51"/>
    <mergeCell ref="C44:C49"/>
    <mergeCell ref="E44:E49"/>
    <mergeCell ref="H52:H53"/>
    <mergeCell ref="I52:I53"/>
    <mergeCell ref="J52:J53"/>
    <mergeCell ref="K52:K53"/>
    <mergeCell ref="L50:L51"/>
    <mergeCell ref="M50:M51"/>
    <mergeCell ref="N50:N51"/>
    <mergeCell ref="R44:R49"/>
    <mergeCell ref="H44:H49"/>
    <mergeCell ref="I44:I49"/>
    <mergeCell ref="J44:J49"/>
    <mergeCell ref="K44:K49"/>
    <mergeCell ref="R52:R53"/>
    <mergeCell ref="S52:S53"/>
    <mergeCell ref="T52:T53"/>
    <mergeCell ref="U52:U53"/>
    <mergeCell ref="C54:C57"/>
    <mergeCell ref="E54:E57"/>
    <mergeCell ref="H54:H57"/>
    <mergeCell ref="I54:I57"/>
    <mergeCell ref="J54:J57"/>
    <mergeCell ref="K54:K57"/>
    <mergeCell ref="L52:L53"/>
    <mergeCell ref="M52:M53"/>
    <mergeCell ref="N52:N53"/>
    <mergeCell ref="O52:O53"/>
    <mergeCell ref="P52:P53"/>
    <mergeCell ref="Q52:Q53"/>
    <mergeCell ref="R54:R57"/>
    <mergeCell ref="S54:S57"/>
    <mergeCell ref="T54:T57"/>
    <mergeCell ref="U54:U57"/>
    <mergeCell ref="O54:O57"/>
    <mergeCell ref="P54:P57"/>
    <mergeCell ref="Q54:Q57"/>
    <mergeCell ref="C52:C53"/>
    <mergeCell ref="E52:E53"/>
    <mergeCell ref="B58:B111"/>
    <mergeCell ref="C58:C62"/>
    <mergeCell ref="E58:E62"/>
    <mergeCell ref="H58:H62"/>
    <mergeCell ref="I58:I62"/>
    <mergeCell ref="J58:J62"/>
    <mergeCell ref="L54:L57"/>
    <mergeCell ref="M54:M57"/>
    <mergeCell ref="N54:N57"/>
    <mergeCell ref="C69:C72"/>
    <mergeCell ref="E69:E72"/>
    <mergeCell ref="H69:H72"/>
    <mergeCell ref="I69:I72"/>
    <mergeCell ref="J69:J72"/>
    <mergeCell ref="N63:N68"/>
    <mergeCell ref="C79:C82"/>
    <mergeCell ref="E79:E82"/>
    <mergeCell ref="H79:H82"/>
    <mergeCell ref="I79:I82"/>
    <mergeCell ref="J79:J82"/>
    <mergeCell ref="L73:L78"/>
    <mergeCell ref="M73:M78"/>
    <mergeCell ref="N73:N78"/>
    <mergeCell ref="C86:C88"/>
    <mergeCell ref="Q58:Q62"/>
    <mergeCell ref="R58:R62"/>
    <mergeCell ref="S58:S62"/>
    <mergeCell ref="T58:T62"/>
    <mergeCell ref="U58:U62"/>
    <mergeCell ref="C63:C68"/>
    <mergeCell ref="E63:E68"/>
    <mergeCell ref="H63:H68"/>
    <mergeCell ref="I63:I68"/>
    <mergeCell ref="J63:J68"/>
    <mergeCell ref="K58:K62"/>
    <mergeCell ref="L58:L62"/>
    <mergeCell ref="M58:M62"/>
    <mergeCell ref="N58:N62"/>
    <mergeCell ref="O58:O62"/>
    <mergeCell ref="P58:P62"/>
    <mergeCell ref="Q63:Q68"/>
    <mergeCell ref="R63:R68"/>
    <mergeCell ref="S63:S68"/>
    <mergeCell ref="T63:T68"/>
    <mergeCell ref="U63:U68"/>
    <mergeCell ref="K63:K68"/>
    <mergeCell ref="L63:L68"/>
    <mergeCell ref="M63:M68"/>
    <mergeCell ref="O63:O68"/>
    <mergeCell ref="P63:P68"/>
    <mergeCell ref="Q69:Q72"/>
    <mergeCell ref="R69:R72"/>
    <mergeCell ref="S69:S72"/>
    <mergeCell ref="T69:T72"/>
    <mergeCell ref="U69:U72"/>
    <mergeCell ref="C73:C78"/>
    <mergeCell ref="E73:E78"/>
    <mergeCell ref="H73:H78"/>
    <mergeCell ref="I73:I78"/>
    <mergeCell ref="J73:J78"/>
    <mergeCell ref="K69:K72"/>
    <mergeCell ref="L69:L72"/>
    <mergeCell ref="M69:M72"/>
    <mergeCell ref="N69:N72"/>
    <mergeCell ref="O69:O72"/>
    <mergeCell ref="P69:P72"/>
    <mergeCell ref="Q73:Q78"/>
    <mergeCell ref="R73:R78"/>
    <mergeCell ref="S73:S78"/>
    <mergeCell ref="T73:T78"/>
    <mergeCell ref="U73:U78"/>
    <mergeCell ref="K73:K78"/>
    <mergeCell ref="C83:C85"/>
    <mergeCell ref="E83:E85"/>
    <mergeCell ref="H83:H85"/>
    <mergeCell ref="I83:I85"/>
    <mergeCell ref="J83:J85"/>
    <mergeCell ref="K79:K82"/>
    <mergeCell ref="L79:L82"/>
    <mergeCell ref="M79:M82"/>
    <mergeCell ref="N79:N82"/>
    <mergeCell ref="K83:K85"/>
    <mergeCell ref="L83:L85"/>
    <mergeCell ref="M83:M85"/>
    <mergeCell ref="N83:N85"/>
    <mergeCell ref="O83:O85"/>
    <mergeCell ref="O73:O78"/>
    <mergeCell ref="P73:P78"/>
    <mergeCell ref="Q79:Q82"/>
    <mergeCell ref="R79:R82"/>
    <mergeCell ref="R86:R88"/>
    <mergeCell ref="S86:S88"/>
    <mergeCell ref="T86:T88"/>
    <mergeCell ref="U86:U88"/>
    <mergeCell ref="O86:O88"/>
    <mergeCell ref="P86:P88"/>
    <mergeCell ref="S79:S82"/>
    <mergeCell ref="T79:T82"/>
    <mergeCell ref="U79:U82"/>
    <mergeCell ref="O79:O82"/>
    <mergeCell ref="P79:P82"/>
    <mergeCell ref="Q83:Q85"/>
    <mergeCell ref="R83:R85"/>
    <mergeCell ref="S83:S85"/>
    <mergeCell ref="T83:T85"/>
    <mergeCell ref="U83:U85"/>
    <mergeCell ref="P83:P85"/>
    <mergeCell ref="R89:R91"/>
    <mergeCell ref="S89:S91"/>
    <mergeCell ref="T89:T91"/>
    <mergeCell ref="U89:U91"/>
    <mergeCell ref="O89:O91"/>
    <mergeCell ref="P89:P91"/>
    <mergeCell ref="E86:E88"/>
    <mergeCell ref="H86:H88"/>
    <mergeCell ref="C89:C91"/>
    <mergeCell ref="E89:E91"/>
    <mergeCell ref="H89:H91"/>
    <mergeCell ref="I89:I91"/>
    <mergeCell ref="J89:J91"/>
    <mergeCell ref="K86:K88"/>
    <mergeCell ref="L86:L88"/>
    <mergeCell ref="M86:M88"/>
    <mergeCell ref="N86:N88"/>
    <mergeCell ref="H92:H94"/>
    <mergeCell ref="I92:I94"/>
    <mergeCell ref="J92:J94"/>
    <mergeCell ref="K89:K91"/>
    <mergeCell ref="L89:L91"/>
    <mergeCell ref="M89:M91"/>
    <mergeCell ref="N89:N91"/>
    <mergeCell ref="Q86:Q88"/>
    <mergeCell ref="I86:I88"/>
    <mergeCell ref="J86:J88"/>
    <mergeCell ref="Q92:Q94"/>
    <mergeCell ref="Q89:Q91"/>
    <mergeCell ref="R92:R94"/>
    <mergeCell ref="S92:S94"/>
    <mergeCell ref="T92:T94"/>
    <mergeCell ref="U92:U94"/>
    <mergeCell ref="C95:C97"/>
    <mergeCell ref="E95:E97"/>
    <mergeCell ref="H95:H97"/>
    <mergeCell ref="I95:I97"/>
    <mergeCell ref="J95:J97"/>
    <mergeCell ref="K92:K94"/>
    <mergeCell ref="L92:L94"/>
    <mergeCell ref="M92:M94"/>
    <mergeCell ref="N92:N94"/>
    <mergeCell ref="O92:O94"/>
    <mergeCell ref="P92:P94"/>
    <mergeCell ref="Q95:Q97"/>
    <mergeCell ref="R95:R97"/>
    <mergeCell ref="S95:S97"/>
    <mergeCell ref="T95:T97"/>
    <mergeCell ref="U95:U97"/>
    <mergeCell ref="O95:O97"/>
    <mergeCell ref="P95:P97"/>
    <mergeCell ref="C92:C94"/>
    <mergeCell ref="E92:E94"/>
    <mergeCell ref="E98:E100"/>
    <mergeCell ref="H98:H100"/>
    <mergeCell ref="I98:I100"/>
    <mergeCell ref="J98:J100"/>
    <mergeCell ref="K95:K97"/>
    <mergeCell ref="L95:L97"/>
    <mergeCell ref="M95:M97"/>
    <mergeCell ref="N95:N97"/>
    <mergeCell ref="M101:M104"/>
    <mergeCell ref="N101:N104"/>
    <mergeCell ref="Q98:Q100"/>
    <mergeCell ref="R98:R100"/>
    <mergeCell ref="S98:S100"/>
    <mergeCell ref="T98:T100"/>
    <mergeCell ref="U98:U100"/>
    <mergeCell ref="C101:C104"/>
    <mergeCell ref="E101:E104"/>
    <mergeCell ref="H101:H104"/>
    <mergeCell ref="I101:I104"/>
    <mergeCell ref="J101:J104"/>
    <mergeCell ref="K98:K100"/>
    <mergeCell ref="L98:L100"/>
    <mergeCell ref="M98:M100"/>
    <mergeCell ref="N98:N100"/>
    <mergeCell ref="O98:O100"/>
    <mergeCell ref="P98:P100"/>
    <mergeCell ref="Q101:Q104"/>
    <mergeCell ref="R101:R104"/>
    <mergeCell ref="S101:S104"/>
    <mergeCell ref="T101:T104"/>
    <mergeCell ref="U101:U104"/>
    <mergeCell ref="O101:O104"/>
    <mergeCell ref="P101:P104"/>
    <mergeCell ref="C98:C100"/>
    <mergeCell ref="S105:S108"/>
    <mergeCell ref="T105:T108"/>
    <mergeCell ref="U105:U108"/>
    <mergeCell ref="C109:C111"/>
    <mergeCell ref="E109:E111"/>
    <mergeCell ref="H109:H111"/>
    <mergeCell ref="I109:I111"/>
    <mergeCell ref="J109:J111"/>
    <mergeCell ref="K105:K108"/>
    <mergeCell ref="L105:L108"/>
    <mergeCell ref="M105:M108"/>
    <mergeCell ref="N105:N108"/>
    <mergeCell ref="O105:O108"/>
    <mergeCell ref="P105:P108"/>
    <mergeCell ref="Q109:Q111"/>
    <mergeCell ref="R109:R111"/>
    <mergeCell ref="S109:S111"/>
    <mergeCell ref="T109:T111"/>
    <mergeCell ref="U109:U111"/>
    <mergeCell ref="O109:O111"/>
    <mergeCell ref="P109:P111"/>
    <mergeCell ref="C105:C108"/>
    <mergeCell ref="E105:E108"/>
    <mergeCell ref="H105:H108"/>
    <mergeCell ref="R121:R127"/>
    <mergeCell ref="A112:A120"/>
    <mergeCell ref="H112:H120"/>
    <mergeCell ref="I112:I120"/>
    <mergeCell ref="J112:J120"/>
    <mergeCell ref="K112:K120"/>
    <mergeCell ref="K109:K111"/>
    <mergeCell ref="L109:L111"/>
    <mergeCell ref="M109:M111"/>
    <mergeCell ref="N109:N111"/>
    <mergeCell ref="A2:A111"/>
    <mergeCell ref="B2:B11"/>
    <mergeCell ref="C2:C6"/>
    <mergeCell ref="E2:E6"/>
    <mergeCell ref="H2:H6"/>
    <mergeCell ref="I2:I6"/>
    <mergeCell ref="C7:C11"/>
    <mergeCell ref="E7:E11"/>
    <mergeCell ref="Q105:Q108"/>
    <mergeCell ref="R105:R108"/>
    <mergeCell ref="I105:I108"/>
    <mergeCell ref="J105:J108"/>
    <mergeCell ref="K101:K104"/>
    <mergeCell ref="L101:L104"/>
    <mergeCell ref="M121:M127"/>
    <mergeCell ref="N121:N127"/>
    <mergeCell ref="R112:R120"/>
    <mergeCell ref="S112:S120"/>
    <mergeCell ref="T112:T120"/>
    <mergeCell ref="U112:U120"/>
    <mergeCell ref="A121:A127"/>
    <mergeCell ref="H121:H127"/>
    <mergeCell ref="I121:I127"/>
    <mergeCell ref="J121:J127"/>
    <mergeCell ref="K121:K127"/>
    <mergeCell ref="L121:L127"/>
    <mergeCell ref="L112:L120"/>
    <mergeCell ref="M112:M120"/>
    <mergeCell ref="N112:N120"/>
    <mergeCell ref="O112:O120"/>
    <mergeCell ref="P112:P120"/>
    <mergeCell ref="Q112:Q120"/>
    <mergeCell ref="S121:S127"/>
    <mergeCell ref="T121:T127"/>
    <mergeCell ref="U121:U127"/>
    <mergeCell ref="O121:O127"/>
    <mergeCell ref="P121:P127"/>
    <mergeCell ref="Q121:Q127"/>
    <mergeCell ref="T128:T133"/>
    <mergeCell ref="U128:U133"/>
    <mergeCell ref="A134:A145"/>
    <mergeCell ref="N128:N133"/>
    <mergeCell ref="O128:O133"/>
    <mergeCell ref="P128:P133"/>
    <mergeCell ref="Q128:Q133"/>
    <mergeCell ref="R128:R133"/>
    <mergeCell ref="S128:S133"/>
    <mergeCell ref="A128:A133"/>
    <mergeCell ref="H128:H133"/>
    <mergeCell ref="I128:I133"/>
    <mergeCell ref="J128:J133"/>
    <mergeCell ref="K128:K133"/>
    <mergeCell ref="L128:L133"/>
    <mergeCell ref="M128:M133"/>
  </mergeCells>
  <pageMargins left="0.7" right="0.7" top="0.78740157499999996" bottom="0.78740157499999996"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4F382-BE39-44B7-83A8-FB1FAF69E07D}">
  <sheetPr>
    <tabColor rgb="FFFF0000"/>
  </sheetPr>
  <dimension ref="A1:AP32"/>
  <sheetViews>
    <sheetView topLeftCell="A3" zoomScaleNormal="100" workbookViewId="0">
      <selection activeCell="AE30" sqref="AE30"/>
    </sheetView>
  </sheetViews>
  <sheetFormatPr baseColWidth="10" defaultColWidth="11.3984375" defaultRowHeight="12.75" x14ac:dyDescent="0.35"/>
  <cols>
    <col min="1" max="1" width="24.3984375" customWidth="1"/>
    <col min="2" max="2" width="39" customWidth="1"/>
    <col min="3" max="3" width="31" hidden="1" customWidth="1"/>
    <col min="4" max="36" width="4" customWidth="1"/>
    <col min="37" max="42" width="2.3984375" hidden="1" customWidth="1"/>
  </cols>
  <sheetData>
    <row r="1" spans="1:42" ht="12.6" hidden="1" customHeight="1" x14ac:dyDescent="0.4">
      <c r="C1" s="107" t="s">
        <v>98</v>
      </c>
      <c r="D1" s="410" t="s">
        <v>120</v>
      </c>
      <c r="E1" s="410"/>
      <c r="F1" s="411" t="s">
        <v>129</v>
      </c>
      <c r="G1" s="411"/>
      <c r="H1" s="411"/>
      <c r="I1" s="411"/>
      <c r="J1" s="411"/>
      <c r="K1" s="411"/>
      <c r="L1" s="410" t="s">
        <v>154</v>
      </c>
      <c r="M1" s="410"/>
      <c r="N1" s="410"/>
      <c r="O1" s="410"/>
      <c r="P1" s="410"/>
      <c r="Q1" s="410"/>
      <c r="R1" s="410"/>
      <c r="S1" s="410"/>
      <c r="T1" s="410" t="s">
        <v>187</v>
      </c>
      <c r="U1" s="410"/>
      <c r="V1" s="410"/>
      <c r="W1" s="410"/>
      <c r="X1" s="410"/>
      <c r="Y1" s="410"/>
      <c r="Z1" s="410"/>
      <c r="AA1" s="410"/>
      <c r="AB1" s="410"/>
      <c r="AC1" s="410"/>
      <c r="AD1" s="410"/>
      <c r="AE1" s="410"/>
      <c r="AF1" s="410"/>
      <c r="AG1" s="410"/>
      <c r="AH1" s="89"/>
      <c r="AI1" s="90"/>
      <c r="AJ1" s="90"/>
      <c r="AK1" s="90"/>
      <c r="AL1" s="90"/>
      <c r="AM1" s="90"/>
      <c r="AN1" s="90"/>
      <c r="AO1" s="90"/>
      <c r="AP1" s="91"/>
    </row>
    <row r="2" spans="1:42" ht="12.6" hidden="1" customHeight="1" thickBot="1" x14ac:dyDescent="0.55000000000000004">
      <c r="C2" s="107"/>
      <c r="D2" s="92" t="s">
        <v>121</v>
      </c>
      <c r="E2" s="93" t="s">
        <v>125</v>
      </c>
      <c r="F2" s="94" t="s">
        <v>130</v>
      </c>
      <c r="G2" s="95" t="s">
        <v>134</v>
      </c>
      <c r="H2" s="95" t="s">
        <v>138</v>
      </c>
      <c r="I2" s="95" t="s">
        <v>142</v>
      </c>
      <c r="J2" s="95" t="s">
        <v>146</v>
      </c>
      <c r="K2" s="95" t="s">
        <v>150</v>
      </c>
      <c r="L2" s="92" t="s">
        <v>155</v>
      </c>
      <c r="M2" s="93" t="s">
        <v>159</v>
      </c>
      <c r="N2" s="93" t="s">
        <v>163</v>
      </c>
      <c r="O2" s="93" t="s">
        <v>167</v>
      </c>
      <c r="P2" s="93" t="s">
        <v>171</v>
      </c>
      <c r="Q2" s="93" t="s">
        <v>175</v>
      </c>
      <c r="R2" s="93" t="s">
        <v>179</v>
      </c>
      <c r="S2" s="93" t="s">
        <v>183</v>
      </c>
      <c r="T2" s="104" t="s">
        <v>188</v>
      </c>
      <c r="U2" s="105" t="s">
        <v>192</v>
      </c>
      <c r="V2" s="104" t="s">
        <v>199</v>
      </c>
      <c r="W2" s="104" t="s">
        <v>203</v>
      </c>
      <c r="X2" s="104" t="s">
        <v>207</v>
      </c>
      <c r="Y2" s="104" t="s">
        <v>211</v>
      </c>
      <c r="Z2" s="105" t="s">
        <v>215</v>
      </c>
      <c r="AA2" s="104" t="s">
        <v>221</v>
      </c>
      <c r="AB2" s="104" t="s">
        <v>227</v>
      </c>
      <c r="AC2" s="104" t="s">
        <v>233</v>
      </c>
      <c r="AD2" s="104" t="s">
        <v>240</v>
      </c>
      <c r="AE2" s="104" t="s">
        <v>246</v>
      </c>
      <c r="AF2" s="104" t="s">
        <v>253</v>
      </c>
      <c r="AG2" s="104" t="s">
        <v>259</v>
      </c>
      <c r="AH2" s="96"/>
      <c r="AI2" s="97"/>
      <c r="AJ2" s="97"/>
      <c r="AK2" s="97"/>
      <c r="AL2" s="97"/>
      <c r="AM2" s="97"/>
      <c r="AN2" s="97"/>
      <c r="AO2" s="97"/>
      <c r="AP2" s="98"/>
    </row>
    <row r="3" spans="1:42" ht="12.6" customHeight="1" thickBot="1" x14ac:dyDescent="0.55000000000000004">
      <c r="C3" s="107"/>
      <c r="D3" s="104"/>
      <c r="E3" s="104"/>
      <c r="F3" s="110"/>
      <c r="G3" s="110"/>
      <c r="H3" s="110"/>
      <c r="I3" s="110"/>
      <c r="J3" s="110"/>
      <c r="K3" s="110"/>
      <c r="L3" s="104"/>
      <c r="M3" s="104"/>
      <c r="N3" s="104"/>
      <c r="O3" s="104"/>
      <c r="P3" s="104"/>
      <c r="Q3" s="104"/>
      <c r="R3" s="104"/>
      <c r="S3" s="104"/>
      <c r="T3" s="104"/>
      <c r="U3" s="105"/>
      <c r="V3" s="104"/>
      <c r="W3" s="104"/>
      <c r="X3" s="104"/>
      <c r="Y3" s="104"/>
      <c r="Z3" s="105"/>
      <c r="AA3" s="104"/>
      <c r="AB3" s="104"/>
      <c r="AC3" s="104"/>
      <c r="AD3" s="104"/>
      <c r="AE3" s="104"/>
      <c r="AF3" s="104"/>
      <c r="AG3" s="104"/>
      <c r="AH3" s="96"/>
      <c r="AI3" s="97"/>
      <c r="AJ3" s="97"/>
      <c r="AK3" s="97"/>
      <c r="AL3" s="97"/>
      <c r="AM3" s="97"/>
      <c r="AN3" s="97"/>
      <c r="AO3" s="97"/>
      <c r="AP3" s="98"/>
    </row>
    <row r="4" spans="1:42" ht="12.6" hidden="1" customHeight="1" thickBot="1" x14ac:dyDescent="0.55000000000000004">
      <c r="C4" s="107" t="s">
        <v>99</v>
      </c>
      <c r="D4" s="99" t="s">
        <v>122</v>
      </c>
      <c r="E4" s="99" t="s">
        <v>126</v>
      </c>
      <c r="F4" s="99" t="s">
        <v>131</v>
      </c>
      <c r="G4" s="99" t="s">
        <v>135</v>
      </c>
      <c r="H4" s="99" t="s">
        <v>139</v>
      </c>
      <c r="I4" s="99" t="s">
        <v>143</v>
      </c>
      <c r="J4" s="99" t="s">
        <v>147</v>
      </c>
      <c r="K4" s="99" t="s">
        <v>151</v>
      </c>
      <c r="L4" s="99" t="s">
        <v>156</v>
      </c>
      <c r="M4" s="99" t="s">
        <v>160</v>
      </c>
      <c r="N4" s="99" t="s">
        <v>164</v>
      </c>
      <c r="O4" s="99" t="s">
        <v>168</v>
      </c>
      <c r="P4" s="99" t="s">
        <v>172</v>
      </c>
      <c r="Q4" s="99" t="s">
        <v>176</v>
      </c>
      <c r="R4" s="99" t="s">
        <v>180</v>
      </c>
      <c r="S4" s="99" t="s">
        <v>184</v>
      </c>
      <c r="T4" s="100" t="s">
        <v>189</v>
      </c>
      <c r="U4" s="101" t="s">
        <v>193</v>
      </c>
      <c r="V4" s="101" t="s">
        <v>200</v>
      </c>
      <c r="W4" s="100" t="s">
        <v>204</v>
      </c>
      <c r="X4" s="100" t="s">
        <v>208</v>
      </c>
      <c r="Y4" s="100" t="s">
        <v>212</v>
      </c>
      <c r="Z4" s="102" t="s">
        <v>216</v>
      </c>
      <c r="AA4" s="102" t="s">
        <v>222</v>
      </c>
      <c r="AB4" s="102" t="s">
        <v>228</v>
      </c>
      <c r="AC4" s="102" t="s">
        <v>234</v>
      </c>
      <c r="AD4" s="102" t="s">
        <v>241</v>
      </c>
      <c r="AE4" s="100" t="s">
        <v>247</v>
      </c>
      <c r="AF4" s="102" t="s">
        <v>254</v>
      </c>
      <c r="AG4" s="102" t="s">
        <v>260</v>
      </c>
      <c r="AH4" s="103"/>
      <c r="AI4" s="100"/>
      <c r="AJ4" s="100"/>
      <c r="AK4" s="100"/>
      <c r="AL4" s="100"/>
      <c r="AM4" s="100"/>
      <c r="AN4" s="100"/>
      <c r="AO4" s="100"/>
      <c r="AP4" s="100"/>
    </row>
    <row r="5" spans="1:42" ht="220.5" customHeight="1" thickBot="1" x14ac:dyDescent="0.45">
      <c r="A5" s="372" t="s">
        <v>708</v>
      </c>
      <c r="B5" s="438"/>
      <c r="C5" s="107" t="s">
        <v>100</v>
      </c>
      <c r="D5" s="112" t="s">
        <v>123</v>
      </c>
      <c r="E5" s="113" t="s">
        <v>127</v>
      </c>
      <c r="F5" s="126" t="s">
        <v>132</v>
      </c>
      <c r="G5" s="113" t="s">
        <v>136</v>
      </c>
      <c r="H5" s="113" t="s">
        <v>140</v>
      </c>
      <c r="I5" s="113" t="s">
        <v>144</v>
      </c>
      <c r="J5" s="113" t="s">
        <v>148</v>
      </c>
      <c r="K5" s="113" t="s">
        <v>152</v>
      </c>
      <c r="L5" s="139" t="s">
        <v>157</v>
      </c>
      <c r="M5" s="113" t="s">
        <v>161</v>
      </c>
      <c r="N5" s="113" t="s">
        <v>288</v>
      </c>
      <c r="O5" s="113" t="s">
        <v>169</v>
      </c>
      <c r="P5" s="113" t="s">
        <v>173</v>
      </c>
      <c r="Q5" s="113" t="s">
        <v>177</v>
      </c>
      <c r="R5" s="113" t="s">
        <v>181</v>
      </c>
      <c r="S5" s="113" t="s">
        <v>185</v>
      </c>
      <c r="T5" s="112" t="s">
        <v>190</v>
      </c>
      <c r="U5" s="113" t="s">
        <v>194</v>
      </c>
      <c r="V5" s="113" t="s">
        <v>201</v>
      </c>
      <c r="W5" s="113" t="s">
        <v>205</v>
      </c>
      <c r="X5" s="113" t="s">
        <v>209</v>
      </c>
      <c r="Y5" s="113" t="s">
        <v>213</v>
      </c>
      <c r="Z5" s="113" t="s">
        <v>217</v>
      </c>
      <c r="AA5" s="113" t="s">
        <v>223</v>
      </c>
      <c r="AB5" s="113" t="s">
        <v>229</v>
      </c>
      <c r="AC5" s="113" t="s">
        <v>235</v>
      </c>
      <c r="AD5" s="113" t="s">
        <v>242</v>
      </c>
      <c r="AE5" s="113" t="s">
        <v>248</v>
      </c>
      <c r="AF5" s="113" t="s">
        <v>255</v>
      </c>
      <c r="AG5" s="113" t="s">
        <v>261</v>
      </c>
      <c r="AH5" s="132" t="s">
        <v>264</v>
      </c>
      <c r="AI5" s="130" t="s">
        <v>266</v>
      </c>
      <c r="AJ5" s="131" t="s">
        <v>289</v>
      </c>
      <c r="AK5" s="420" t="s">
        <v>709</v>
      </c>
      <c r="AL5" s="421"/>
      <c r="AM5" s="421"/>
      <c r="AN5" s="421"/>
      <c r="AO5" s="421"/>
      <c r="AP5" s="422"/>
    </row>
    <row r="6" spans="1:42" ht="217.35" hidden="1" customHeight="1" thickBot="1" x14ac:dyDescent="0.45">
      <c r="C6" s="107" t="s">
        <v>101</v>
      </c>
      <c r="D6" s="115" t="s">
        <v>124</v>
      </c>
      <c r="E6" s="115" t="s">
        <v>128</v>
      </c>
      <c r="F6" s="111" t="s">
        <v>133</v>
      </c>
      <c r="G6" s="111" t="s">
        <v>137</v>
      </c>
      <c r="H6" s="115" t="s">
        <v>141</v>
      </c>
      <c r="I6" s="115" t="s">
        <v>145</v>
      </c>
      <c r="J6" s="115" t="s">
        <v>149</v>
      </c>
      <c r="K6" s="115" t="s">
        <v>153</v>
      </c>
      <c r="L6" s="117" t="s">
        <v>158</v>
      </c>
      <c r="M6" s="115" t="s">
        <v>162</v>
      </c>
      <c r="N6" s="115" t="s">
        <v>166</v>
      </c>
      <c r="O6" s="115" t="s">
        <v>170</v>
      </c>
      <c r="P6" s="115" t="s">
        <v>174</v>
      </c>
      <c r="Q6" s="115" t="s">
        <v>178</v>
      </c>
      <c r="R6" s="115" t="s">
        <v>182</v>
      </c>
      <c r="S6" s="115" t="s">
        <v>186</v>
      </c>
      <c r="T6" s="115" t="s">
        <v>191</v>
      </c>
      <c r="U6" s="115" t="s">
        <v>195</v>
      </c>
      <c r="V6" s="115" t="s">
        <v>202</v>
      </c>
      <c r="W6" s="115" t="s">
        <v>206</v>
      </c>
      <c r="X6" s="115" t="s">
        <v>210</v>
      </c>
      <c r="Y6" s="115" t="s">
        <v>214</v>
      </c>
      <c r="Z6" s="119" t="s">
        <v>218</v>
      </c>
      <c r="AA6" s="117" t="s">
        <v>224</v>
      </c>
      <c r="AB6" s="117" t="s">
        <v>230</v>
      </c>
      <c r="AC6" s="117" t="s">
        <v>236</v>
      </c>
      <c r="AD6" s="117" t="s">
        <v>243</v>
      </c>
      <c r="AE6" s="115" t="s">
        <v>249</v>
      </c>
      <c r="AF6" s="117" t="s">
        <v>256</v>
      </c>
      <c r="AG6" s="115" t="s">
        <v>262</v>
      </c>
      <c r="AH6" s="115" t="s">
        <v>265</v>
      </c>
      <c r="AI6" s="115" t="s">
        <v>267</v>
      </c>
      <c r="AJ6" s="115" t="s">
        <v>270</v>
      </c>
      <c r="AK6" s="111" t="s">
        <v>282</v>
      </c>
      <c r="AL6" s="111" t="s">
        <v>283</v>
      </c>
      <c r="AM6" s="111" t="s">
        <v>284</v>
      </c>
      <c r="AN6" s="111" t="s">
        <v>285</v>
      </c>
      <c r="AO6" s="111" t="s">
        <v>286</v>
      </c>
      <c r="AP6" s="122" t="s">
        <v>809</v>
      </c>
    </row>
    <row r="7" spans="1:42" ht="15.6" customHeight="1" x14ac:dyDescent="0.35">
      <c r="A7" s="392" t="s">
        <v>13</v>
      </c>
      <c r="B7" s="86" t="s">
        <v>14</v>
      </c>
      <c r="C7" s="129"/>
      <c r="D7" s="80">
        <v>1</v>
      </c>
      <c r="E7" s="123">
        <v>1</v>
      </c>
      <c r="F7" s="127">
        <v>3</v>
      </c>
      <c r="G7" s="123">
        <v>1</v>
      </c>
      <c r="H7" s="123">
        <v>1</v>
      </c>
      <c r="I7" s="123">
        <v>1</v>
      </c>
      <c r="J7" s="123">
        <v>1</v>
      </c>
      <c r="K7" s="123">
        <v>1</v>
      </c>
      <c r="L7" s="80">
        <v>3</v>
      </c>
      <c r="M7" s="123">
        <v>1</v>
      </c>
      <c r="N7" s="123">
        <v>1</v>
      </c>
      <c r="O7" s="123">
        <v>1</v>
      </c>
      <c r="P7" s="123">
        <v>0</v>
      </c>
      <c r="Q7" s="123">
        <v>1</v>
      </c>
      <c r="R7" s="123">
        <v>1</v>
      </c>
      <c r="S7" s="123">
        <v>1</v>
      </c>
      <c r="T7" s="80">
        <v>3</v>
      </c>
      <c r="U7" s="123">
        <v>3</v>
      </c>
      <c r="V7" s="123">
        <v>3</v>
      </c>
      <c r="W7" s="123">
        <v>3</v>
      </c>
      <c r="X7" s="123">
        <v>1</v>
      </c>
      <c r="Y7" s="123">
        <v>1</v>
      </c>
      <c r="Z7" s="123">
        <v>3</v>
      </c>
      <c r="AA7" s="123">
        <v>3</v>
      </c>
      <c r="AB7" s="123">
        <v>1</v>
      </c>
      <c r="AC7" s="123">
        <v>3</v>
      </c>
      <c r="AD7" s="123">
        <v>3</v>
      </c>
      <c r="AE7" s="123">
        <v>3</v>
      </c>
      <c r="AF7" s="123">
        <v>3</v>
      </c>
      <c r="AG7" s="123">
        <v>3</v>
      </c>
      <c r="AH7" s="80">
        <v>3</v>
      </c>
      <c r="AI7" s="123">
        <v>0</v>
      </c>
      <c r="AJ7" s="123">
        <v>3</v>
      </c>
      <c r="AK7" s="430"/>
      <c r="AL7" s="347"/>
      <c r="AM7" s="347"/>
      <c r="AN7" s="347"/>
      <c r="AO7" s="347"/>
      <c r="AP7" s="408"/>
    </row>
    <row r="8" spans="1:42" ht="12.6" customHeight="1" x14ac:dyDescent="0.35">
      <c r="A8" s="393"/>
      <c r="B8" s="76" t="s">
        <v>23</v>
      </c>
      <c r="D8" s="81">
        <v>0</v>
      </c>
      <c r="E8" s="75">
        <v>0</v>
      </c>
      <c r="F8" s="71">
        <v>3</v>
      </c>
      <c r="G8" s="75">
        <v>1</v>
      </c>
      <c r="H8" s="75">
        <v>0</v>
      </c>
      <c r="I8" s="75">
        <v>1</v>
      </c>
      <c r="J8" s="75">
        <v>1</v>
      </c>
      <c r="K8" s="75">
        <v>1</v>
      </c>
      <c r="L8" s="81">
        <v>0</v>
      </c>
      <c r="M8" s="75">
        <v>0</v>
      </c>
      <c r="N8" s="75">
        <v>1</v>
      </c>
      <c r="O8" s="75">
        <v>3</v>
      </c>
      <c r="P8" s="75">
        <v>1</v>
      </c>
      <c r="Q8" s="75">
        <v>1</v>
      </c>
      <c r="R8" s="75">
        <v>0</v>
      </c>
      <c r="S8" s="75">
        <v>0</v>
      </c>
      <c r="T8" s="81">
        <v>3</v>
      </c>
      <c r="U8" s="75">
        <v>3</v>
      </c>
      <c r="V8" s="75">
        <v>3</v>
      </c>
      <c r="W8" s="75">
        <v>3</v>
      </c>
      <c r="X8" s="75">
        <v>3</v>
      </c>
      <c r="Y8" s="75">
        <v>3</v>
      </c>
      <c r="Z8" s="75">
        <v>1</v>
      </c>
      <c r="AA8" s="75">
        <v>1</v>
      </c>
      <c r="AB8" s="75">
        <v>1</v>
      </c>
      <c r="AC8" s="75">
        <v>1</v>
      </c>
      <c r="AD8" s="75">
        <v>1</v>
      </c>
      <c r="AE8" s="75">
        <v>1</v>
      </c>
      <c r="AF8" s="75">
        <v>1</v>
      </c>
      <c r="AG8" s="75">
        <v>1</v>
      </c>
      <c r="AH8" s="81">
        <v>3</v>
      </c>
      <c r="AI8" s="75">
        <v>0</v>
      </c>
      <c r="AJ8" s="75">
        <v>3</v>
      </c>
      <c r="AK8" s="385"/>
      <c r="AL8" s="402"/>
      <c r="AM8" s="402"/>
      <c r="AN8" s="402"/>
      <c r="AO8" s="402"/>
      <c r="AP8" s="403"/>
    </row>
    <row r="9" spans="1:42" ht="46.5" customHeight="1" x14ac:dyDescent="0.35">
      <c r="A9" s="393"/>
      <c r="B9" s="77" t="s">
        <v>31</v>
      </c>
      <c r="D9" s="133">
        <v>0</v>
      </c>
      <c r="E9" s="134">
        <v>0</v>
      </c>
      <c r="F9" s="135">
        <v>3</v>
      </c>
      <c r="G9" s="134">
        <v>0</v>
      </c>
      <c r="H9" s="134">
        <v>0</v>
      </c>
      <c r="I9" s="134">
        <v>1</v>
      </c>
      <c r="J9" s="134">
        <v>1</v>
      </c>
      <c r="K9" s="134">
        <v>0</v>
      </c>
      <c r="L9" s="133">
        <v>1</v>
      </c>
      <c r="M9" s="134">
        <v>1</v>
      </c>
      <c r="N9" s="134">
        <v>3</v>
      </c>
      <c r="O9" s="134">
        <v>3</v>
      </c>
      <c r="P9" s="134">
        <v>0</v>
      </c>
      <c r="Q9" s="134">
        <v>0</v>
      </c>
      <c r="R9" s="134">
        <v>0</v>
      </c>
      <c r="S9" s="134">
        <v>0</v>
      </c>
      <c r="T9" s="133">
        <v>3</v>
      </c>
      <c r="U9" s="134">
        <v>3</v>
      </c>
      <c r="V9" s="134">
        <v>3</v>
      </c>
      <c r="W9" s="134">
        <v>3</v>
      </c>
      <c r="X9" s="134">
        <v>3</v>
      </c>
      <c r="Y9" s="134">
        <v>3</v>
      </c>
      <c r="Z9" s="134">
        <v>1</v>
      </c>
      <c r="AA9" s="134">
        <v>1</v>
      </c>
      <c r="AB9" s="134">
        <v>1</v>
      </c>
      <c r="AC9" s="134">
        <v>1</v>
      </c>
      <c r="AD9" s="134">
        <v>1</v>
      </c>
      <c r="AE9" s="134">
        <v>1</v>
      </c>
      <c r="AF9" s="134">
        <v>1</v>
      </c>
      <c r="AG9" s="134">
        <v>1</v>
      </c>
      <c r="AH9" s="133">
        <v>3</v>
      </c>
      <c r="AI9" s="134">
        <v>0</v>
      </c>
      <c r="AJ9" s="134">
        <v>1</v>
      </c>
      <c r="AK9" s="385"/>
      <c r="AL9" s="402"/>
      <c r="AM9" s="402"/>
      <c r="AN9" s="402"/>
      <c r="AO9" s="402"/>
      <c r="AP9" s="403"/>
    </row>
    <row r="10" spans="1:42" ht="16.350000000000001" customHeight="1" thickBot="1" x14ac:dyDescent="0.4">
      <c r="A10" s="394"/>
      <c r="B10" s="88" t="s">
        <v>34</v>
      </c>
      <c r="C10" s="114"/>
      <c r="D10" s="136">
        <v>0</v>
      </c>
      <c r="E10" s="137">
        <v>0</v>
      </c>
      <c r="F10" s="138">
        <v>1</v>
      </c>
      <c r="G10" s="137">
        <v>0</v>
      </c>
      <c r="H10" s="137">
        <v>0</v>
      </c>
      <c r="I10" s="137">
        <v>0</v>
      </c>
      <c r="J10" s="137">
        <v>0</v>
      </c>
      <c r="K10" s="137">
        <v>0</v>
      </c>
      <c r="L10" s="136">
        <v>3</v>
      </c>
      <c r="M10" s="137">
        <v>3</v>
      </c>
      <c r="N10" s="137">
        <v>1</v>
      </c>
      <c r="O10" s="137">
        <v>1</v>
      </c>
      <c r="P10" s="137">
        <v>0</v>
      </c>
      <c r="Q10" s="137">
        <v>0</v>
      </c>
      <c r="R10" s="137">
        <v>0</v>
      </c>
      <c r="S10" s="137">
        <v>0</v>
      </c>
      <c r="T10" s="136">
        <v>3</v>
      </c>
      <c r="U10" s="137">
        <v>3</v>
      </c>
      <c r="V10" s="137">
        <v>3</v>
      </c>
      <c r="W10" s="137">
        <v>3</v>
      </c>
      <c r="X10" s="137">
        <v>3</v>
      </c>
      <c r="Y10" s="137">
        <v>3</v>
      </c>
      <c r="Z10" s="137">
        <v>1</v>
      </c>
      <c r="AA10" s="137">
        <v>1</v>
      </c>
      <c r="AB10" s="137">
        <v>1</v>
      </c>
      <c r="AC10" s="137">
        <v>1</v>
      </c>
      <c r="AD10" s="137">
        <v>1</v>
      </c>
      <c r="AE10" s="137">
        <v>1</v>
      </c>
      <c r="AF10" s="137">
        <v>1</v>
      </c>
      <c r="AG10" s="137">
        <v>1</v>
      </c>
      <c r="AH10" s="136">
        <v>1</v>
      </c>
      <c r="AI10" s="137">
        <v>3</v>
      </c>
      <c r="AJ10" s="137">
        <v>3</v>
      </c>
      <c r="AK10" s="434"/>
      <c r="AL10" s="401"/>
      <c r="AM10" s="401"/>
      <c r="AN10" s="401"/>
      <c r="AO10" s="401"/>
      <c r="AP10" s="431"/>
    </row>
    <row r="11" spans="1:42" ht="12.6" customHeight="1" x14ac:dyDescent="0.35">
      <c r="A11" s="392" t="s">
        <v>36</v>
      </c>
      <c r="B11" s="86" t="s">
        <v>37</v>
      </c>
      <c r="C11" s="129"/>
      <c r="D11" s="80">
        <v>1</v>
      </c>
      <c r="E11" s="123">
        <v>1</v>
      </c>
      <c r="F11" s="127">
        <v>3</v>
      </c>
      <c r="G11" s="123">
        <v>1</v>
      </c>
      <c r="H11" s="123">
        <v>0</v>
      </c>
      <c r="I11" s="123">
        <v>0</v>
      </c>
      <c r="J11" s="123">
        <v>3</v>
      </c>
      <c r="K11" s="123">
        <v>0</v>
      </c>
      <c r="L11" s="80">
        <v>1</v>
      </c>
      <c r="M11" s="123">
        <v>1</v>
      </c>
      <c r="N11" s="123">
        <v>0</v>
      </c>
      <c r="O11" s="123">
        <v>1</v>
      </c>
      <c r="P11" s="123">
        <v>0</v>
      </c>
      <c r="Q11" s="123">
        <v>1</v>
      </c>
      <c r="R11" s="123">
        <v>0</v>
      </c>
      <c r="S11" s="123">
        <v>3</v>
      </c>
      <c r="T11" s="80">
        <v>3</v>
      </c>
      <c r="U11" s="123">
        <v>3</v>
      </c>
      <c r="V11" s="123">
        <v>3</v>
      </c>
      <c r="W11" s="123">
        <v>1</v>
      </c>
      <c r="X11" s="123">
        <v>0</v>
      </c>
      <c r="Y11" s="123">
        <v>0</v>
      </c>
      <c r="Z11" s="123">
        <v>0</v>
      </c>
      <c r="AA11" s="123">
        <v>0</v>
      </c>
      <c r="AB11" s="123">
        <v>1</v>
      </c>
      <c r="AC11" s="123">
        <v>0</v>
      </c>
      <c r="AD11" s="123">
        <v>1</v>
      </c>
      <c r="AE11" s="123">
        <v>1</v>
      </c>
      <c r="AF11" s="123">
        <v>1</v>
      </c>
      <c r="AG11" s="123">
        <v>1</v>
      </c>
      <c r="AH11" s="80">
        <v>3</v>
      </c>
      <c r="AI11" s="123">
        <v>0</v>
      </c>
      <c r="AJ11" s="123">
        <v>3</v>
      </c>
      <c r="AK11" s="430"/>
      <c r="AL11" s="347"/>
      <c r="AM11" s="347"/>
      <c r="AN11" s="347"/>
      <c r="AO11" s="347"/>
      <c r="AP11" s="408"/>
    </row>
    <row r="12" spans="1:42" ht="12.6" customHeight="1" x14ac:dyDescent="0.35">
      <c r="A12" s="393"/>
      <c r="B12" s="76" t="s">
        <v>46</v>
      </c>
      <c r="D12" s="81">
        <v>0</v>
      </c>
      <c r="E12" s="75">
        <v>0</v>
      </c>
      <c r="F12" s="71">
        <v>3</v>
      </c>
      <c r="G12" s="75">
        <v>1</v>
      </c>
      <c r="H12" s="75">
        <v>0</v>
      </c>
      <c r="I12" s="75">
        <v>0</v>
      </c>
      <c r="J12" s="75">
        <v>3</v>
      </c>
      <c r="K12" s="75">
        <v>1</v>
      </c>
      <c r="L12" s="81">
        <v>1</v>
      </c>
      <c r="M12" s="75">
        <v>1</v>
      </c>
      <c r="N12" s="75">
        <v>0</v>
      </c>
      <c r="O12" s="75">
        <v>0</v>
      </c>
      <c r="P12" s="75">
        <v>0</v>
      </c>
      <c r="Q12" s="75">
        <v>0</v>
      </c>
      <c r="R12" s="75">
        <v>0</v>
      </c>
      <c r="S12" s="75">
        <v>0</v>
      </c>
      <c r="T12" s="81">
        <v>0</v>
      </c>
      <c r="U12" s="75">
        <v>1</v>
      </c>
      <c r="V12" s="75">
        <v>1</v>
      </c>
      <c r="W12" s="75">
        <v>3</v>
      </c>
      <c r="X12" s="75">
        <v>3</v>
      </c>
      <c r="Y12" s="75">
        <v>1</v>
      </c>
      <c r="Z12" s="75">
        <v>1</v>
      </c>
      <c r="AA12" s="75">
        <v>1</v>
      </c>
      <c r="AB12" s="75">
        <v>0</v>
      </c>
      <c r="AC12" s="75">
        <v>0</v>
      </c>
      <c r="AD12" s="75">
        <v>0</v>
      </c>
      <c r="AE12" s="75">
        <v>0</v>
      </c>
      <c r="AF12" s="75">
        <v>0</v>
      </c>
      <c r="AG12" s="75">
        <v>0</v>
      </c>
      <c r="AH12" s="81">
        <v>3</v>
      </c>
      <c r="AI12" s="75">
        <v>0</v>
      </c>
      <c r="AJ12" s="75">
        <v>3</v>
      </c>
      <c r="AK12" s="385"/>
      <c r="AL12" s="402"/>
      <c r="AM12" s="402"/>
      <c r="AN12" s="402"/>
      <c r="AO12" s="402"/>
      <c r="AP12" s="403"/>
    </row>
    <row r="13" spans="1:42" ht="12.6" customHeight="1" x14ac:dyDescent="0.35">
      <c r="A13" s="393"/>
      <c r="B13" s="76" t="s">
        <v>55</v>
      </c>
      <c r="D13" s="81">
        <v>0</v>
      </c>
      <c r="E13" s="75">
        <v>0</v>
      </c>
      <c r="F13" s="71">
        <v>3</v>
      </c>
      <c r="G13" s="75">
        <v>0</v>
      </c>
      <c r="H13" s="75">
        <v>0</v>
      </c>
      <c r="I13" s="75">
        <v>0</v>
      </c>
      <c r="J13" s="75">
        <v>0</v>
      </c>
      <c r="K13" s="75">
        <v>0</v>
      </c>
      <c r="L13" s="81">
        <v>1</v>
      </c>
      <c r="M13" s="75">
        <v>1</v>
      </c>
      <c r="N13" s="75">
        <v>0</v>
      </c>
      <c r="O13" s="75">
        <v>0</v>
      </c>
      <c r="P13" s="75">
        <v>0</v>
      </c>
      <c r="Q13" s="75">
        <v>0</v>
      </c>
      <c r="R13" s="75">
        <v>0</v>
      </c>
      <c r="S13" s="75">
        <v>0</v>
      </c>
      <c r="T13" s="81">
        <v>1</v>
      </c>
      <c r="U13" s="75">
        <v>1</v>
      </c>
      <c r="V13" s="75">
        <v>1</v>
      </c>
      <c r="W13" s="75">
        <v>1</v>
      </c>
      <c r="X13" s="75">
        <v>0</v>
      </c>
      <c r="Y13" s="75">
        <v>0</v>
      </c>
      <c r="Z13" s="75">
        <v>0</v>
      </c>
      <c r="AA13" s="75">
        <v>3</v>
      </c>
      <c r="AB13" s="75">
        <v>3</v>
      </c>
      <c r="AC13" s="75">
        <v>0</v>
      </c>
      <c r="AD13" s="75">
        <v>3</v>
      </c>
      <c r="AE13" s="75">
        <v>0</v>
      </c>
      <c r="AF13" s="75">
        <v>0</v>
      </c>
      <c r="AG13" s="75">
        <v>0</v>
      </c>
      <c r="AH13" s="81">
        <v>3</v>
      </c>
      <c r="AI13" s="75">
        <v>0</v>
      </c>
      <c r="AJ13" s="75">
        <v>3</v>
      </c>
      <c r="AK13" s="385"/>
      <c r="AL13" s="402"/>
      <c r="AM13" s="402"/>
      <c r="AN13" s="402"/>
      <c r="AO13" s="402"/>
      <c r="AP13" s="403"/>
    </row>
    <row r="14" spans="1:42" ht="12.6" customHeight="1" x14ac:dyDescent="0.35">
      <c r="A14" s="393"/>
      <c r="B14" s="76" t="s">
        <v>64</v>
      </c>
      <c r="D14" s="81">
        <v>0</v>
      </c>
      <c r="E14" s="75">
        <v>0</v>
      </c>
      <c r="F14" s="71">
        <v>3</v>
      </c>
      <c r="G14" s="75">
        <v>0</v>
      </c>
      <c r="H14" s="75">
        <v>0</v>
      </c>
      <c r="I14" s="75">
        <v>0</v>
      </c>
      <c r="J14" s="75">
        <v>0</v>
      </c>
      <c r="K14" s="75">
        <v>0</v>
      </c>
      <c r="L14" s="81">
        <v>1</v>
      </c>
      <c r="M14" s="75">
        <v>1</v>
      </c>
      <c r="N14" s="75">
        <v>0</v>
      </c>
      <c r="O14" s="75">
        <v>0</v>
      </c>
      <c r="P14" s="75">
        <v>0</v>
      </c>
      <c r="Q14" s="75">
        <v>0</v>
      </c>
      <c r="R14" s="75">
        <v>0</v>
      </c>
      <c r="S14" s="75">
        <v>0</v>
      </c>
      <c r="T14" s="81">
        <v>0</v>
      </c>
      <c r="U14" s="75">
        <v>0</v>
      </c>
      <c r="V14" s="75">
        <v>0</v>
      </c>
      <c r="W14" s="75">
        <v>0</v>
      </c>
      <c r="X14" s="75">
        <v>0</v>
      </c>
      <c r="Y14" s="75">
        <v>0</v>
      </c>
      <c r="Z14" s="75">
        <v>0</v>
      </c>
      <c r="AA14" s="75">
        <v>1</v>
      </c>
      <c r="AB14" s="75">
        <v>1</v>
      </c>
      <c r="AC14" s="75">
        <v>0</v>
      </c>
      <c r="AD14" s="75">
        <v>1</v>
      </c>
      <c r="AE14" s="75">
        <v>3</v>
      </c>
      <c r="AF14" s="75">
        <v>3</v>
      </c>
      <c r="AG14" s="75">
        <v>3</v>
      </c>
      <c r="AH14" s="81">
        <v>3</v>
      </c>
      <c r="AI14" s="75">
        <v>0</v>
      </c>
      <c r="AJ14" s="75">
        <v>3</v>
      </c>
      <c r="AK14" s="385"/>
      <c r="AL14" s="402"/>
      <c r="AM14" s="402"/>
      <c r="AN14" s="402"/>
      <c r="AO14" s="402"/>
      <c r="AP14" s="403"/>
    </row>
    <row r="15" spans="1:42" ht="13.35" customHeight="1" thickBot="1" x14ac:dyDescent="0.4">
      <c r="A15" s="394"/>
      <c r="B15" s="88" t="s">
        <v>67</v>
      </c>
      <c r="C15" s="114"/>
      <c r="D15" s="124">
        <v>0</v>
      </c>
      <c r="E15" s="125">
        <v>0</v>
      </c>
      <c r="F15" s="128">
        <v>3</v>
      </c>
      <c r="G15" s="125">
        <v>0</v>
      </c>
      <c r="H15" s="125">
        <v>0</v>
      </c>
      <c r="I15" s="125">
        <v>0</v>
      </c>
      <c r="J15" s="125">
        <v>0</v>
      </c>
      <c r="K15" s="125">
        <v>0</v>
      </c>
      <c r="L15" s="124">
        <v>3</v>
      </c>
      <c r="M15" s="125">
        <v>3</v>
      </c>
      <c r="N15" s="125">
        <v>0</v>
      </c>
      <c r="O15" s="125">
        <v>0</v>
      </c>
      <c r="P15" s="125">
        <v>0</v>
      </c>
      <c r="Q15" s="125">
        <v>0</v>
      </c>
      <c r="R15" s="125">
        <v>0</v>
      </c>
      <c r="S15" s="125">
        <v>0</v>
      </c>
      <c r="T15" s="124">
        <v>3</v>
      </c>
      <c r="U15" s="125">
        <v>3</v>
      </c>
      <c r="V15" s="125">
        <v>3</v>
      </c>
      <c r="W15" s="125">
        <v>3</v>
      </c>
      <c r="X15" s="125">
        <v>3</v>
      </c>
      <c r="Y15" s="125">
        <v>3</v>
      </c>
      <c r="Z15" s="125">
        <v>1</v>
      </c>
      <c r="AA15" s="125">
        <v>3</v>
      </c>
      <c r="AB15" s="125">
        <v>3</v>
      </c>
      <c r="AC15" s="125">
        <v>1</v>
      </c>
      <c r="AD15" s="125">
        <v>3</v>
      </c>
      <c r="AE15" s="125">
        <v>1</v>
      </c>
      <c r="AF15" s="125">
        <v>1</v>
      </c>
      <c r="AG15" s="125">
        <v>1</v>
      </c>
      <c r="AH15" s="124">
        <v>3</v>
      </c>
      <c r="AI15" s="125">
        <v>0</v>
      </c>
      <c r="AJ15" s="125">
        <v>3</v>
      </c>
      <c r="AK15" s="434"/>
      <c r="AL15" s="401"/>
      <c r="AM15" s="401"/>
      <c r="AN15" s="401"/>
      <c r="AO15" s="401"/>
      <c r="AP15" s="431"/>
    </row>
    <row r="16" spans="1:42" ht="12.6" customHeight="1" x14ac:dyDescent="0.35">
      <c r="A16" s="389" t="s">
        <v>70</v>
      </c>
      <c r="B16" s="86" t="s">
        <v>71</v>
      </c>
      <c r="C16" s="129"/>
      <c r="D16" s="80">
        <v>1</v>
      </c>
      <c r="E16" s="123">
        <v>1</v>
      </c>
      <c r="F16" s="127">
        <v>1</v>
      </c>
      <c r="G16" s="123">
        <v>1</v>
      </c>
      <c r="H16" s="123">
        <v>1</v>
      </c>
      <c r="I16" s="123">
        <v>1</v>
      </c>
      <c r="J16" s="123">
        <v>1</v>
      </c>
      <c r="K16" s="123">
        <v>1</v>
      </c>
      <c r="L16" s="80">
        <v>3</v>
      </c>
      <c r="M16" s="123">
        <v>3</v>
      </c>
      <c r="N16" s="123">
        <v>1</v>
      </c>
      <c r="O16" s="123">
        <v>1</v>
      </c>
      <c r="P16" s="123">
        <v>1</v>
      </c>
      <c r="Q16" s="123">
        <v>1</v>
      </c>
      <c r="R16" s="123">
        <v>0</v>
      </c>
      <c r="S16" s="123">
        <v>1</v>
      </c>
      <c r="T16" s="80">
        <v>3</v>
      </c>
      <c r="U16" s="123">
        <v>3</v>
      </c>
      <c r="V16" s="123">
        <v>3</v>
      </c>
      <c r="W16" s="123">
        <v>3</v>
      </c>
      <c r="X16" s="123">
        <v>3</v>
      </c>
      <c r="Y16" s="123">
        <v>3</v>
      </c>
      <c r="Z16" s="123">
        <v>1</v>
      </c>
      <c r="AA16" s="123">
        <v>3</v>
      </c>
      <c r="AB16" s="123">
        <v>3</v>
      </c>
      <c r="AC16" s="123">
        <v>1</v>
      </c>
      <c r="AD16" s="123">
        <v>3</v>
      </c>
      <c r="AE16" s="123">
        <v>1</v>
      </c>
      <c r="AF16" s="123">
        <v>1</v>
      </c>
      <c r="AG16" s="123">
        <v>1</v>
      </c>
      <c r="AH16" s="80">
        <v>1</v>
      </c>
      <c r="AI16" s="123">
        <v>3</v>
      </c>
      <c r="AJ16" s="123">
        <v>3</v>
      </c>
      <c r="AK16" s="430"/>
      <c r="AL16" s="347"/>
      <c r="AM16" s="347"/>
      <c r="AN16" s="347"/>
      <c r="AO16" s="347"/>
      <c r="AP16" s="408"/>
    </row>
    <row r="17" spans="1:42" ht="12.6" customHeight="1" x14ac:dyDescent="0.35">
      <c r="A17" s="390"/>
      <c r="B17" s="76" t="s">
        <v>74</v>
      </c>
      <c r="D17" s="81">
        <v>3</v>
      </c>
      <c r="E17" s="75">
        <v>3</v>
      </c>
      <c r="F17" s="71">
        <v>0</v>
      </c>
      <c r="G17" s="75">
        <v>1</v>
      </c>
      <c r="H17" s="75">
        <v>1</v>
      </c>
      <c r="I17" s="75">
        <v>1</v>
      </c>
      <c r="J17" s="75">
        <v>1</v>
      </c>
      <c r="K17" s="75">
        <v>1</v>
      </c>
      <c r="L17" s="81">
        <v>3</v>
      </c>
      <c r="M17" s="75">
        <v>3</v>
      </c>
      <c r="N17" s="75">
        <v>1</v>
      </c>
      <c r="O17" s="75">
        <v>1</v>
      </c>
      <c r="P17" s="75">
        <v>1</v>
      </c>
      <c r="Q17" s="75">
        <v>1</v>
      </c>
      <c r="R17" s="75">
        <v>0</v>
      </c>
      <c r="S17" s="75">
        <v>1</v>
      </c>
      <c r="T17" s="81">
        <v>3</v>
      </c>
      <c r="U17" s="75">
        <v>3</v>
      </c>
      <c r="V17" s="75">
        <v>3</v>
      </c>
      <c r="W17" s="75">
        <v>3</v>
      </c>
      <c r="X17" s="75">
        <v>1</v>
      </c>
      <c r="Y17" s="75">
        <v>1</v>
      </c>
      <c r="Z17" s="75">
        <v>1</v>
      </c>
      <c r="AA17" s="75">
        <v>3</v>
      </c>
      <c r="AB17" s="75">
        <v>1</v>
      </c>
      <c r="AC17" s="75">
        <v>3</v>
      </c>
      <c r="AD17" s="75">
        <v>1</v>
      </c>
      <c r="AE17" s="75">
        <v>1</v>
      </c>
      <c r="AF17" s="75">
        <v>1</v>
      </c>
      <c r="AG17" s="75">
        <v>1</v>
      </c>
      <c r="AH17" s="81">
        <v>3</v>
      </c>
      <c r="AI17" s="75">
        <v>3</v>
      </c>
      <c r="AJ17" s="75">
        <v>3</v>
      </c>
      <c r="AK17" s="385"/>
      <c r="AL17" s="402"/>
      <c r="AM17" s="402"/>
      <c r="AN17" s="402"/>
      <c r="AO17" s="402"/>
      <c r="AP17" s="403"/>
    </row>
    <row r="18" spans="1:42" ht="13.35" customHeight="1" thickBot="1" x14ac:dyDescent="0.4">
      <c r="A18" s="391"/>
      <c r="B18" s="88" t="s">
        <v>77</v>
      </c>
      <c r="C18" s="114"/>
      <c r="D18" s="124">
        <v>0</v>
      </c>
      <c r="E18" s="125">
        <v>0</v>
      </c>
      <c r="F18" s="128">
        <v>0</v>
      </c>
      <c r="G18" s="125">
        <v>1</v>
      </c>
      <c r="H18" s="125">
        <v>3</v>
      </c>
      <c r="I18" s="125">
        <v>1</v>
      </c>
      <c r="J18" s="125">
        <v>1</v>
      </c>
      <c r="K18" s="125">
        <v>1</v>
      </c>
      <c r="L18" s="124">
        <v>3</v>
      </c>
      <c r="M18" s="125">
        <v>3</v>
      </c>
      <c r="N18" s="125">
        <v>1</v>
      </c>
      <c r="O18" s="125">
        <v>1</v>
      </c>
      <c r="P18" s="125">
        <v>1</v>
      </c>
      <c r="Q18" s="125">
        <v>1</v>
      </c>
      <c r="R18" s="125">
        <v>0</v>
      </c>
      <c r="S18" s="125">
        <v>1</v>
      </c>
      <c r="T18" s="124">
        <v>1</v>
      </c>
      <c r="U18" s="125">
        <v>1</v>
      </c>
      <c r="V18" s="125">
        <v>1</v>
      </c>
      <c r="W18" s="125">
        <v>1</v>
      </c>
      <c r="X18" s="125">
        <v>1</v>
      </c>
      <c r="Y18" s="125">
        <v>1</v>
      </c>
      <c r="Z18" s="125">
        <v>1</v>
      </c>
      <c r="AA18" s="125">
        <v>1</v>
      </c>
      <c r="AB18" s="125">
        <v>1</v>
      </c>
      <c r="AC18" s="125">
        <v>0</v>
      </c>
      <c r="AD18" s="125">
        <v>1</v>
      </c>
      <c r="AE18" s="125">
        <v>0</v>
      </c>
      <c r="AF18" s="125">
        <v>0</v>
      </c>
      <c r="AG18" s="125">
        <v>0</v>
      </c>
      <c r="AH18" s="124">
        <v>3</v>
      </c>
      <c r="AI18" s="125">
        <v>3</v>
      </c>
      <c r="AJ18" s="125">
        <v>3</v>
      </c>
      <c r="AK18" s="434"/>
      <c r="AL18" s="401"/>
      <c r="AM18" s="401"/>
      <c r="AN18" s="401"/>
      <c r="AO18" s="401"/>
      <c r="AP18" s="431"/>
    </row>
    <row r="19" spans="1:42" ht="12.6" customHeight="1" x14ac:dyDescent="0.35">
      <c r="A19" s="392" t="s">
        <v>80</v>
      </c>
      <c r="B19" s="86" t="s">
        <v>81</v>
      </c>
      <c r="C19" s="129"/>
      <c r="D19" s="80">
        <v>0</v>
      </c>
      <c r="E19" s="123">
        <v>0</v>
      </c>
      <c r="F19" s="127">
        <v>3</v>
      </c>
      <c r="G19" s="123">
        <v>0</v>
      </c>
      <c r="H19" s="123">
        <v>1</v>
      </c>
      <c r="I19" s="123">
        <v>0</v>
      </c>
      <c r="J19" s="123">
        <v>3</v>
      </c>
      <c r="K19" s="123">
        <v>0</v>
      </c>
      <c r="L19" s="80">
        <v>3</v>
      </c>
      <c r="M19" s="123">
        <v>3</v>
      </c>
      <c r="N19" s="123">
        <v>1</v>
      </c>
      <c r="O19" s="123">
        <v>1</v>
      </c>
      <c r="P19" s="123">
        <v>0</v>
      </c>
      <c r="Q19" s="123">
        <v>0</v>
      </c>
      <c r="R19" s="123">
        <v>3</v>
      </c>
      <c r="S19" s="123">
        <v>3</v>
      </c>
      <c r="T19" s="80">
        <v>1</v>
      </c>
      <c r="U19" s="123">
        <v>1</v>
      </c>
      <c r="V19" s="123">
        <v>1</v>
      </c>
      <c r="W19" s="123">
        <v>1</v>
      </c>
      <c r="X19" s="123">
        <v>0</v>
      </c>
      <c r="Y19" s="123">
        <v>0</v>
      </c>
      <c r="Z19" s="123">
        <v>0</v>
      </c>
      <c r="AA19" s="123">
        <v>0</v>
      </c>
      <c r="AB19" s="123">
        <v>0</v>
      </c>
      <c r="AC19" s="123">
        <v>0</v>
      </c>
      <c r="AD19" s="123">
        <v>0</v>
      </c>
      <c r="AE19" s="123">
        <v>0</v>
      </c>
      <c r="AF19" s="123">
        <v>0</v>
      </c>
      <c r="AG19" s="123">
        <v>0</v>
      </c>
      <c r="AH19" s="80">
        <v>3</v>
      </c>
      <c r="AI19" s="123">
        <v>0</v>
      </c>
      <c r="AJ19" s="123">
        <v>3</v>
      </c>
      <c r="AK19" s="430"/>
      <c r="AL19" s="347"/>
      <c r="AM19" s="347"/>
      <c r="AN19" s="347"/>
      <c r="AO19" s="347"/>
      <c r="AP19" s="408"/>
    </row>
    <row r="20" spans="1:42" ht="12.6" customHeight="1" x14ac:dyDescent="0.35">
      <c r="A20" s="393"/>
      <c r="B20" s="78" t="s">
        <v>90</v>
      </c>
      <c r="D20" s="81">
        <v>0</v>
      </c>
      <c r="E20" s="75">
        <v>0</v>
      </c>
      <c r="F20" s="71">
        <v>3</v>
      </c>
      <c r="G20" s="75">
        <v>1</v>
      </c>
      <c r="H20" s="75">
        <v>3</v>
      </c>
      <c r="I20" s="75">
        <v>0</v>
      </c>
      <c r="J20" s="75">
        <v>0</v>
      </c>
      <c r="K20" s="75">
        <v>0</v>
      </c>
      <c r="L20" s="81">
        <v>1</v>
      </c>
      <c r="M20" s="75">
        <v>1</v>
      </c>
      <c r="N20" s="75">
        <v>3</v>
      </c>
      <c r="O20" s="75">
        <v>3</v>
      </c>
      <c r="P20" s="75">
        <v>0</v>
      </c>
      <c r="Q20" s="75">
        <v>0</v>
      </c>
      <c r="R20" s="75">
        <v>0</v>
      </c>
      <c r="S20" s="75">
        <v>0</v>
      </c>
      <c r="T20" s="81">
        <v>1</v>
      </c>
      <c r="U20" s="75">
        <v>1</v>
      </c>
      <c r="V20" s="75">
        <v>1</v>
      </c>
      <c r="W20" s="75">
        <v>3</v>
      </c>
      <c r="X20" s="75">
        <v>1</v>
      </c>
      <c r="Y20" s="75">
        <v>0</v>
      </c>
      <c r="Z20" s="75">
        <v>0</v>
      </c>
      <c r="AA20" s="75">
        <v>1</v>
      </c>
      <c r="AB20" s="75">
        <v>1</v>
      </c>
      <c r="AC20" s="75">
        <v>0</v>
      </c>
      <c r="AD20" s="75">
        <v>1</v>
      </c>
      <c r="AE20" s="75">
        <v>0</v>
      </c>
      <c r="AF20" s="75">
        <v>0</v>
      </c>
      <c r="AG20" s="75">
        <v>0</v>
      </c>
      <c r="AH20" s="81">
        <v>1</v>
      </c>
      <c r="AI20" s="75">
        <v>0</v>
      </c>
      <c r="AJ20" s="75">
        <v>3</v>
      </c>
      <c r="AK20" s="385"/>
      <c r="AL20" s="402"/>
      <c r="AM20" s="402"/>
      <c r="AN20" s="402"/>
      <c r="AO20" s="402"/>
      <c r="AP20" s="403"/>
    </row>
    <row r="21" spans="1:42" ht="12.6" customHeight="1" x14ac:dyDescent="0.35">
      <c r="A21" s="393"/>
      <c r="B21" s="78" t="s">
        <v>93</v>
      </c>
      <c r="D21" s="81">
        <v>0</v>
      </c>
      <c r="E21" s="75">
        <v>0</v>
      </c>
      <c r="F21" s="71">
        <v>3</v>
      </c>
      <c r="G21" s="75">
        <v>1</v>
      </c>
      <c r="H21" s="75">
        <v>0</v>
      </c>
      <c r="I21" s="75">
        <v>0</v>
      </c>
      <c r="J21" s="75">
        <v>0</v>
      </c>
      <c r="K21" s="75">
        <v>3</v>
      </c>
      <c r="L21" s="81">
        <v>1</v>
      </c>
      <c r="M21" s="75">
        <v>1</v>
      </c>
      <c r="N21" s="75">
        <v>0</v>
      </c>
      <c r="O21" s="75">
        <v>1</v>
      </c>
      <c r="P21" s="75">
        <v>1</v>
      </c>
      <c r="Q21" s="75">
        <v>3</v>
      </c>
      <c r="R21" s="75">
        <v>1</v>
      </c>
      <c r="S21" s="75">
        <v>1</v>
      </c>
      <c r="T21" s="81">
        <v>1</v>
      </c>
      <c r="U21" s="75">
        <v>1</v>
      </c>
      <c r="V21" s="75">
        <v>1</v>
      </c>
      <c r="W21" s="75">
        <v>1</v>
      </c>
      <c r="X21" s="75">
        <v>1</v>
      </c>
      <c r="Y21" s="75">
        <v>1</v>
      </c>
      <c r="Z21" s="75">
        <v>1</v>
      </c>
      <c r="AA21" s="75">
        <v>1</v>
      </c>
      <c r="AB21" s="75">
        <v>1</v>
      </c>
      <c r="AC21" s="75">
        <v>1</v>
      </c>
      <c r="AD21" s="75">
        <v>1</v>
      </c>
      <c r="AE21" s="75">
        <v>1</v>
      </c>
      <c r="AF21" s="75">
        <v>1</v>
      </c>
      <c r="AG21" s="75">
        <v>1</v>
      </c>
      <c r="AH21" s="81">
        <v>1</v>
      </c>
      <c r="AI21" s="75">
        <v>3</v>
      </c>
      <c r="AJ21" s="75">
        <v>3</v>
      </c>
      <c r="AK21" s="385"/>
      <c r="AL21" s="402"/>
      <c r="AM21" s="402"/>
      <c r="AN21" s="402"/>
      <c r="AO21" s="402"/>
      <c r="AP21" s="403"/>
    </row>
    <row r="22" spans="1:42" ht="13.35" customHeight="1" thickBot="1" x14ac:dyDescent="0.4">
      <c r="A22" s="394"/>
      <c r="B22" s="83" t="s">
        <v>96</v>
      </c>
      <c r="C22" s="114"/>
      <c r="D22" s="124">
        <v>0</v>
      </c>
      <c r="E22" s="125">
        <v>0</v>
      </c>
      <c r="F22" s="128">
        <v>3</v>
      </c>
      <c r="G22" s="125">
        <v>1</v>
      </c>
      <c r="H22" s="125">
        <v>0</v>
      </c>
      <c r="I22" s="125">
        <v>0</v>
      </c>
      <c r="J22" s="125">
        <v>0</v>
      </c>
      <c r="K22" s="125">
        <v>0</v>
      </c>
      <c r="L22" s="124">
        <v>0</v>
      </c>
      <c r="M22" s="125">
        <v>0</v>
      </c>
      <c r="N22" s="125">
        <v>0</v>
      </c>
      <c r="O22" s="125">
        <v>0</v>
      </c>
      <c r="P22" s="125">
        <v>3</v>
      </c>
      <c r="Q22" s="125">
        <v>0</v>
      </c>
      <c r="R22" s="125">
        <v>0</v>
      </c>
      <c r="S22" s="125">
        <v>0</v>
      </c>
      <c r="T22" s="124">
        <v>1</v>
      </c>
      <c r="U22" s="125">
        <v>1</v>
      </c>
      <c r="V22" s="125">
        <v>1</v>
      </c>
      <c r="W22" s="125">
        <v>3</v>
      </c>
      <c r="X22" s="125">
        <v>1</v>
      </c>
      <c r="Y22" s="125">
        <v>1</v>
      </c>
      <c r="Z22" s="125">
        <v>1</v>
      </c>
      <c r="AA22" s="125">
        <v>3</v>
      </c>
      <c r="AB22" s="125">
        <v>1</v>
      </c>
      <c r="AC22" s="125">
        <v>1</v>
      </c>
      <c r="AD22" s="125">
        <v>1</v>
      </c>
      <c r="AE22" s="125">
        <v>1</v>
      </c>
      <c r="AF22" s="125">
        <v>1</v>
      </c>
      <c r="AG22" s="125">
        <v>1</v>
      </c>
      <c r="AH22" s="124">
        <v>3</v>
      </c>
      <c r="AI22" s="125">
        <v>0</v>
      </c>
      <c r="AJ22" s="125">
        <v>3</v>
      </c>
      <c r="AK22" s="434"/>
      <c r="AL22" s="401"/>
      <c r="AM22" s="401"/>
      <c r="AN22" s="401"/>
      <c r="AO22" s="401"/>
      <c r="AP22" s="431"/>
    </row>
    <row r="24" spans="1:42" ht="12.75" customHeight="1" x14ac:dyDescent="0.35">
      <c r="D24" s="461" t="s">
        <v>843</v>
      </c>
      <c r="E24" s="461"/>
      <c r="F24" s="461"/>
      <c r="G24" s="461"/>
      <c r="H24" s="461"/>
      <c r="I24" s="461"/>
      <c r="J24" s="461"/>
      <c r="K24" s="461"/>
      <c r="L24" s="461"/>
      <c r="M24" s="461"/>
      <c r="N24" s="461"/>
      <c r="O24" s="461"/>
      <c r="P24" s="461"/>
      <c r="Q24" s="461"/>
      <c r="R24" s="461"/>
      <c r="S24" s="461"/>
      <c r="T24" s="461"/>
      <c r="U24" s="461"/>
      <c r="V24" s="461"/>
      <c r="W24" s="461"/>
      <c r="X24" s="461"/>
      <c r="Y24" s="461"/>
      <c r="Z24" s="461"/>
    </row>
    <row r="25" spans="1:42" ht="12.75" customHeight="1" x14ac:dyDescent="0.35">
      <c r="D25" s="461"/>
      <c r="E25" s="461"/>
      <c r="F25" s="461"/>
      <c r="G25" s="461"/>
      <c r="H25" s="461"/>
      <c r="I25" s="461"/>
      <c r="J25" s="461"/>
      <c r="K25" s="461"/>
      <c r="L25" s="461"/>
      <c r="M25" s="461"/>
      <c r="N25" s="461"/>
      <c r="O25" s="461"/>
      <c r="P25" s="461"/>
      <c r="Q25" s="461"/>
      <c r="R25" s="461"/>
      <c r="S25" s="461"/>
      <c r="T25" s="461"/>
      <c r="U25" s="461"/>
      <c r="V25" s="461"/>
      <c r="W25" s="461"/>
      <c r="X25" s="461"/>
      <c r="Y25" s="461"/>
      <c r="Z25" s="461"/>
    </row>
    <row r="26" spans="1:42" ht="12.75" customHeight="1" x14ac:dyDescent="0.35">
      <c r="D26" s="461"/>
      <c r="E26" s="461"/>
      <c r="F26" s="461"/>
      <c r="G26" s="461"/>
      <c r="H26" s="461"/>
      <c r="I26" s="461"/>
      <c r="J26" s="461"/>
      <c r="K26" s="461"/>
      <c r="L26" s="461"/>
      <c r="M26" s="461"/>
      <c r="N26" s="461"/>
      <c r="O26" s="461"/>
      <c r="P26" s="461"/>
      <c r="Q26" s="461"/>
      <c r="R26" s="461"/>
      <c r="S26" s="461"/>
      <c r="T26" s="461"/>
      <c r="U26" s="461"/>
      <c r="V26" s="461"/>
      <c r="W26" s="461"/>
      <c r="X26" s="461"/>
      <c r="Y26" s="461"/>
      <c r="Z26" s="461"/>
    </row>
    <row r="27" spans="1:42" ht="12.75" customHeight="1" x14ac:dyDescent="0.35">
      <c r="D27" s="461"/>
      <c r="E27" s="461"/>
      <c r="F27" s="461"/>
      <c r="G27" s="461"/>
      <c r="H27" s="461"/>
      <c r="I27" s="461"/>
      <c r="J27" s="461"/>
      <c r="K27" s="461"/>
      <c r="L27" s="461"/>
      <c r="M27" s="461"/>
      <c r="N27" s="461"/>
      <c r="O27" s="461"/>
      <c r="P27" s="461"/>
      <c r="Q27" s="461"/>
      <c r="R27" s="461"/>
      <c r="S27" s="461"/>
      <c r="T27" s="461"/>
      <c r="U27" s="461"/>
      <c r="V27" s="461"/>
      <c r="W27" s="461"/>
      <c r="X27" s="461"/>
      <c r="Y27" s="461"/>
      <c r="Z27" s="461"/>
    </row>
    <row r="28" spans="1:42" ht="12.75" customHeight="1" x14ac:dyDescent="0.35">
      <c r="D28" s="461"/>
      <c r="E28" s="461"/>
      <c r="F28" s="461"/>
      <c r="G28" s="461"/>
      <c r="H28" s="461"/>
      <c r="I28" s="461"/>
      <c r="J28" s="461"/>
      <c r="K28" s="461"/>
      <c r="L28" s="461"/>
      <c r="M28" s="461"/>
      <c r="N28" s="461"/>
      <c r="O28" s="461"/>
      <c r="P28" s="461"/>
      <c r="Q28" s="461"/>
      <c r="R28" s="461"/>
      <c r="S28" s="461"/>
      <c r="T28" s="461"/>
      <c r="U28" s="461"/>
      <c r="V28" s="461"/>
      <c r="W28" s="461"/>
      <c r="X28" s="461"/>
      <c r="Y28" s="461"/>
      <c r="Z28" s="461"/>
    </row>
    <row r="29" spans="1:42" ht="12.75" customHeight="1" x14ac:dyDescent="0.35">
      <c r="D29" s="461"/>
      <c r="E29" s="461"/>
      <c r="F29" s="461"/>
      <c r="G29" s="461"/>
      <c r="H29" s="461"/>
      <c r="I29" s="461"/>
      <c r="J29" s="461"/>
      <c r="K29" s="461"/>
      <c r="L29" s="461"/>
      <c r="M29" s="461"/>
      <c r="N29" s="461"/>
      <c r="O29" s="461"/>
      <c r="P29" s="461"/>
      <c r="Q29" s="461"/>
      <c r="R29" s="461"/>
      <c r="S29" s="461"/>
      <c r="T29" s="461"/>
      <c r="U29" s="461"/>
      <c r="V29" s="461"/>
      <c r="W29" s="461"/>
      <c r="X29" s="461"/>
      <c r="Y29" s="461"/>
      <c r="Z29" s="461"/>
    </row>
    <row r="30" spans="1:42" ht="12.75" customHeight="1" x14ac:dyDescent="0.35">
      <c r="D30" s="461"/>
      <c r="E30" s="461"/>
      <c r="F30" s="461"/>
      <c r="G30" s="461"/>
      <c r="H30" s="461"/>
      <c r="I30" s="461"/>
      <c r="J30" s="461"/>
      <c r="K30" s="461"/>
      <c r="L30" s="461"/>
      <c r="M30" s="461"/>
      <c r="N30" s="461"/>
      <c r="O30" s="461"/>
      <c r="P30" s="461"/>
      <c r="Q30" s="461"/>
      <c r="R30" s="461"/>
      <c r="S30" s="461"/>
      <c r="T30" s="461"/>
      <c r="U30" s="461"/>
      <c r="V30" s="461"/>
      <c r="W30" s="461"/>
      <c r="X30" s="461"/>
      <c r="Y30" s="461"/>
      <c r="Z30" s="461"/>
    </row>
    <row r="31" spans="1:42" ht="12.75" customHeight="1" x14ac:dyDescent="0.35">
      <c r="D31" s="461"/>
      <c r="E31" s="461"/>
      <c r="F31" s="461"/>
      <c r="G31" s="461"/>
      <c r="H31" s="461"/>
      <c r="I31" s="461"/>
      <c r="J31" s="461"/>
      <c r="K31" s="461"/>
      <c r="L31" s="461"/>
      <c r="M31" s="461"/>
      <c r="N31" s="461"/>
      <c r="O31" s="461"/>
      <c r="P31" s="461"/>
      <c r="Q31" s="461"/>
      <c r="R31" s="461"/>
      <c r="S31" s="461"/>
      <c r="T31" s="461"/>
      <c r="U31" s="461"/>
      <c r="V31" s="461"/>
      <c r="W31" s="461"/>
      <c r="X31" s="461"/>
      <c r="Y31" s="461"/>
      <c r="Z31" s="461"/>
    </row>
    <row r="32" spans="1:42" ht="12.75" customHeight="1" x14ac:dyDescent="0.35">
      <c r="D32" s="461"/>
      <c r="E32" s="461"/>
      <c r="F32" s="461"/>
      <c r="G32" s="461"/>
      <c r="H32" s="461"/>
      <c r="I32" s="461"/>
      <c r="J32" s="461"/>
      <c r="K32" s="461"/>
      <c r="L32" s="461"/>
      <c r="M32" s="461"/>
      <c r="N32" s="461"/>
      <c r="O32" s="461"/>
      <c r="P32" s="461"/>
      <c r="Q32" s="461"/>
      <c r="R32" s="461"/>
      <c r="S32" s="461"/>
      <c r="T32" s="461"/>
      <c r="U32" s="461"/>
      <c r="V32" s="461"/>
      <c r="W32" s="461"/>
      <c r="X32" s="461"/>
      <c r="Y32" s="461"/>
      <c r="Z32" s="461"/>
    </row>
  </sheetData>
  <mergeCells count="27">
    <mergeCell ref="T1:AG1"/>
    <mergeCell ref="D24:Z32"/>
    <mergeCell ref="A7:A10"/>
    <mergeCell ref="A5:B5"/>
    <mergeCell ref="D1:E1"/>
    <mergeCell ref="F1:K1"/>
    <mergeCell ref="L1:S1"/>
    <mergeCell ref="A19:A22"/>
    <mergeCell ref="AK10:AP10"/>
    <mergeCell ref="AK9:AP9"/>
    <mergeCell ref="AK8:AP8"/>
    <mergeCell ref="AK7:AP7"/>
    <mergeCell ref="AK5:AP5"/>
    <mergeCell ref="AK17:AP17"/>
    <mergeCell ref="AK16:AP16"/>
    <mergeCell ref="AK15:AP15"/>
    <mergeCell ref="A16:A18"/>
    <mergeCell ref="A11:A15"/>
    <mergeCell ref="AK14:AP14"/>
    <mergeCell ref="AK13:AP13"/>
    <mergeCell ref="AK12:AP12"/>
    <mergeCell ref="AK11:AP11"/>
    <mergeCell ref="AK22:AP22"/>
    <mergeCell ref="AK21:AP21"/>
    <mergeCell ref="AK20:AP20"/>
    <mergeCell ref="AK19:AP19"/>
    <mergeCell ref="AK18:AP18"/>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FF6F5EE2687B644970F1AA330848652" ma:contentTypeVersion="11" ma:contentTypeDescription="Ein neues Dokument erstellen." ma:contentTypeScope="" ma:versionID="41090b2c9ce885394488e86116dd3d5d">
  <xsd:schema xmlns:xsd="http://www.w3.org/2001/XMLSchema" xmlns:xs="http://www.w3.org/2001/XMLSchema" xmlns:p="http://schemas.microsoft.com/office/2006/metadata/properties" xmlns:ns2="5f27be4f-d188-45ef-861c-242eb578e2bc" xmlns:ns3="c780a9d6-4f12-40a1-b370-2f677b8e9713" targetNamespace="http://schemas.microsoft.com/office/2006/metadata/properties" ma:root="true" ma:fieldsID="5f65242b65f24c559454a2c2155a701e" ns2:_="" ns3:_="">
    <xsd:import namespace="5f27be4f-d188-45ef-861c-242eb578e2bc"/>
    <xsd:import namespace="c780a9d6-4f12-40a1-b370-2f677b8e97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7be4f-d188-45ef-861c-242eb578e2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80a9d6-4f12-40a1-b370-2f677b8e97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5ea894-c0be-4d19-bab8-794bca1846f2}" ma:internalName="TaxCatchAll" ma:showField="CatchAllData" ma:web="c780a9d6-4f12-40a1-b370-2f677b8e97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780a9d6-4f12-40a1-b370-2f677b8e9713" xsi:nil="true"/>
    <lcf76f155ced4ddcb4097134ff3c332f xmlns="5f27be4f-d188-45ef-861c-242eb578e2b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D9CD53-0DB4-46E8-B2DF-C6A25B7EEC4F}">
  <ds:schemaRefs>
    <ds:schemaRef ds:uri="http://schemas.microsoft.com/sharepoint/v3/contenttype/forms"/>
  </ds:schemaRefs>
</ds:datastoreItem>
</file>

<file path=customXml/itemProps2.xml><?xml version="1.0" encoding="utf-8"?>
<ds:datastoreItem xmlns:ds="http://schemas.openxmlformats.org/officeDocument/2006/customXml" ds:itemID="{07211C15-F003-4EB5-A8F6-C760BE7788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27be4f-d188-45ef-861c-242eb578e2bc"/>
    <ds:schemaRef ds:uri="c780a9d6-4f12-40a1-b370-2f677b8e97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51A4C7-2B57-4253-90CD-AC1424D65300}">
  <ds:schemaRefs>
    <ds:schemaRef ds:uri="http://schemas.microsoft.com/office/2006/metadata/properties"/>
    <ds:schemaRef ds:uri="http://schemas.microsoft.com/office/infopath/2007/PartnerControls"/>
    <ds:schemaRef ds:uri="12cd998e-b4d0-40cb-b176-2dc56e991d34"/>
    <ds:schemaRef ds:uri="a9e18f9b-30e6-49bc-b414-8476344b0b96"/>
    <ds:schemaRef ds:uri="ee2426e5-3964-45be-a768-17b17c2c4dff"/>
    <ds:schemaRef ds:uri="9afee001-31c9-4e9a-b3e0-081a8a4dfeb0"/>
    <ds:schemaRef ds:uri="c780a9d6-4f12-40a1-b370-2f677b8e9713"/>
    <ds:schemaRef ds:uri="5f27be4f-d188-45ef-861c-242eb578e2b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SE_Kompetenzen_SE4OWL</vt:lpstr>
      <vt:lpstr>Rollen-Prozess-Matrix</vt:lpstr>
      <vt:lpstr>Kompetenz-Prozess-Matrix</vt:lpstr>
      <vt:lpstr>Rollen-Kompetenzen-Matrix</vt:lpstr>
      <vt:lpstr>Lernziele</vt:lpstr>
      <vt:lpstr>gQP - Kundenvertreter</vt:lpstr>
      <vt:lpstr>Tabelle1</vt:lpstr>
      <vt:lpstr>Modulübersicht</vt:lpstr>
      <vt:lpstr>Tabelle2</vt:lpstr>
      <vt:lpstr>Input INCOSE Kompetenzen</vt:lpstr>
      <vt:lpstr>Prozess&amp;Aufg-Kompetenzen-Matrix</vt:lpstr>
      <vt:lpstr>Rollen-Prozess&amp;Aufg-Matrix</vt:lpstr>
      <vt:lpstr>Nicht mehr nutzen!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Heitmann, Rebecca</dc:creator>
  <cp:keywords/>
  <dc:description/>
  <cp:lastModifiedBy>Könemann, Ulf</cp:lastModifiedBy>
  <cp:revision/>
  <cp:lastPrinted>2024-10-07T09:27:49Z</cp:lastPrinted>
  <dcterms:created xsi:type="dcterms:W3CDTF">2021-06-15T14:14:36Z</dcterms:created>
  <dcterms:modified xsi:type="dcterms:W3CDTF">2024-10-24T14:52:24Z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0x0101002FF6F5EE2687B644970F1AA330848652</vt:lpwstr>
  </property>
  <property fmtid="{D5CDD505-2E9C-101B-9397-08002B2CF9AE}" pid="3" name="MediaServiceImageTags">
    <vt:lpwstr/>
  </property>
  <property fmtid="{D5CDD505-2E9C-101B-9397-08002B2CF9AE}" pid="4" name="Order">
    <vt:r8>169500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